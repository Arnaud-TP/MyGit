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rnaud\Desktop\TD 3\"/>
    </mc:Choice>
  </mc:AlternateContent>
  <xr:revisionPtr revIDLastSave="0" documentId="13_ncr:1_{682F0C09-CD91-4F87-985A-F645CE663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ty Data" sheetId="1" r:id="rId1"/>
    <sheet name="Factor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81" i="1" l="1" a="1"/>
  <c r="P81" i="1" s="1"/>
  <c r="P85" i="1" a="1"/>
  <c r="P85" i="1" s="1"/>
  <c r="P88" i="1" s="1" a="1"/>
  <c r="P88" i="1" s="1"/>
  <c r="P91" i="1" s="1" a="1"/>
  <c r="P91" i="1" s="1"/>
  <c r="P72" i="1"/>
  <c r="P66" i="1"/>
  <c r="P67" i="1" a="1"/>
  <c r="P67" i="1" s="1"/>
  <c r="P11" i="1"/>
  <c r="Q48" i="1"/>
  <c r="Q50" i="1" s="1"/>
  <c r="R48" i="1"/>
  <c r="R50" i="1" s="1"/>
  <c r="P48" i="1"/>
  <c r="P50" i="1" s="1"/>
  <c r="P19" i="1"/>
  <c r="P20" i="1" s="1"/>
  <c r="P98" i="1" l="1" a="1"/>
  <c r="P98" i="1" s="1"/>
  <c r="P94" i="1" a="1"/>
  <c r="P94" i="1" s="1"/>
  <c r="Q26" i="1"/>
  <c r="R26" i="1"/>
  <c r="P26" i="1"/>
  <c r="Q25" i="1"/>
  <c r="P25" i="1"/>
  <c r="R24" i="1"/>
  <c r="P24" i="1"/>
  <c r="P14" i="1"/>
  <c r="P16" i="1" s="1"/>
  <c r="P22" i="1" s="1"/>
  <c r="K6" i="1"/>
  <c r="L6" i="1"/>
  <c r="M6" i="1"/>
  <c r="K7" i="1"/>
  <c r="L7" i="1"/>
  <c r="M7" i="1"/>
  <c r="K8" i="1"/>
  <c r="L8" i="1"/>
  <c r="M8" i="1"/>
  <c r="K9" i="1"/>
  <c r="L9" i="1"/>
  <c r="M9" i="1"/>
  <c r="R14" i="1" s="1"/>
  <c r="R16" i="1" s="1"/>
  <c r="R22" i="1" s="1"/>
  <c r="K10" i="1"/>
  <c r="L10" i="1"/>
  <c r="M10" i="1"/>
  <c r="K11" i="1"/>
  <c r="L11" i="1"/>
  <c r="M11" i="1"/>
  <c r="K12" i="1"/>
  <c r="L12" i="1"/>
  <c r="M12" i="1"/>
  <c r="K13" i="1"/>
  <c r="L13" i="1"/>
  <c r="Q14" i="1" s="1"/>
  <c r="Q16" i="1" s="1"/>
  <c r="Q22" i="1" s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1055" i="1"/>
  <c r="L1055" i="1"/>
  <c r="M1055" i="1"/>
  <c r="K1056" i="1"/>
  <c r="L1056" i="1"/>
  <c r="M1056" i="1"/>
  <c r="K1057" i="1"/>
  <c r="L1057" i="1"/>
  <c r="M1057" i="1"/>
  <c r="K1058" i="1"/>
  <c r="L1058" i="1"/>
  <c r="M1058" i="1"/>
  <c r="K1059" i="1"/>
  <c r="L1059" i="1"/>
  <c r="M1059" i="1"/>
  <c r="K1060" i="1"/>
  <c r="L1060" i="1"/>
  <c r="M1060" i="1"/>
  <c r="K1061" i="1"/>
  <c r="L1061" i="1"/>
  <c r="M1061" i="1"/>
  <c r="K1062" i="1"/>
  <c r="L1062" i="1"/>
  <c r="M1062" i="1"/>
  <c r="K1063" i="1"/>
  <c r="L1063" i="1"/>
  <c r="M1063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K1072" i="1"/>
  <c r="L1072" i="1"/>
  <c r="M1072" i="1"/>
  <c r="K1073" i="1"/>
  <c r="L1073" i="1"/>
  <c r="M1073" i="1"/>
  <c r="K1074" i="1"/>
  <c r="L1074" i="1"/>
  <c r="M1074" i="1"/>
  <c r="K1075" i="1"/>
  <c r="L1075" i="1"/>
  <c r="M1075" i="1"/>
  <c r="K1076" i="1"/>
  <c r="L1076" i="1"/>
  <c r="M1076" i="1"/>
  <c r="K1077" i="1"/>
  <c r="L1077" i="1"/>
  <c r="M1077" i="1"/>
  <c r="K1078" i="1"/>
  <c r="L1078" i="1"/>
  <c r="M1078" i="1"/>
  <c r="K1079" i="1"/>
  <c r="L1079" i="1"/>
  <c r="M1079" i="1"/>
  <c r="K1080" i="1"/>
  <c r="L1080" i="1"/>
  <c r="M1080" i="1"/>
  <c r="K1081" i="1"/>
  <c r="L1081" i="1"/>
  <c r="M1081" i="1"/>
  <c r="K1082" i="1"/>
  <c r="L1082" i="1"/>
  <c r="M1082" i="1"/>
  <c r="K1083" i="1"/>
  <c r="L1083" i="1"/>
  <c r="M1083" i="1"/>
  <c r="K1084" i="1"/>
  <c r="L1084" i="1"/>
  <c r="M1084" i="1"/>
  <c r="K1085" i="1"/>
  <c r="L1085" i="1"/>
  <c r="M1085" i="1"/>
  <c r="K1086" i="1"/>
  <c r="L1086" i="1"/>
  <c r="M1086" i="1"/>
  <c r="K1087" i="1"/>
  <c r="L1087" i="1"/>
  <c r="M1087" i="1"/>
  <c r="K1088" i="1"/>
  <c r="L1088" i="1"/>
  <c r="M1088" i="1"/>
  <c r="K1089" i="1"/>
  <c r="L1089" i="1"/>
  <c r="M1089" i="1"/>
  <c r="K1090" i="1"/>
  <c r="L1090" i="1"/>
  <c r="M1090" i="1"/>
  <c r="K1091" i="1"/>
  <c r="L1091" i="1"/>
  <c r="M1091" i="1"/>
  <c r="K1092" i="1"/>
  <c r="L1092" i="1"/>
  <c r="M1092" i="1"/>
  <c r="K1093" i="1"/>
  <c r="L1093" i="1"/>
  <c r="M1093" i="1"/>
  <c r="K1094" i="1"/>
  <c r="L1094" i="1"/>
  <c r="M1094" i="1"/>
  <c r="K1095" i="1"/>
  <c r="L1095" i="1"/>
  <c r="M1095" i="1"/>
  <c r="K1096" i="1"/>
  <c r="L1096" i="1"/>
  <c r="M1096" i="1"/>
  <c r="K1097" i="1"/>
  <c r="L1097" i="1"/>
  <c r="M1097" i="1"/>
  <c r="K1098" i="1"/>
  <c r="L1098" i="1"/>
  <c r="M1098" i="1"/>
  <c r="K1099" i="1"/>
  <c r="L1099" i="1"/>
  <c r="M1099" i="1"/>
  <c r="K1100" i="1"/>
  <c r="L1100" i="1"/>
  <c r="M1100" i="1"/>
  <c r="K1101" i="1"/>
  <c r="L1101" i="1"/>
  <c r="M1101" i="1"/>
  <c r="K1102" i="1"/>
  <c r="L1102" i="1"/>
  <c r="M1102" i="1"/>
  <c r="K1103" i="1"/>
  <c r="L1103" i="1"/>
  <c r="M1103" i="1"/>
  <c r="K1104" i="1"/>
  <c r="L1104" i="1"/>
  <c r="M1104" i="1"/>
  <c r="K1105" i="1"/>
  <c r="L1105" i="1"/>
  <c r="M1105" i="1"/>
  <c r="K1106" i="1"/>
  <c r="L1106" i="1"/>
  <c r="M1106" i="1"/>
  <c r="K1107" i="1"/>
  <c r="L1107" i="1"/>
  <c r="M1107" i="1"/>
  <c r="K1108" i="1"/>
  <c r="L1108" i="1"/>
  <c r="M1108" i="1"/>
  <c r="K1109" i="1"/>
  <c r="L1109" i="1"/>
  <c r="M1109" i="1"/>
  <c r="K1110" i="1"/>
  <c r="L1110" i="1"/>
  <c r="M1110" i="1"/>
  <c r="K1111" i="1"/>
  <c r="L1111" i="1"/>
  <c r="M1111" i="1"/>
  <c r="K1112" i="1"/>
  <c r="L1112" i="1"/>
  <c r="M1112" i="1"/>
  <c r="K1113" i="1"/>
  <c r="L1113" i="1"/>
  <c r="M1113" i="1"/>
  <c r="K1114" i="1"/>
  <c r="L1114" i="1"/>
  <c r="M1114" i="1"/>
  <c r="K1115" i="1"/>
  <c r="L1115" i="1"/>
  <c r="M1115" i="1"/>
  <c r="K1116" i="1"/>
  <c r="L1116" i="1"/>
  <c r="M1116" i="1"/>
  <c r="K1117" i="1"/>
  <c r="L1117" i="1"/>
  <c r="M1117" i="1"/>
  <c r="K1118" i="1"/>
  <c r="L1118" i="1"/>
  <c r="M1118" i="1"/>
  <c r="K1119" i="1"/>
  <c r="L1119" i="1"/>
  <c r="M1119" i="1"/>
  <c r="K1120" i="1"/>
  <c r="L1120" i="1"/>
  <c r="M1120" i="1"/>
  <c r="K1121" i="1"/>
  <c r="L1121" i="1"/>
  <c r="M1121" i="1"/>
  <c r="K1122" i="1"/>
  <c r="L1122" i="1"/>
  <c r="M1122" i="1"/>
  <c r="K1123" i="1"/>
  <c r="L1123" i="1"/>
  <c r="M1123" i="1"/>
  <c r="K1124" i="1"/>
  <c r="L1124" i="1"/>
  <c r="M1124" i="1"/>
  <c r="K1125" i="1"/>
  <c r="L1125" i="1"/>
  <c r="M1125" i="1"/>
  <c r="K1126" i="1"/>
  <c r="L1126" i="1"/>
  <c r="M1126" i="1"/>
  <c r="K1127" i="1"/>
  <c r="L1127" i="1"/>
  <c r="M1127" i="1"/>
  <c r="K1128" i="1"/>
  <c r="L1128" i="1"/>
  <c r="M1128" i="1"/>
  <c r="K1129" i="1"/>
  <c r="L1129" i="1"/>
  <c r="M1129" i="1"/>
  <c r="K1130" i="1"/>
  <c r="L1130" i="1"/>
  <c r="M1130" i="1"/>
  <c r="K1131" i="1"/>
  <c r="L1131" i="1"/>
  <c r="M1131" i="1"/>
  <c r="K1132" i="1"/>
  <c r="L1132" i="1"/>
  <c r="M1132" i="1"/>
  <c r="K1133" i="1"/>
  <c r="L1133" i="1"/>
  <c r="M1133" i="1"/>
  <c r="K1134" i="1"/>
  <c r="L1134" i="1"/>
  <c r="M1134" i="1"/>
  <c r="K1135" i="1"/>
  <c r="L1135" i="1"/>
  <c r="M1135" i="1"/>
  <c r="K1136" i="1"/>
  <c r="L1136" i="1"/>
  <c r="M1136" i="1"/>
  <c r="K1137" i="1"/>
  <c r="L1137" i="1"/>
  <c r="M1137" i="1"/>
  <c r="K1138" i="1"/>
  <c r="L1138" i="1"/>
  <c r="M1138" i="1"/>
  <c r="K1139" i="1"/>
  <c r="L1139" i="1"/>
  <c r="M1139" i="1"/>
  <c r="K1140" i="1"/>
  <c r="L1140" i="1"/>
  <c r="M1140" i="1"/>
  <c r="K1141" i="1"/>
  <c r="L1141" i="1"/>
  <c r="M1141" i="1"/>
  <c r="K1142" i="1"/>
  <c r="L1142" i="1"/>
  <c r="M1142" i="1"/>
  <c r="K1143" i="1"/>
  <c r="L1143" i="1"/>
  <c r="M1143" i="1"/>
  <c r="K1144" i="1"/>
  <c r="L1144" i="1"/>
  <c r="M1144" i="1"/>
  <c r="K1145" i="1"/>
  <c r="L1145" i="1"/>
  <c r="M1145" i="1"/>
  <c r="K1146" i="1"/>
  <c r="L1146" i="1"/>
  <c r="M1146" i="1"/>
  <c r="K1147" i="1"/>
  <c r="L1147" i="1"/>
  <c r="M1147" i="1"/>
  <c r="K1148" i="1"/>
  <c r="L1148" i="1"/>
  <c r="M1148" i="1"/>
  <c r="K1149" i="1"/>
  <c r="L1149" i="1"/>
  <c r="M1149" i="1"/>
  <c r="K1150" i="1"/>
  <c r="L1150" i="1"/>
  <c r="M1150" i="1"/>
  <c r="K1151" i="1"/>
  <c r="L1151" i="1"/>
  <c r="M1151" i="1"/>
  <c r="K1152" i="1"/>
  <c r="L1152" i="1"/>
  <c r="M1152" i="1"/>
  <c r="K1153" i="1"/>
  <c r="L1153" i="1"/>
  <c r="M1153" i="1"/>
  <c r="K1154" i="1"/>
  <c r="L1154" i="1"/>
  <c r="M1154" i="1"/>
  <c r="K1155" i="1"/>
  <c r="L1155" i="1"/>
  <c r="M1155" i="1"/>
  <c r="K1156" i="1"/>
  <c r="L1156" i="1"/>
  <c r="M1156" i="1"/>
  <c r="K1157" i="1"/>
  <c r="L1157" i="1"/>
  <c r="M1157" i="1"/>
  <c r="K1158" i="1"/>
  <c r="L1158" i="1"/>
  <c r="M1158" i="1"/>
  <c r="K1159" i="1"/>
  <c r="L1159" i="1"/>
  <c r="M1159" i="1"/>
  <c r="K1160" i="1"/>
  <c r="L1160" i="1"/>
  <c r="M1160" i="1"/>
  <c r="K1161" i="1"/>
  <c r="L1161" i="1"/>
  <c r="M1161" i="1"/>
  <c r="K1162" i="1"/>
  <c r="L1162" i="1"/>
  <c r="M1162" i="1"/>
  <c r="K1163" i="1"/>
  <c r="L1163" i="1"/>
  <c r="M1163" i="1"/>
  <c r="K1164" i="1"/>
  <c r="L1164" i="1"/>
  <c r="M1164" i="1"/>
  <c r="K1165" i="1"/>
  <c r="L1165" i="1"/>
  <c r="M1165" i="1"/>
  <c r="K1166" i="1"/>
  <c r="L1166" i="1"/>
  <c r="M1166" i="1"/>
  <c r="K1167" i="1"/>
  <c r="L1167" i="1"/>
  <c r="M1167" i="1"/>
  <c r="K1168" i="1"/>
  <c r="L1168" i="1"/>
  <c r="M1168" i="1"/>
  <c r="K1169" i="1"/>
  <c r="L1169" i="1"/>
  <c r="M1169" i="1"/>
  <c r="K1170" i="1"/>
  <c r="L1170" i="1"/>
  <c r="M1170" i="1"/>
  <c r="K1171" i="1"/>
  <c r="L1171" i="1"/>
  <c r="M1171" i="1"/>
  <c r="K1172" i="1"/>
  <c r="L1172" i="1"/>
  <c r="M1172" i="1"/>
  <c r="K1173" i="1"/>
  <c r="L1173" i="1"/>
  <c r="M1173" i="1"/>
  <c r="K1174" i="1"/>
  <c r="L1174" i="1"/>
  <c r="M1174" i="1"/>
  <c r="K1175" i="1"/>
  <c r="L1175" i="1"/>
  <c r="M1175" i="1"/>
  <c r="K1176" i="1"/>
  <c r="L1176" i="1"/>
  <c r="M1176" i="1"/>
  <c r="K1177" i="1"/>
  <c r="L1177" i="1"/>
  <c r="M1177" i="1"/>
  <c r="K1178" i="1"/>
  <c r="L1178" i="1"/>
  <c r="M1178" i="1"/>
  <c r="K1179" i="1"/>
  <c r="L1179" i="1"/>
  <c r="M1179" i="1"/>
  <c r="K1180" i="1"/>
  <c r="L1180" i="1"/>
  <c r="M1180" i="1"/>
  <c r="K1181" i="1"/>
  <c r="L1181" i="1"/>
  <c r="M1181" i="1"/>
  <c r="K1182" i="1"/>
  <c r="L1182" i="1"/>
  <c r="M1182" i="1"/>
  <c r="K1183" i="1"/>
  <c r="L1183" i="1"/>
  <c r="M1183" i="1"/>
  <c r="K1184" i="1"/>
  <c r="L1184" i="1"/>
  <c r="M1184" i="1"/>
  <c r="K1185" i="1"/>
  <c r="L1185" i="1"/>
  <c r="M1185" i="1"/>
  <c r="K1186" i="1"/>
  <c r="L1186" i="1"/>
  <c r="M1186" i="1"/>
  <c r="K1187" i="1"/>
  <c r="L1187" i="1"/>
  <c r="M1187" i="1"/>
  <c r="K1188" i="1"/>
  <c r="L1188" i="1"/>
  <c r="M1188" i="1"/>
  <c r="K1189" i="1"/>
  <c r="L1189" i="1"/>
  <c r="M1189" i="1"/>
  <c r="K1190" i="1"/>
  <c r="L1190" i="1"/>
  <c r="M1190" i="1"/>
  <c r="K1191" i="1"/>
  <c r="L1191" i="1"/>
  <c r="M1191" i="1"/>
  <c r="K1192" i="1"/>
  <c r="L1192" i="1"/>
  <c r="M1192" i="1"/>
  <c r="K1193" i="1"/>
  <c r="L1193" i="1"/>
  <c r="M1193" i="1"/>
  <c r="K1194" i="1"/>
  <c r="L1194" i="1"/>
  <c r="M1194" i="1"/>
  <c r="K1195" i="1"/>
  <c r="L1195" i="1"/>
  <c r="M1195" i="1"/>
  <c r="K1196" i="1"/>
  <c r="L1196" i="1"/>
  <c r="M1196" i="1"/>
  <c r="K1197" i="1"/>
  <c r="L1197" i="1"/>
  <c r="M1197" i="1"/>
  <c r="K1198" i="1"/>
  <c r="L1198" i="1"/>
  <c r="M1198" i="1"/>
  <c r="K1199" i="1"/>
  <c r="L1199" i="1"/>
  <c r="M1199" i="1"/>
  <c r="K1200" i="1"/>
  <c r="L1200" i="1"/>
  <c r="M1200" i="1"/>
  <c r="K1201" i="1"/>
  <c r="L1201" i="1"/>
  <c r="M1201" i="1"/>
  <c r="K1202" i="1"/>
  <c r="L1202" i="1"/>
  <c r="M1202" i="1"/>
  <c r="K1203" i="1"/>
  <c r="L1203" i="1"/>
  <c r="M1203" i="1"/>
  <c r="K1204" i="1"/>
  <c r="L1204" i="1"/>
  <c r="M1204" i="1"/>
  <c r="K1205" i="1"/>
  <c r="L1205" i="1"/>
  <c r="M1205" i="1"/>
  <c r="K1206" i="1"/>
  <c r="L1206" i="1"/>
  <c r="M1206" i="1"/>
  <c r="K1207" i="1"/>
  <c r="L1207" i="1"/>
  <c r="M1207" i="1"/>
  <c r="K1208" i="1"/>
  <c r="L1208" i="1"/>
  <c r="M1208" i="1"/>
  <c r="K1209" i="1"/>
  <c r="L1209" i="1"/>
  <c r="M1209" i="1"/>
  <c r="K1210" i="1"/>
  <c r="L1210" i="1"/>
  <c r="M1210" i="1"/>
  <c r="K1211" i="1"/>
  <c r="L1211" i="1"/>
  <c r="M1211" i="1"/>
  <c r="K1212" i="1"/>
  <c r="L1212" i="1"/>
  <c r="M1212" i="1"/>
  <c r="K1213" i="1"/>
  <c r="L1213" i="1"/>
  <c r="M1213" i="1"/>
  <c r="K1214" i="1"/>
  <c r="L1214" i="1"/>
  <c r="M1214" i="1"/>
  <c r="K1215" i="1"/>
  <c r="L1215" i="1"/>
  <c r="M1215" i="1"/>
  <c r="K1216" i="1"/>
  <c r="L1216" i="1"/>
  <c r="M1216" i="1"/>
  <c r="K1217" i="1"/>
  <c r="L1217" i="1"/>
  <c r="M1217" i="1"/>
  <c r="K1218" i="1"/>
  <c r="L1218" i="1"/>
  <c r="M1218" i="1"/>
  <c r="K1219" i="1"/>
  <c r="L1219" i="1"/>
  <c r="M1219" i="1"/>
  <c r="K1220" i="1"/>
  <c r="L1220" i="1"/>
  <c r="M1220" i="1"/>
  <c r="K1221" i="1"/>
  <c r="L1221" i="1"/>
  <c r="M1221" i="1"/>
  <c r="K1222" i="1"/>
  <c r="L1222" i="1"/>
  <c r="M1222" i="1"/>
  <c r="K1223" i="1"/>
  <c r="L1223" i="1"/>
  <c r="M1223" i="1"/>
  <c r="K1224" i="1"/>
  <c r="L1224" i="1"/>
  <c r="M1224" i="1"/>
  <c r="K1225" i="1"/>
  <c r="L1225" i="1"/>
  <c r="M1225" i="1"/>
  <c r="K1226" i="1"/>
  <c r="L1226" i="1"/>
  <c r="M1226" i="1"/>
  <c r="K1227" i="1"/>
  <c r="L1227" i="1"/>
  <c r="M1227" i="1"/>
  <c r="K1228" i="1"/>
  <c r="L1228" i="1"/>
  <c r="M1228" i="1"/>
  <c r="K1229" i="1"/>
  <c r="L1229" i="1"/>
  <c r="M1229" i="1"/>
  <c r="K1230" i="1"/>
  <c r="L1230" i="1"/>
  <c r="M1230" i="1"/>
  <c r="K1231" i="1"/>
  <c r="L1231" i="1"/>
  <c r="M1231" i="1"/>
  <c r="K1232" i="1"/>
  <c r="L1232" i="1"/>
  <c r="M1232" i="1"/>
  <c r="K1233" i="1"/>
  <c r="L1233" i="1"/>
  <c r="M1233" i="1"/>
  <c r="K1234" i="1"/>
  <c r="L1234" i="1"/>
  <c r="M1234" i="1"/>
  <c r="K1235" i="1"/>
  <c r="L1235" i="1"/>
  <c r="M1235" i="1"/>
  <c r="K1236" i="1"/>
  <c r="L1236" i="1"/>
  <c r="M1236" i="1"/>
  <c r="K1237" i="1"/>
  <c r="L1237" i="1"/>
  <c r="M1237" i="1"/>
  <c r="K1238" i="1"/>
  <c r="L1238" i="1"/>
  <c r="M1238" i="1"/>
  <c r="K1239" i="1"/>
  <c r="L1239" i="1"/>
  <c r="M1239" i="1"/>
  <c r="K1240" i="1"/>
  <c r="L1240" i="1"/>
  <c r="M1240" i="1"/>
  <c r="K1241" i="1"/>
  <c r="L1241" i="1"/>
  <c r="M1241" i="1"/>
  <c r="K1242" i="1"/>
  <c r="L1242" i="1"/>
  <c r="M1242" i="1"/>
  <c r="K1243" i="1"/>
  <c r="L1243" i="1"/>
  <c r="M1243" i="1"/>
  <c r="K1244" i="1"/>
  <c r="L1244" i="1"/>
  <c r="M1244" i="1"/>
  <c r="K1245" i="1"/>
  <c r="L1245" i="1"/>
  <c r="M1245" i="1"/>
  <c r="K1246" i="1"/>
  <c r="L1246" i="1"/>
  <c r="M1246" i="1"/>
  <c r="K1247" i="1"/>
  <c r="L1247" i="1"/>
  <c r="M1247" i="1"/>
  <c r="K1248" i="1"/>
  <c r="L1248" i="1"/>
  <c r="M1248" i="1"/>
  <c r="K1249" i="1"/>
  <c r="L1249" i="1"/>
  <c r="M1249" i="1"/>
  <c r="K1250" i="1"/>
  <c r="L1250" i="1"/>
  <c r="M1250" i="1"/>
  <c r="K1251" i="1"/>
  <c r="L1251" i="1"/>
  <c r="M1251" i="1"/>
  <c r="K1252" i="1"/>
  <c r="L1252" i="1"/>
  <c r="M1252" i="1"/>
  <c r="K1253" i="1"/>
  <c r="L1253" i="1"/>
  <c r="M1253" i="1"/>
  <c r="K1254" i="1"/>
  <c r="L1254" i="1"/>
  <c r="M1254" i="1"/>
  <c r="K1255" i="1"/>
  <c r="L1255" i="1"/>
  <c r="M1255" i="1"/>
  <c r="K1256" i="1"/>
  <c r="L1256" i="1"/>
  <c r="M1256" i="1"/>
  <c r="K1257" i="1"/>
  <c r="L1257" i="1"/>
  <c r="M1257" i="1"/>
  <c r="K1258" i="1"/>
  <c r="L1258" i="1"/>
  <c r="M1258" i="1"/>
  <c r="K1259" i="1"/>
  <c r="L1259" i="1"/>
  <c r="M1259" i="1"/>
  <c r="K1260" i="1"/>
  <c r="L1260" i="1"/>
  <c r="M1260" i="1"/>
  <c r="K1261" i="1"/>
  <c r="L1261" i="1"/>
  <c r="M1261" i="1"/>
  <c r="K1262" i="1"/>
  <c r="L1262" i="1"/>
  <c r="M1262" i="1"/>
  <c r="K1263" i="1"/>
  <c r="L1263" i="1"/>
  <c r="M1263" i="1"/>
  <c r="K1264" i="1"/>
  <c r="L1264" i="1"/>
  <c r="M1264" i="1"/>
  <c r="K1265" i="1"/>
  <c r="L1265" i="1"/>
  <c r="M1265" i="1"/>
  <c r="K1266" i="1"/>
  <c r="L1266" i="1"/>
  <c r="M1266" i="1"/>
  <c r="K1267" i="1"/>
  <c r="L1267" i="1"/>
  <c r="M1267" i="1"/>
  <c r="K1268" i="1"/>
  <c r="L1268" i="1"/>
  <c r="M1268" i="1"/>
  <c r="K1269" i="1"/>
  <c r="L1269" i="1"/>
  <c r="M1269" i="1"/>
  <c r="K1270" i="1"/>
  <c r="L1270" i="1"/>
  <c r="M1270" i="1"/>
  <c r="K1271" i="1"/>
  <c r="L1271" i="1"/>
  <c r="M1271" i="1"/>
  <c r="K1272" i="1"/>
  <c r="L1272" i="1"/>
  <c r="M1272" i="1"/>
  <c r="K1273" i="1"/>
  <c r="L1273" i="1"/>
  <c r="M1273" i="1"/>
  <c r="K1274" i="1"/>
  <c r="L1274" i="1"/>
  <c r="M1274" i="1"/>
  <c r="K1275" i="1"/>
  <c r="L1275" i="1"/>
  <c r="M1275" i="1"/>
  <c r="K1276" i="1"/>
  <c r="L1276" i="1"/>
  <c r="M1276" i="1"/>
  <c r="K1277" i="1"/>
  <c r="L1277" i="1"/>
  <c r="M1277" i="1"/>
  <c r="K1278" i="1"/>
  <c r="L1278" i="1"/>
  <c r="M1278" i="1"/>
  <c r="K1279" i="1"/>
  <c r="L1279" i="1"/>
  <c r="M1279" i="1"/>
  <c r="K1280" i="1"/>
  <c r="L1280" i="1"/>
  <c r="M1280" i="1"/>
  <c r="K1281" i="1"/>
  <c r="L1281" i="1"/>
  <c r="M1281" i="1"/>
  <c r="K1282" i="1"/>
  <c r="L1282" i="1"/>
  <c r="M1282" i="1"/>
  <c r="K1283" i="1"/>
  <c r="L1283" i="1"/>
  <c r="M1283" i="1"/>
  <c r="K1284" i="1"/>
  <c r="L1284" i="1"/>
  <c r="M1284" i="1"/>
  <c r="K1285" i="1"/>
  <c r="L1285" i="1"/>
  <c r="M1285" i="1"/>
  <c r="K1286" i="1"/>
  <c r="L1286" i="1"/>
  <c r="M1286" i="1"/>
  <c r="K1287" i="1"/>
  <c r="L1287" i="1"/>
  <c r="M1287" i="1"/>
  <c r="K1288" i="1"/>
  <c r="L1288" i="1"/>
  <c r="M1288" i="1"/>
  <c r="K1289" i="1"/>
  <c r="L1289" i="1"/>
  <c r="M1289" i="1"/>
  <c r="K1290" i="1"/>
  <c r="L1290" i="1"/>
  <c r="M1290" i="1"/>
  <c r="K1291" i="1"/>
  <c r="L1291" i="1"/>
  <c r="M1291" i="1"/>
  <c r="K1292" i="1"/>
  <c r="L1292" i="1"/>
  <c r="M1292" i="1"/>
  <c r="K1293" i="1"/>
  <c r="L1293" i="1"/>
  <c r="M1293" i="1"/>
  <c r="K1294" i="1"/>
  <c r="L1294" i="1"/>
  <c r="M1294" i="1"/>
  <c r="K1295" i="1"/>
  <c r="L1295" i="1"/>
  <c r="M1295" i="1"/>
  <c r="K1296" i="1"/>
  <c r="L1296" i="1"/>
  <c r="M1296" i="1"/>
  <c r="K1297" i="1"/>
  <c r="L1297" i="1"/>
  <c r="M1297" i="1"/>
  <c r="K1298" i="1"/>
  <c r="L1298" i="1"/>
  <c r="M1298" i="1"/>
  <c r="K1299" i="1"/>
  <c r="L1299" i="1"/>
  <c r="M1299" i="1"/>
  <c r="K1300" i="1"/>
  <c r="L1300" i="1"/>
  <c r="M1300" i="1"/>
  <c r="K1301" i="1"/>
  <c r="L1301" i="1"/>
  <c r="M1301" i="1"/>
  <c r="K1302" i="1"/>
  <c r="L1302" i="1"/>
  <c r="M1302" i="1"/>
  <c r="K1303" i="1"/>
  <c r="L1303" i="1"/>
  <c r="M1303" i="1"/>
  <c r="K1304" i="1"/>
  <c r="L1304" i="1"/>
  <c r="M1304" i="1"/>
  <c r="K1305" i="1"/>
  <c r="L1305" i="1"/>
  <c r="M1305" i="1"/>
  <c r="K1306" i="1"/>
  <c r="L1306" i="1"/>
  <c r="M1306" i="1"/>
  <c r="K1307" i="1"/>
  <c r="L1307" i="1"/>
  <c r="M1307" i="1"/>
  <c r="K1308" i="1"/>
  <c r="L1308" i="1"/>
  <c r="M1308" i="1"/>
  <c r="K1309" i="1"/>
  <c r="L1309" i="1"/>
  <c r="M1309" i="1"/>
  <c r="K1310" i="1"/>
  <c r="L1310" i="1"/>
  <c r="M1310" i="1"/>
  <c r="K1311" i="1"/>
  <c r="L1311" i="1"/>
  <c r="M1311" i="1"/>
  <c r="K1312" i="1"/>
  <c r="L1312" i="1"/>
  <c r="M1312" i="1"/>
  <c r="K1313" i="1"/>
  <c r="L1313" i="1"/>
  <c r="M1313" i="1"/>
  <c r="K1314" i="1"/>
  <c r="L1314" i="1"/>
  <c r="M1314" i="1"/>
  <c r="K1315" i="1"/>
  <c r="L1315" i="1"/>
  <c r="M1315" i="1"/>
  <c r="K1316" i="1"/>
  <c r="L1316" i="1"/>
  <c r="M1316" i="1"/>
  <c r="K1317" i="1"/>
  <c r="L1317" i="1"/>
  <c r="M1317" i="1"/>
  <c r="K1318" i="1"/>
  <c r="L1318" i="1"/>
  <c r="M1318" i="1"/>
  <c r="K1319" i="1"/>
  <c r="L1319" i="1"/>
  <c r="M1319" i="1"/>
  <c r="K1320" i="1"/>
  <c r="L1320" i="1"/>
  <c r="M1320" i="1"/>
  <c r="K1321" i="1"/>
  <c r="L1321" i="1"/>
  <c r="M1321" i="1"/>
  <c r="K1322" i="1"/>
  <c r="L1322" i="1"/>
  <c r="M1322" i="1"/>
  <c r="K1323" i="1"/>
  <c r="L1323" i="1"/>
  <c r="M1323" i="1"/>
  <c r="K1324" i="1"/>
  <c r="L1324" i="1"/>
  <c r="M1324" i="1"/>
  <c r="K1325" i="1"/>
  <c r="L1325" i="1"/>
  <c r="M1325" i="1"/>
  <c r="K1326" i="1"/>
  <c r="L1326" i="1"/>
  <c r="M1326" i="1"/>
  <c r="K1327" i="1"/>
  <c r="L1327" i="1"/>
  <c r="M1327" i="1"/>
  <c r="K1328" i="1"/>
  <c r="L1328" i="1"/>
  <c r="M1328" i="1"/>
  <c r="K1329" i="1"/>
  <c r="L1329" i="1"/>
  <c r="M1329" i="1"/>
  <c r="K1330" i="1"/>
  <c r="L1330" i="1"/>
  <c r="M1330" i="1"/>
  <c r="K1331" i="1"/>
  <c r="L1331" i="1"/>
  <c r="M1331" i="1"/>
  <c r="K1332" i="1"/>
  <c r="L1332" i="1"/>
  <c r="M1332" i="1"/>
  <c r="K1333" i="1"/>
  <c r="L1333" i="1"/>
  <c r="M1333" i="1"/>
  <c r="K1334" i="1"/>
  <c r="L1334" i="1"/>
  <c r="M1334" i="1"/>
  <c r="K1335" i="1"/>
  <c r="L1335" i="1"/>
  <c r="M1335" i="1"/>
  <c r="K1336" i="1"/>
  <c r="L1336" i="1"/>
  <c r="M1336" i="1"/>
  <c r="K1337" i="1"/>
  <c r="L1337" i="1"/>
  <c r="M1337" i="1"/>
  <c r="K1338" i="1"/>
  <c r="L1338" i="1"/>
  <c r="M1338" i="1"/>
  <c r="K1339" i="1"/>
  <c r="L1339" i="1"/>
  <c r="M1339" i="1"/>
  <c r="K1340" i="1"/>
  <c r="L1340" i="1"/>
  <c r="M1340" i="1"/>
  <c r="K1341" i="1"/>
  <c r="L1341" i="1"/>
  <c r="M1341" i="1"/>
  <c r="K1342" i="1"/>
  <c r="L1342" i="1"/>
  <c r="M1342" i="1"/>
  <c r="K1343" i="1"/>
  <c r="L1343" i="1"/>
  <c r="M1343" i="1"/>
  <c r="K1344" i="1"/>
  <c r="L1344" i="1"/>
  <c r="M1344" i="1"/>
  <c r="K1345" i="1"/>
  <c r="L1345" i="1"/>
  <c r="M1345" i="1"/>
  <c r="K1346" i="1"/>
  <c r="L1346" i="1"/>
  <c r="M1346" i="1"/>
  <c r="K1347" i="1"/>
  <c r="L1347" i="1"/>
  <c r="M1347" i="1"/>
  <c r="K1348" i="1"/>
  <c r="L1348" i="1"/>
  <c r="M1348" i="1"/>
  <c r="K1349" i="1"/>
  <c r="L1349" i="1"/>
  <c r="M1349" i="1"/>
  <c r="K1350" i="1"/>
  <c r="L1350" i="1"/>
  <c r="M1350" i="1"/>
  <c r="K1351" i="1"/>
  <c r="L1351" i="1"/>
  <c r="M1351" i="1"/>
  <c r="K1352" i="1"/>
  <c r="L1352" i="1"/>
  <c r="M1352" i="1"/>
  <c r="K1353" i="1"/>
  <c r="L1353" i="1"/>
  <c r="M1353" i="1"/>
  <c r="K1354" i="1"/>
  <c r="L1354" i="1"/>
  <c r="M1354" i="1"/>
  <c r="K1355" i="1"/>
  <c r="L1355" i="1"/>
  <c r="M1355" i="1"/>
  <c r="K1356" i="1"/>
  <c r="L1356" i="1"/>
  <c r="M1356" i="1"/>
  <c r="K1357" i="1"/>
  <c r="L1357" i="1"/>
  <c r="M1357" i="1"/>
  <c r="K1358" i="1"/>
  <c r="L1358" i="1"/>
  <c r="M1358" i="1"/>
  <c r="K1359" i="1"/>
  <c r="L1359" i="1"/>
  <c r="M1359" i="1"/>
  <c r="K1360" i="1"/>
  <c r="L1360" i="1"/>
  <c r="M1360" i="1"/>
  <c r="K1361" i="1"/>
  <c r="L1361" i="1"/>
  <c r="M1361" i="1"/>
  <c r="K1362" i="1"/>
  <c r="L1362" i="1"/>
  <c r="M1362" i="1"/>
  <c r="K1363" i="1"/>
  <c r="L1363" i="1"/>
  <c r="M1363" i="1"/>
  <c r="K1364" i="1"/>
  <c r="L1364" i="1"/>
  <c r="M1364" i="1"/>
  <c r="K1365" i="1"/>
  <c r="L1365" i="1"/>
  <c r="M1365" i="1"/>
  <c r="K1366" i="1"/>
  <c r="L1366" i="1"/>
  <c r="M1366" i="1"/>
  <c r="K1367" i="1"/>
  <c r="L1367" i="1"/>
  <c r="M1367" i="1"/>
  <c r="K1368" i="1"/>
  <c r="L1368" i="1"/>
  <c r="M1368" i="1"/>
  <c r="K1369" i="1"/>
  <c r="L1369" i="1"/>
  <c r="M1369" i="1"/>
  <c r="K1370" i="1"/>
  <c r="L1370" i="1"/>
  <c r="M1370" i="1"/>
  <c r="K1371" i="1"/>
  <c r="L1371" i="1"/>
  <c r="M1371" i="1"/>
  <c r="K1372" i="1"/>
  <c r="L1372" i="1"/>
  <c r="M1372" i="1"/>
  <c r="K1373" i="1"/>
  <c r="L1373" i="1"/>
  <c r="M1373" i="1"/>
  <c r="K1374" i="1"/>
  <c r="L1374" i="1"/>
  <c r="M1374" i="1"/>
  <c r="K1375" i="1"/>
  <c r="L1375" i="1"/>
  <c r="M1375" i="1"/>
  <c r="K1376" i="1"/>
  <c r="L1376" i="1"/>
  <c r="M1376" i="1"/>
  <c r="K1377" i="1"/>
  <c r="L1377" i="1"/>
  <c r="M1377" i="1"/>
  <c r="K1378" i="1"/>
  <c r="L1378" i="1"/>
  <c r="M1378" i="1"/>
  <c r="K1379" i="1"/>
  <c r="L1379" i="1"/>
  <c r="M1379" i="1"/>
  <c r="K1380" i="1"/>
  <c r="L1380" i="1"/>
  <c r="M1380" i="1"/>
  <c r="K1381" i="1"/>
  <c r="L1381" i="1"/>
  <c r="M1381" i="1"/>
  <c r="K1382" i="1"/>
  <c r="L1382" i="1"/>
  <c r="M1382" i="1"/>
  <c r="K1383" i="1"/>
  <c r="L1383" i="1"/>
  <c r="M1383" i="1"/>
  <c r="K1384" i="1"/>
  <c r="L1384" i="1"/>
  <c r="M1384" i="1"/>
  <c r="K1385" i="1"/>
  <c r="L1385" i="1"/>
  <c r="M1385" i="1"/>
  <c r="K1386" i="1"/>
  <c r="L1386" i="1"/>
  <c r="M1386" i="1"/>
  <c r="K1387" i="1"/>
  <c r="L1387" i="1"/>
  <c r="M1387" i="1"/>
  <c r="K1388" i="1"/>
  <c r="L1388" i="1"/>
  <c r="M1388" i="1"/>
  <c r="K1389" i="1"/>
  <c r="L1389" i="1"/>
  <c r="M1389" i="1"/>
  <c r="K1390" i="1"/>
  <c r="L1390" i="1"/>
  <c r="M1390" i="1"/>
  <c r="K1391" i="1"/>
  <c r="L1391" i="1"/>
  <c r="M1391" i="1"/>
  <c r="K1392" i="1"/>
  <c r="L1392" i="1"/>
  <c r="M1392" i="1"/>
  <c r="K1393" i="1"/>
  <c r="L1393" i="1"/>
  <c r="M1393" i="1"/>
  <c r="K1394" i="1"/>
  <c r="L1394" i="1"/>
  <c r="M1394" i="1"/>
  <c r="K1395" i="1"/>
  <c r="L1395" i="1"/>
  <c r="M1395" i="1"/>
  <c r="K1396" i="1"/>
  <c r="L1396" i="1"/>
  <c r="M1396" i="1"/>
  <c r="K1397" i="1"/>
  <c r="L1397" i="1"/>
  <c r="M1397" i="1"/>
  <c r="K1398" i="1"/>
  <c r="L1398" i="1"/>
  <c r="M1398" i="1"/>
  <c r="K1399" i="1"/>
  <c r="L1399" i="1"/>
  <c r="M1399" i="1"/>
  <c r="K1400" i="1"/>
  <c r="L1400" i="1"/>
  <c r="M1400" i="1"/>
  <c r="K1401" i="1"/>
  <c r="L1401" i="1"/>
  <c r="M1401" i="1"/>
  <c r="K1402" i="1"/>
  <c r="L1402" i="1"/>
  <c r="M1402" i="1"/>
  <c r="K1403" i="1"/>
  <c r="L1403" i="1"/>
  <c r="M1403" i="1"/>
  <c r="K1404" i="1"/>
  <c r="L1404" i="1"/>
  <c r="M1404" i="1"/>
  <c r="K1405" i="1"/>
  <c r="L1405" i="1"/>
  <c r="M1405" i="1"/>
  <c r="K1406" i="1"/>
  <c r="L1406" i="1"/>
  <c r="M1406" i="1"/>
  <c r="K1407" i="1"/>
  <c r="L1407" i="1"/>
  <c r="M1407" i="1"/>
  <c r="K1408" i="1"/>
  <c r="L1408" i="1"/>
  <c r="M1408" i="1"/>
  <c r="K1409" i="1"/>
  <c r="L1409" i="1"/>
  <c r="M1409" i="1"/>
  <c r="K1410" i="1"/>
  <c r="L1410" i="1"/>
  <c r="M1410" i="1"/>
  <c r="K1411" i="1"/>
  <c r="L1411" i="1"/>
  <c r="M1411" i="1"/>
  <c r="K1412" i="1"/>
  <c r="L1412" i="1"/>
  <c r="M1412" i="1"/>
  <c r="K1413" i="1"/>
  <c r="L1413" i="1"/>
  <c r="M1413" i="1"/>
  <c r="K1414" i="1"/>
  <c r="L1414" i="1"/>
  <c r="M1414" i="1"/>
  <c r="K1415" i="1"/>
  <c r="L1415" i="1"/>
  <c r="M1415" i="1"/>
  <c r="K1416" i="1"/>
  <c r="L1416" i="1"/>
  <c r="M1416" i="1"/>
  <c r="K1417" i="1"/>
  <c r="L1417" i="1"/>
  <c r="M1417" i="1"/>
  <c r="K1418" i="1"/>
  <c r="L1418" i="1"/>
  <c r="M1418" i="1"/>
  <c r="K1419" i="1"/>
  <c r="L1419" i="1"/>
  <c r="M1419" i="1"/>
  <c r="K1420" i="1"/>
  <c r="L1420" i="1"/>
  <c r="M1420" i="1"/>
  <c r="K1421" i="1"/>
  <c r="L1421" i="1"/>
  <c r="M1421" i="1"/>
  <c r="K1422" i="1"/>
  <c r="L1422" i="1"/>
  <c r="M1422" i="1"/>
  <c r="K1423" i="1"/>
  <c r="L1423" i="1"/>
  <c r="M1423" i="1"/>
  <c r="K1424" i="1"/>
  <c r="L1424" i="1"/>
  <c r="M1424" i="1"/>
  <c r="K1425" i="1"/>
  <c r="L1425" i="1"/>
  <c r="M1425" i="1"/>
  <c r="K1426" i="1"/>
  <c r="L1426" i="1"/>
  <c r="M1426" i="1"/>
  <c r="K1427" i="1"/>
  <c r="L1427" i="1"/>
  <c r="M1427" i="1"/>
  <c r="K1428" i="1"/>
  <c r="L1428" i="1"/>
  <c r="M1428" i="1"/>
  <c r="K1429" i="1"/>
  <c r="L1429" i="1"/>
  <c r="M1429" i="1"/>
  <c r="K1430" i="1"/>
  <c r="L1430" i="1"/>
  <c r="M1430" i="1"/>
  <c r="K1431" i="1"/>
  <c r="L1431" i="1"/>
  <c r="M1431" i="1"/>
  <c r="K1432" i="1"/>
  <c r="L1432" i="1"/>
  <c r="M1432" i="1"/>
  <c r="K1433" i="1"/>
  <c r="L1433" i="1"/>
  <c r="M1433" i="1"/>
  <c r="K1434" i="1"/>
  <c r="L1434" i="1"/>
  <c r="M1434" i="1"/>
  <c r="K1435" i="1"/>
  <c r="L1435" i="1"/>
  <c r="M1435" i="1"/>
  <c r="K1436" i="1"/>
  <c r="L1436" i="1"/>
  <c r="M1436" i="1"/>
  <c r="K1437" i="1"/>
  <c r="L1437" i="1"/>
  <c r="M1437" i="1"/>
  <c r="K1438" i="1"/>
  <c r="L1438" i="1"/>
  <c r="M1438" i="1"/>
  <c r="K1439" i="1"/>
  <c r="L1439" i="1"/>
  <c r="M1439" i="1"/>
  <c r="K1440" i="1"/>
  <c r="L1440" i="1"/>
  <c r="M1440" i="1"/>
  <c r="K1441" i="1"/>
  <c r="L1441" i="1"/>
  <c r="M1441" i="1"/>
  <c r="K1442" i="1"/>
  <c r="L1442" i="1"/>
  <c r="M1442" i="1"/>
  <c r="K1443" i="1"/>
  <c r="L1443" i="1"/>
  <c r="M1443" i="1"/>
  <c r="K1444" i="1"/>
  <c r="L1444" i="1"/>
  <c r="M1444" i="1"/>
  <c r="K1445" i="1"/>
  <c r="L1445" i="1"/>
  <c r="M1445" i="1"/>
  <c r="K1446" i="1"/>
  <c r="L1446" i="1"/>
  <c r="M1446" i="1"/>
  <c r="K1447" i="1"/>
  <c r="L1447" i="1"/>
  <c r="M1447" i="1"/>
  <c r="K1448" i="1"/>
  <c r="L1448" i="1"/>
  <c r="M1448" i="1"/>
  <c r="K1449" i="1"/>
  <c r="L1449" i="1"/>
  <c r="M1449" i="1"/>
  <c r="K1450" i="1"/>
  <c r="L1450" i="1"/>
  <c r="M1450" i="1"/>
  <c r="K1451" i="1"/>
  <c r="L1451" i="1"/>
  <c r="M1451" i="1"/>
  <c r="K1452" i="1"/>
  <c r="L1452" i="1"/>
  <c r="M1452" i="1"/>
  <c r="K1453" i="1"/>
  <c r="L1453" i="1"/>
  <c r="M1453" i="1"/>
  <c r="K1454" i="1"/>
  <c r="L1454" i="1"/>
  <c r="M1454" i="1"/>
  <c r="K1455" i="1"/>
  <c r="L1455" i="1"/>
  <c r="M1455" i="1"/>
  <c r="K1456" i="1"/>
  <c r="L1456" i="1"/>
  <c r="M1456" i="1"/>
  <c r="K1457" i="1"/>
  <c r="L1457" i="1"/>
  <c r="M1457" i="1"/>
  <c r="K1458" i="1"/>
  <c r="L1458" i="1"/>
  <c r="M1458" i="1"/>
  <c r="K1459" i="1"/>
  <c r="L1459" i="1"/>
  <c r="M1459" i="1"/>
  <c r="K1460" i="1"/>
  <c r="L1460" i="1"/>
  <c r="M1460" i="1"/>
  <c r="K1461" i="1"/>
  <c r="L1461" i="1"/>
  <c r="M1461" i="1"/>
  <c r="K1462" i="1"/>
  <c r="L1462" i="1"/>
  <c r="M1462" i="1"/>
  <c r="K1463" i="1"/>
  <c r="L1463" i="1"/>
  <c r="M1463" i="1"/>
  <c r="K1464" i="1"/>
  <c r="L1464" i="1"/>
  <c r="M1464" i="1"/>
  <c r="K1465" i="1"/>
  <c r="L1465" i="1"/>
  <c r="M1465" i="1"/>
  <c r="K1466" i="1"/>
  <c r="L1466" i="1"/>
  <c r="M1466" i="1"/>
  <c r="K1467" i="1"/>
  <c r="L1467" i="1"/>
  <c r="M1467" i="1"/>
  <c r="K1468" i="1"/>
  <c r="L1468" i="1"/>
  <c r="M1468" i="1"/>
  <c r="K1469" i="1"/>
  <c r="L1469" i="1"/>
  <c r="M1469" i="1"/>
  <c r="K1470" i="1"/>
  <c r="L1470" i="1"/>
  <c r="M1470" i="1"/>
  <c r="K1471" i="1"/>
  <c r="L1471" i="1"/>
  <c r="M1471" i="1"/>
  <c r="K1472" i="1"/>
  <c r="L1472" i="1"/>
  <c r="M1472" i="1"/>
  <c r="K1473" i="1"/>
  <c r="L1473" i="1"/>
  <c r="M1473" i="1"/>
  <c r="K1474" i="1"/>
  <c r="L1474" i="1"/>
  <c r="M1474" i="1"/>
  <c r="K1475" i="1"/>
  <c r="L1475" i="1"/>
  <c r="M1475" i="1"/>
  <c r="K1476" i="1"/>
  <c r="L1476" i="1"/>
  <c r="M1476" i="1"/>
  <c r="K1477" i="1"/>
  <c r="L1477" i="1"/>
  <c r="M1477" i="1"/>
  <c r="K1478" i="1"/>
  <c r="L1478" i="1"/>
  <c r="M1478" i="1"/>
  <c r="K1479" i="1"/>
  <c r="L1479" i="1"/>
  <c r="M1479" i="1"/>
  <c r="K1480" i="1"/>
  <c r="L1480" i="1"/>
  <c r="M1480" i="1"/>
  <c r="K1481" i="1"/>
  <c r="L1481" i="1"/>
  <c r="M1481" i="1"/>
  <c r="K1482" i="1"/>
  <c r="L1482" i="1"/>
  <c r="M1482" i="1"/>
  <c r="K1483" i="1"/>
  <c r="L1483" i="1"/>
  <c r="M1483" i="1"/>
  <c r="K1484" i="1"/>
  <c r="L1484" i="1"/>
  <c r="M1484" i="1"/>
  <c r="K1485" i="1"/>
  <c r="L1485" i="1"/>
  <c r="M1485" i="1"/>
  <c r="K1486" i="1"/>
  <c r="L1486" i="1"/>
  <c r="M1486" i="1"/>
  <c r="K1487" i="1"/>
  <c r="L1487" i="1"/>
  <c r="M1487" i="1"/>
  <c r="K1488" i="1"/>
  <c r="L1488" i="1"/>
  <c r="M1488" i="1"/>
  <c r="K1489" i="1"/>
  <c r="L1489" i="1"/>
  <c r="M1489" i="1"/>
  <c r="K1490" i="1"/>
  <c r="L1490" i="1"/>
  <c r="M1490" i="1"/>
  <c r="K1491" i="1"/>
  <c r="L1491" i="1"/>
  <c r="M1491" i="1"/>
  <c r="K1492" i="1"/>
  <c r="L1492" i="1"/>
  <c r="M1492" i="1"/>
  <c r="K1493" i="1"/>
  <c r="L1493" i="1"/>
  <c r="M1493" i="1"/>
  <c r="K1494" i="1"/>
  <c r="L1494" i="1"/>
  <c r="M1494" i="1"/>
  <c r="K1495" i="1"/>
  <c r="L1495" i="1"/>
  <c r="M1495" i="1"/>
  <c r="K1496" i="1"/>
  <c r="L1496" i="1"/>
  <c r="M1496" i="1"/>
  <c r="K1497" i="1"/>
  <c r="L1497" i="1"/>
  <c r="M1497" i="1"/>
  <c r="K1498" i="1"/>
  <c r="L1498" i="1"/>
  <c r="M1498" i="1"/>
  <c r="K1499" i="1"/>
  <c r="L1499" i="1"/>
  <c r="M1499" i="1"/>
  <c r="K1500" i="1"/>
  <c r="L1500" i="1"/>
  <c r="M1500" i="1"/>
  <c r="K1501" i="1"/>
  <c r="L1501" i="1"/>
  <c r="M1501" i="1"/>
  <c r="K1502" i="1"/>
  <c r="L1502" i="1"/>
  <c r="M1502" i="1"/>
  <c r="K1503" i="1"/>
  <c r="L1503" i="1"/>
  <c r="M1503" i="1"/>
  <c r="K1504" i="1"/>
  <c r="L1504" i="1"/>
  <c r="M1504" i="1"/>
  <c r="K1505" i="1"/>
  <c r="L1505" i="1"/>
  <c r="M1505" i="1"/>
  <c r="K1506" i="1"/>
  <c r="L1506" i="1"/>
  <c r="M1506" i="1"/>
  <c r="K1507" i="1"/>
  <c r="L1507" i="1"/>
  <c r="M1507" i="1"/>
  <c r="K1508" i="1"/>
  <c r="L1508" i="1"/>
  <c r="M1508" i="1"/>
  <c r="K1509" i="1"/>
  <c r="L1509" i="1"/>
  <c r="M1509" i="1"/>
  <c r="K1510" i="1"/>
  <c r="L1510" i="1"/>
  <c r="M1510" i="1"/>
  <c r="K1511" i="1"/>
  <c r="L1511" i="1"/>
  <c r="M1511" i="1"/>
  <c r="K1512" i="1"/>
  <c r="L1512" i="1"/>
  <c r="M1512" i="1"/>
  <c r="K1513" i="1"/>
  <c r="L1513" i="1"/>
  <c r="M1513" i="1"/>
  <c r="K1514" i="1"/>
  <c r="L1514" i="1"/>
  <c r="M1514" i="1"/>
  <c r="K1515" i="1"/>
  <c r="L1515" i="1"/>
  <c r="M1515" i="1"/>
  <c r="K1516" i="1"/>
  <c r="L1516" i="1"/>
  <c r="M1516" i="1"/>
  <c r="K1517" i="1"/>
  <c r="L1517" i="1"/>
  <c r="M1517" i="1"/>
  <c r="K1518" i="1"/>
  <c r="L1518" i="1"/>
  <c r="M1518" i="1"/>
  <c r="K1519" i="1"/>
  <c r="L1519" i="1"/>
  <c r="M1519" i="1"/>
  <c r="K1520" i="1"/>
  <c r="L1520" i="1"/>
  <c r="M1520" i="1"/>
  <c r="K1521" i="1"/>
  <c r="L1521" i="1"/>
  <c r="M1521" i="1"/>
  <c r="K1522" i="1"/>
  <c r="L1522" i="1"/>
  <c r="M1522" i="1"/>
  <c r="K1523" i="1"/>
  <c r="L1523" i="1"/>
  <c r="M1523" i="1"/>
  <c r="K1524" i="1"/>
  <c r="L1524" i="1"/>
  <c r="M1524" i="1"/>
  <c r="K1525" i="1"/>
  <c r="L1525" i="1"/>
  <c r="M1525" i="1"/>
  <c r="K1526" i="1"/>
  <c r="L1526" i="1"/>
  <c r="M1526" i="1"/>
  <c r="K1527" i="1"/>
  <c r="L1527" i="1"/>
  <c r="M1527" i="1"/>
  <c r="K1528" i="1"/>
  <c r="L1528" i="1"/>
  <c r="M1528" i="1"/>
  <c r="K1529" i="1"/>
  <c r="L1529" i="1"/>
  <c r="M1529" i="1"/>
  <c r="K1530" i="1"/>
  <c r="L1530" i="1"/>
  <c r="M1530" i="1"/>
  <c r="K1531" i="1"/>
  <c r="L1531" i="1"/>
  <c r="M1531" i="1"/>
  <c r="K1532" i="1"/>
  <c r="L1532" i="1"/>
  <c r="M1532" i="1"/>
  <c r="K1533" i="1"/>
  <c r="L1533" i="1"/>
  <c r="M1533" i="1"/>
  <c r="K1534" i="1"/>
  <c r="L1534" i="1"/>
  <c r="M1534" i="1"/>
  <c r="K1535" i="1"/>
  <c r="L1535" i="1"/>
  <c r="M1535" i="1"/>
  <c r="K1536" i="1"/>
  <c r="L1536" i="1"/>
  <c r="M1536" i="1"/>
  <c r="K1537" i="1"/>
  <c r="L1537" i="1"/>
  <c r="M1537" i="1"/>
  <c r="K1538" i="1"/>
  <c r="L1538" i="1"/>
  <c r="M1538" i="1"/>
  <c r="K1539" i="1"/>
  <c r="L1539" i="1"/>
  <c r="M1539" i="1"/>
  <c r="K1540" i="1"/>
  <c r="L1540" i="1"/>
  <c r="M1540" i="1"/>
  <c r="K1541" i="1"/>
  <c r="L1541" i="1"/>
  <c r="M1541" i="1"/>
  <c r="K1542" i="1"/>
  <c r="L1542" i="1"/>
  <c r="M1542" i="1"/>
  <c r="K1543" i="1"/>
  <c r="L1543" i="1"/>
  <c r="M1543" i="1"/>
  <c r="K1544" i="1"/>
  <c r="L1544" i="1"/>
  <c r="M1544" i="1"/>
  <c r="K1545" i="1"/>
  <c r="L1545" i="1"/>
  <c r="M1545" i="1"/>
  <c r="K1546" i="1"/>
  <c r="L1546" i="1"/>
  <c r="M1546" i="1"/>
  <c r="K1547" i="1"/>
  <c r="L1547" i="1"/>
  <c r="M1547" i="1"/>
  <c r="K1548" i="1"/>
  <c r="L1548" i="1"/>
  <c r="M1548" i="1"/>
  <c r="K1549" i="1"/>
  <c r="L1549" i="1"/>
  <c r="M1549" i="1"/>
  <c r="K1550" i="1"/>
  <c r="L1550" i="1"/>
  <c r="M1550" i="1"/>
  <c r="K1551" i="1"/>
  <c r="L1551" i="1"/>
  <c r="M1551" i="1"/>
  <c r="K1552" i="1"/>
  <c r="L1552" i="1"/>
  <c r="M1552" i="1"/>
  <c r="K1553" i="1"/>
  <c r="L1553" i="1"/>
  <c r="M1553" i="1"/>
  <c r="K1554" i="1"/>
  <c r="L1554" i="1"/>
  <c r="M1554" i="1"/>
  <c r="K1555" i="1"/>
  <c r="L1555" i="1"/>
  <c r="M1555" i="1"/>
  <c r="K1556" i="1"/>
  <c r="L1556" i="1"/>
  <c r="M1556" i="1"/>
  <c r="K1557" i="1"/>
  <c r="L1557" i="1"/>
  <c r="M1557" i="1"/>
  <c r="K1558" i="1"/>
  <c r="L1558" i="1"/>
  <c r="M1558" i="1"/>
  <c r="K1559" i="1"/>
  <c r="L1559" i="1"/>
  <c r="M1559" i="1"/>
  <c r="K1560" i="1"/>
  <c r="L1560" i="1"/>
  <c r="M1560" i="1"/>
  <c r="K1561" i="1"/>
  <c r="L1561" i="1"/>
  <c r="M1561" i="1"/>
  <c r="K1562" i="1"/>
  <c r="L1562" i="1"/>
  <c r="M1562" i="1"/>
  <c r="K1563" i="1"/>
  <c r="L1563" i="1"/>
  <c r="M1563" i="1"/>
  <c r="K1564" i="1"/>
  <c r="L1564" i="1"/>
  <c r="M1564" i="1"/>
  <c r="K1565" i="1"/>
  <c r="L1565" i="1"/>
  <c r="M1565" i="1"/>
  <c r="K1566" i="1"/>
  <c r="L1566" i="1"/>
  <c r="M1566" i="1"/>
  <c r="K1567" i="1"/>
  <c r="L1567" i="1"/>
  <c r="M1567" i="1"/>
  <c r="K1568" i="1"/>
  <c r="L1568" i="1"/>
  <c r="M1568" i="1"/>
  <c r="K1569" i="1"/>
  <c r="L1569" i="1"/>
  <c r="M1569" i="1"/>
  <c r="K1570" i="1"/>
  <c r="L1570" i="1"/>
  <c r="M1570" i="1"/>
  <c r="K1571" i="1"/>
  <c r="L1571" i="1"/>
  <c r="M1571" i="1"/>
  <c r="K1572" i="1"/>
  <c r="L1572" i="1"/>
  <c r="M1572" i="1"/>
  <c r="K1573" i="1"/>
  <c r="L1573" i="1"/>
  <c r="M1573" i="1"/>
  <c r="K1574" i="1"/>
  <c r="L1574" i="1"/>
  <c r="M1574" i="1"/>
  <c r="K1575" i="1"/>
  <c r="L1575" i="1"/>
  <c r="M1575" i="1"/>
  <c r="K1576" i="1"/>
  <c r="L1576" i="1"/>
  <c r="M1576" i="1"/>
  <c r="K1577" i="1"/>
  <c r="L1577" i="1"/>
  <c r="M1577" i="1"/>
  <c r="K1578" i="1"/>
  <c r="L1578" i="1"/>
  <c r="M1578" i="1"/>
  <c r="K1579" i="1"/>
  <c r="L1579" i="1"/>
  <c r="M1579" i="1"/>
  <c r="K1580" i="1"/>
  <c r="L1580" i="1"/>
  <c r="M1580" i="1"/>
  <c r="K1581" i="1"/>
  <c r="L1581" i="1"/>
  <c r="M1581" i="1"/>
  <c r="K1582" i="1"/>
  <c r="L1582" i="1"/>
  <c r="M1582" i="1"/>
  <c r="K1583" i="1"/>
  <c r="L1583" i="1"/>
  <c r="M1583" i="1"/>
  <c r="K1584" i="1"/>
  <c r="L1584" i="1"/>
  <c r="M1584" i="1"/>
  <c r="K1585" i="1"/>
  <c r="L1585" i="1"/>
  <c r="M1585" i="1"/>
  <c r="K1586" i="1"/>
  <c r="L1586" i="1"/>
  <c r="M1586" i="1"/>
  <c r="K1587" i="1"/>
  <c r="L1587" i="1"/>
  <c r="M1587" i="1"/>
  <c r="K1588" i="1"/>
  <c r="L1588" i="1"/>
  <c r="M1588" i="1"/>
  <c r="K1589" i="1"/>
  <c r="L1589" i="1"/>
  <c r="M1589" i="1"/>
  <c r="K1590" i="1"/>
  <c r="L1590" i="1"/>
  <c r="M1590" i="1"/>
  <c r="K1591" i="1"/>
  <c r="L1591" i="1"/>
  <c r="M1591" i="1"/>
  <c r="K1592" i="1"/>
  <c r="L1592" i="1"/>
  <c r="M1592" i="1"/>
  <c r="K1593" i="1"/>
  <c r="L1593" i="1"/>
  <c r="M1593" i="1"/>
  <c r="K1594" i="1"/>
  <c r="L1594" i="1"/>
  <c r="M1594" i="1"/>
  <c r="K1595" i="1"/>
  <c r="L1595" i="1"/>
  <c r="M1595" i="1"/>
  <c r="K1596" i="1"/>
  <c r="L1596" i="1"/>
  <c r="M1596" i="1"/>
  <c r="K1597" i="1"/>
  <c r="L1597" i="1"/>
  <c r="M1597" i="1"/>
  <c r="K1598" i="1"/>
  <c r="L1598" i="1"/>
  <c r="M1598" i="1"/>
  <c r="K1599" i="1"/>
  <c r="L1599" i="1"/>
  <c r="M1599" i="1"/>
  <c r="K1600" i="1"/>
  <c r="L1600" i="1"/>
  <c r="M1600" i="1"/>
  <c r="K1601" i="1"/>
  <c r="L1601" i="1"/>
  <c r="M1601" i="1"/>
  <c r="K1602" i="1"/>
  <c r="L1602" i="1"/>
  <c r="M1602" i="1"/>
  <c r="K1603" i="1"/>
  <c r="L1603" i="1"/>
  <c r="M1603" i="1"/>
  <c r="K1604" i="1"/>
  <c r="L1604" i="1"/>
  <c r="M1604" i="1"/>
  <c r="K1605" i="1"/>
  <c r="L1605" i="1"/>
  <c r="M1605" i="1"/>
  <c r="K1606" i="1"/>
  <c r="L1606" i="1"/>
  <c r="M1606" i="1"/>
  <c r="K1607" i="1"/>
  <c r="L1607" i="1"/>
  <c r="M1607" i="1"/>
  <c r="K1608" i="1"/>
  <c r="L1608" i="1"/>
  <c r="M1608" i="1"/>
  <c r="K1609" i="1"/>
  <c r="L1609" i="1"/>
  <c r="M1609" i="1"/>
  <c r="K1610" i="1"/>
  <c r="L1610" i="1"/>
  <c r="M1610" i="1"/>
  <c r="K1611" i="1"/>
  <c r="L1611" i="1"/>
  <c r="M1611" i="1"/>
  <c r="K1612" i="1"/>
  <c r="L1612" i="1"/>
  <c r="M1612" i="1"/>
  <c r="K1613" i="1"/>
  <c r="L1613" i="1"/>
  <c r="M1613" i="1"/>
  <c r="K1614" i="1"/>
  <c r="L1614" i="1"/>
  <c r="M1614" i="1"/>
  <c r="K1615" i="1"/>
  <c r="L1615" i="1"/>
  <c r="M1615" i="1"/>
  <c r="K1616" i="1"/>
  <c r="L1616" i="1"/>
  <c r="M1616" i="1"/>
  <c r="K1617" i="1"/>
  <c r="L1617" i="1"/>
  <c r="M1617" i="1"/>
  <c r="K1618" i="1"/>
  <c r="L1618" i="1"/>
  <c r="M1618" i="1"/>
  <c r="K1619" i="1"/>
  <c r="L1619" i="1"/>
  <c r="M1619" i="1"/>
  <c r="K1620" i="1"/>
  <c r="L1620" i="1"/>
  <c r="M1620" i="1"/>
  <c r="K1621" i="1"/>
  <c r="L1621" i="1"/>
  <c r="M1621" i="1"/>
  <c r="K1622" i="1"/>
  <c r="L1622" i="1"/>
  <c r="M1622" i="1"/>
  <c r="K1623" i="1"/>
  <c r="L1623" i="1"/>
  <c r="M1623" i="1"/>
  <c r="K1624" i="1"/>
  <c r="L1624" i="1"/>
  <c r="M1624" i="1"/>
  <c r="K1625" i="1"/>
  <c r="L1625" i="1"/>
  <c r="M1625" i="1"/>
  <c r="K1626" i="1"/>
  <c r="L1626" i="1"/>
  <c r="M1626" i="1"/>
  <c r="K1627" i="1"/>
  <c r="L1627" i="1"/>
  <c r="M1627" i="1"/>
  <c r="K1628" i="1"/>
  <c r="L1628" i="1"/>
  <c r="M1628" i="1"/>
  <c r="K1629" i="1"/>
  <c r="L1629" i="1"/>
  <c r="M1629" i="1"/>
  <c r="K1630" i="1"/>
  <c r="L1630" i="1"/>
  <c r="M1630" i="1"/>
  <c r="K1631" i="1"/>
  <c r="L1631" i="1"/>
  <c r="M1631" i="1"/>
  <c r="K1632" i="1"/>
  <c r="L1632" i="1"/>
  <c r="M1632" i="1"/>
  <c r="K1633" i="1"/>
  <c r="L1633" i="1"/>
  <c r="M1633" i="1"/>
  <c r="K1634" i="1"/>
  <c r="L1634" i="1"/>
  <c r="M1634" i="1"/>
  <c r="K1635" i="1"/>
  <c r="L1635" i="1"/>
  <c r="M1635" i="1"/>
  <c r="K1636" i="1"/>
  <c r="L1636" i="1"/>
  <c r="M1636" i="1"/>
  <c r="K1637" i="1"/>
  <c r="L1637" i="1"/>
  <c r="M1637" i="1"/>
  <c r="K1638" i="1"/>
  <c r="L1638" i="1"/>
  <c r="M1638" i="1"/>
  <c r="K1639" i="1"/>
  <c r="L1639" i="1"/>
  <c r="M1639" i="1"/>
  <c r="K1640" i="1"/>
  <c r="L1640" i="1"/>
  <c r="M1640" i="1"/>
  <c r="K1641" i="1"/>
  <c r="L1641" i="1"/>
  <c r="M1641" i="1"/>
  <c r="K1642" i="1"/>
  <c r="L1642" i="1"/>
  <c r="M1642" i="1"/>
  <c r="K1643" i="1"/>
  <c r="L1643" i="1"/>
  <c r="M1643" i="1"/>
  <c r="K1644" i="1"/>
  <c r="L1644" i="1"/>
  <c r="M1644" i="1"/>
  <c r="K1645" i="1"/>
  <c r="L1645" i="1"/>
  <c r="M1645" i="1"/>
  <c r="K1646" i="1"/>
  <c r="L1646" i="1"/>
  <c r="M1646" i="1"/>
  <c r="K1647" i="1"/>
  <c r="L1647" i="1"/>
  <c r="M1647" i="1"/>
  <c r="K1648" i="1"/>
  <c r="L1648" i="1"/>
  <c r="M1648" i="1"/>
  <c r="K1649" i="1"/>
  <c r="L1649" i="1"/>
  <c r="M1649" i="1"/>
  <c r="K1650" i="1"/>
  <c r="L1650" i="1"/>
  <c r="M1650" i="1"/>
  <c r="K1651" i="1"/>
  <c r="L1651" i="1"/>
  <c r="M1651" i="1"/>
  <c r="K1652" i="1"/>
  <c r="L1652" i="1"/>
  <c r="M1652" i="1"/>
  <c r="K1653" i="1"/>
  <c r="L1653" i="1"/>
  <c r="M1653" i="1"/>
  <c r="K1654" i="1"/>
  <c r="L1654" i="1"/>
  <c r="M1654" i="1"/>
  <c r="K1655" i="1"/>
  <c r="L1655" i="1"/>
  <c r="M1655" i="1"/>
  <c r="K1656" i="1"/>
  <c r="L1656" i="1"/>
  <c r="M1656" i="1"/>
  <c r="K1657" i="1"/>
  <c r="L1657" i="1"/>
  <c r="M1657" i="1"/>
  <c r="K1658" i="1"/>
  <c r="L1658" i="1"/>
  <c r="M1658" i="1"/>
  <c r="K1659" i="1"/>
  <c r="L1659" i="1"/>
  <c r="M1659" i="1"/>
  <c r="K1660" i="1"/>
  <c r="L1660" i="1"/>
  <c r="M1660" i="1"/>
  <c r="K1661" i="1"/>
  <c r="L1661" i="1"/>
  <c r="M1661" i="1"/>
  <c r="K1662" i="1"/>
  <c r="L1662" i="1"/>
  <c r="M1662" i="1"/>
  <c r="K1663" i="1"/>
  <c r="L1663" i="1"/>
  <c r="M1663" i="1"/>
  <c r="K1664" i="1"/>
  <c r="L1664" i="1"/>
  <c r="M1664" i="1"/>
  <c r="K1665" i="1"/>
  <c r="L1665" i="1"/>
  <c r="M1665" i="1"/>
  <c r="K1666" i="1"/>
  <c r="L1666" i="1"/>
  <c r="M1666" i="1"/>
  <c r="K1667" i="1"/>
  <c r="L1667" i="1"/>
  <c r="M1667" i="1"/>
  <c r="K1668" i="1"/>
  <c r="L1668" i="1"/>
  <c r="M1668" i="1"/>
  <c r="K1669" i="1"/>
  <c r="L1669" i="1"/>
  <c r="M1669" i="1"/>
  <c r="K1670" i="1"/>
  <c r="L1670" i="1"/>
  <c r="M1670" i="1"/>
  <c r="K1671" i="1"/>
  <c r="L1671" i="1"/>
  <c r="M1671" i="1"/>
  <c r="K1672" i="1"/>
  <c r="L1672" i="1"/>
  <c r="M1672" i="1"/>
  <c r="K1673" i="1"/>
  <c r="L1673" i="1"/>
  <c r="M1673" i="1"/>
  <c r="K1674" i="1"/>
  <c r="L1674" i="1"/>
  <c r="M1674" i="1"/>
  <c r="K1675" i="1"/>
  <c r="L1675" i="1"/>
  <c r="M1675" i="1"/>
  <c r="K1676" i="1"/>
  <c r="L1676" i="1"/>
  <c r="M1676" i="1"/>
  <c r="K1677" i="1"/>
  <c r="L1677" i="1"/>
  <c r="M1677" i="1"/>
  <c r="K1678" i="1"/>
  <c r="L1678" i="1"/>
  <c r="M1678" i="1"/>
  <c r="K1679" i="1"/>
  <c r="L1679" i="1"/>
  <c r="M1679" i="1"/>
  <c r="K1680" i="1"/>
  <c r="L1680" i="1"/>
  <c r="M1680" i="1"/>
  <c r="K1681" i="1"/>
  <c r="L1681" i="1"/>
  <c r="M1681" i="1"/>
  <c r="K1682" i="1"/>
  <c r="L1682" i="1"/>
  <c r="M1682" i="1"/>
  <c r="K1683" i="1"/>
  <c r="L1683" i="1"/>
  <c r="M1683" i="1"/>
  <c r="K1684" i="1"/>
  <c r="L1684" i="1"/>
  <c r="M1684" i="1"/>
  <c r="K1685" i="1"/>
  <c r="L1685" i="1"/>
  <c r="M1685" i="1"/>
  <c r="K1686" i="1"/>
  <c r="L1686" i="1"/>
  <c r="M1686" i="1"/>
  <c r="K1687" i="1"/>
  <c r="L1687" i="1"/>
  <c r="M1687" i="1"/>
  <c r="K1688" i="1"/>
  <c r="L1688" i="1"/>
  <c r="M1688" i="1"/>
  <c r="K1689" i="1"/>
  <c r="L1689" i="1"/>
  <c r="M1689" i="1"/>
  <c r="K1690" i="1"/>
  <c r="L1690" i="1"/>
  <c r="M1690" i="1"/>
  <c r="K1691" i="1"/>
  <c r="L1691" i="1"/>
  <c r="M1691" i="1"/>
  <c r="K1692" i="1"/>
  <c r="L1692" i="1"/>
  <c r="M1692" i="1"/>
  <c r="K1693" i="1"/>
  <c r="L1693" i="1"/>
  <c r="M1693" i="1"/>
  <c r="K1694" i="1"/>
  <c r="L1694" i="1"/>
  <c r="M1694" i="1"/>
  <c r="K1695" i="1"/>
  <c r="L1695" i="1"/>
  <c r="M1695" i="1"/>
  <c r="K1696" i="1"/>
  <c r="L1696" i="1"/>
  <c r="M1696" i="1"/>
  <c r="K1697" i="1"/>
  <c r="L1697" i="1"/>
  <c r="M1697" i="1"/>
  <c r="K1698" i="1"/>
  <c r="L1698" i="1"/>
  <c r="M1698" i="1"/>
  <c r="K1699" i="1"/>
  <c r="L1699" i="1"/>
  <c r="M1699" i="1"/>
  <c r="K1700" i="1"/>
  <c r="L1700" i="1"/>
  <c r="M1700" i="1"/>
  <c r="K1701" i="1"/>
  <c r="L1701" i="1"/>
  <c r="M1701" i="1"/>
  <c r="K1702" i="1"/>
  <c r="L1702" i="1"/>
  <c r="M1702" i="1"/>
  <c r="K1703" i="1"/>
  <c r="L1703" i="1"/>
  <c r="M1703" i="1"/>
  <c r="K1704" i="1"/>
  <c r="L1704" i="1"/>
  <c r="M1704" i="1"/>
  <c r="K1705" i="1"/>
  <c r="L1705" i="1"/>
  <c r="M1705" i="1"/>
  <c r="K1706" i="1"/>
  <c r="L1706" i="1"/>
  <c r="M1706" i="1"/>
  <c r="K1707" i="1"/>
  <c r="L1707" i="1"/>
  <c r="M1707" i="1"/>
  <c r="K1708" i="1"/>
  <c r="L1708" i="1"/>
  <c r="M1708" i="1"/>
  <c r="K1709" i="1"/>
  <c r="L1709" i="1"/>
  <c r="M1709" i="1"/>
  <c r="K1710" i="1"/>
  <c r="L1710" i="1"/>
  <c r="M1710" i="1"/>
  <c r="K1711" i="1"/>
  <c r="L1711" i="1"/>
  <c r="M1711" i="1"/>
  <c r="K1712" i="1"/>
  <c r="L1712" i="1"/>
  <c r="M1712" i="1"/>
  <c r="K1713" i="1"/>
  <c r="L1713" i="1"/>
  <c r="M1713" i="1"/>
  <c r="K1714" i="1"/>
  <c r="L1714" i="1"/>
  <c r="M1714" i="1"/>
  <c r="K1715" i="1"/>
  <c r="L1715" i="1"/>
  <c r="M1715" i="1"/>
  <c r="K1716" i="1"/>
  <c r="L1716" i="1"/>
  <c r="M1716" i="1"/>
  <c r="K1717" i="1"/>
  <c r="L1717" i="1"/>
  <c r="M1717" i="1"/>
  <c r="K1718" i="1"/>
  <c r="L1718" i="1"/>
  <c r="M1718" i="1"/>
  <c r="K1719" i="1"/>
  <c r="L1719" i="1"/>
  <c r="M1719" i="1"/>
  <c r="K1720" i="1"/>
  <c r="L1720" i="1"/>
  <c r="M1720" i="1"/>
  <c r="K1721" i="1"/>
  <c r="L1721" i="1"/>
  <c r="M1721" i="1"/>
  <c r="K1722" i="1"/>
  <c r="L1722" i="1"/>
  <c r="M1722" i="1"/>
  <c r="K1723" i="1"/>
  <c r="L1723" i="1"/>
  <c r="M1723" i="1"/>
  <c r="L5" i="1"/>
  <c r="Q24" i="1" s="1"/>
  <c r="M5" i="1"/>
  <c r="R15" i="1" s="1"/>
  <c r="R17" i="1" s="1"/>
  <c r="R30" i="1" s="1"/>
  <c r="K5" i="1"/>
  <c r="P15" i="1" s="1"/>
  <c r="P17" i="1" s="1"/>
  <c r="P28" i="1" s="1"/>
  <c r="Q8" i="1"/>
  <c r="R8" i="1"/>
  <c r="P8" i="1"/>
  <c r="P102" i="1" l="1" a="1"/>
  <c r="P102" i="1" s="1"/>
  <c r="R25" i="1"/>
  <c r="Q15" i="1"/>
  <c r="Q17" i="1" s="1"/>
  <c r="Q29" i="1" s="1"/>
  <c r="P32" i="1" s="1" a="1"/>
  <c r="P32" i="1" s="1"/>
  <c r="P36" i="1" s="1" a="1"/>
  <c r="P36" i="1" s="1"/>
  <c r="P40" i="1" s="1" a="1"/>
  <c r="G818" i="1"/>
  <c r="G780" i="1"/>
  <c r="G1385" i="1"/>
  <c r="G615" i="1"/>
  <c r="G1384" i="1"/>
  <c r="G612" i="1"/>
  <c r="G1661" i="1"/>
  <c r="G1029" i="1"/>
  <c r="G1660" i="1"/>
  <c r="G1028" i="1"/>
  <c r="G1640" i="1"/>
  <c r="G517" i="1"/>
  <c r="G255" i="1"/>
  <c r="G1491" i="1"/>
  <c r="G1166" i="1"/>
  <c r="G1682" i="1"/>
  <c r="G1056" i="1"/>
  <c r="G1681" i="1"/>
  <c r="G1055" i="1"/>
  <c r="G1365" i="1"/>
  <c r="G556" i="1"/>
  <c r="G1361" i="1"/>
  <c r="G555" i="1"/>
  <c r="G1337" i="1"/>
  <c r="G1002" i="1"/>
  <c r="G1637" i="1"/>
  <c r="G1335" i="1"/>
  <c r="G1001" i="1"/>
  <c r="G506" i="1"/>
  <c r="G1540" i="1"/>
  <c r="G1225" i="1"/>
  <c r="G862" i="1"/>
  <c r="G314" i="1"/>
  <c r="G1539" i="1"/>
  <c r="G1219" i="1"/>
  <c r="G858" i="1"/>
  <c r="G310" i="1"/>
  <c r="G1515" i="1"/>
  <c r="G1198" i="1"/>
  <c r="G49" i="1"/>
  <c r="G1514" i="1"/>
  <c r="G1197" i="1"/>
  <c r="G817" i="1"/>
  <c r="G254" i="1"/>
  <c r="G1492" i="1"/>
  <c r="G1173" i="1"/>
  <c r="G786" i="1"/>
  <c r="G215" i="1"/>
  <c r="G205" i="1"/>
  <c r="G1464" i="1"/>
  <c r="G1306" i="1"/>
  <c r="G964" i="1"/>
  <c r="G743" i="1"/>
  <c r="G157" i="1"/>
  <c r="G1611" i="1"/>
  <c r="G1463" i="1"/>
  <c r="G1138" i="1"/>
  <c r="G742" i="1"/>
  <c r="G457" i="1"/>
  <c r="G1281" i="1"/>
  <c r="G1592" i="1"/>
  <c r="G1438" i="1"/>
  <c r="G1280" i="1"/>
  <c r="G1111" i="1"/>
  <c r="G932" i="1"/>
  <c r="G702" i="1"/>
  <c r="G409" i="1"/>
  <c r="G108" i="1"/>
  <c r="G963" i="1"/>
  <c r="G50" i="1"/>
  <c r="G1616" i="1"/>
  <c r="G1139" i="1"/>
  <c r="G458" i="1"/>
  <c r="G1305" i="1"/>
  <c r="G156" i="1"/>
  <c r="G1593" i="1"/>
  <c r="G1439" i="1"/>
  <c r="G1112" i="1"/>
  <c r="G934" i="1"/>
  <c r="G706" i="1"/>
  <c r="G412" i="1"/>
  <c r="G111" i="1"/>
  <c r="G1708" i="1"/>
  <c r="G1571" i="1"/>
  <c r="G1416" i="1"/>
  <c r="G1254" i="1"/>
  <c r="G1087" i="1"/>
  <c r="G892" i="1"/>
  <c r="G657" i="1"/>
  <c r="G353" i="1"/>
  <c r="G1707" i="1"/>
  <c r="G1565" i="1"/>
  <c r="G1415" i="1"/>
  <c r="G1253" i="1"/>
  <c r="G1086" i="1"/>
  <c r="G891" i="1"/>
  <c r="G654" i="1"/>
  <c r="G352" i="1"/>
  <c r="G6" i="1"/>
  <c r="G18" i="1"/>
  <c r="G30" i="1"/>
  <c r="G42" i="1"/>
  <c r="G54" i="1"/>
  <c r="G66" i="1"/>
  <c r="G78" i="1"/>
  <c r="G90" i="1"/>
  <c r="G102" i="1"/>
  <c r="G114" i="1"/>
  <c r="G126" i="1"/>
  <c r="G138" i="1"/>
  <c r="G150" i="1"/>
  <c r="G162" i="1"/>
  <c r="G174" i="1"/>
  <c r="G186" i="1"/>
  <c r="G198" i="1"/>
  <c r="G210" i="1"/>
  <c r="G222" i="1"/>
  <c r="G234" i="1"/>
  <c r="G246" i="1"/>
  <c r="G258" i="1"/>
  <c r="G270" i="1"/>
  <c r="G282" i="1"/>
  <c r="G294" i="1"/>
  <c r="G306" i="1"/>
  <c r="G318" i="1"/>
  <c r="G330" i="1"/>
  <c r="G342" i="1"/>
  <c r="G354" i="1"/>
  <c r="G366" i="1"/>
  <c r="G378" i="1"/>
  <c r="G390" i="1"/>
  <c r="G402" i="1"/>
  <c r="G414" i="1"/>
  <c r="G426" i="1"/>
  <c r="G438" i="1"/>
  <c r="G450" i="1"/>
  <c r="G462" i="1"/>
  <c r="G474" i="1"/>
  <c r="G486" i="1"/>
  <c r="G498" i="1"/>
  <c r="G510" i="1"/>
  <c r="G522" i="1"/>
  <c r="G534" i="1"/>
  <c r="G546" i="1"/>
  <c r="G558" i="1"/>
  <c r="G570" i="1"/>
  <c r="G582" i="1"/>
  <c r="G594" i="1"/>
  <c r="G606" i="1"/>
  <c r="G618" i="1"/>
  <c r="G630" i="1"/>
  <c r="G642" i="1"/>
  <c r="G7" i="1"/>
  <c r="G19" i="1"/>
  <c r="G31" i="1"/>
  <c r="G43" i="1"/>
  <c r="G55" i="1"/>
  <c r="G67" i="1"/>
  <c r="G79" i="1"/>
  <c r="G91" i="1"/>
  <c r="G103" i="1"/>
  <c r="G115" i="1"/>
  <c r="G127" i="1"/>
  <c r="G139" i="1"/>
  <c r="G151" i="1"/>
  <c r="G163" i="1"/>
  <c r="G175" i="1"/>
  <c r="G187" i="1"/>
  <c r="G199" i="1"/>
  <c r="G211" i="1"/>
  <c r="G223" i="1"/>
  <c r="G235" i="1"/>
  <c r="G247" i="1"/>
  <c r="G259" i="1"/>
  <c r="G271" i="1"/>
  <c r="G283" i="1"/>
  <c r="G295" i="1"/>
  <c r="G307" i="1"/>
  <c r="G319" i="1"/>
  <c r="G331" i="1"/>
  <c r="G343" i="1"/>
  <c r="G355" i="1"/>
  <c r="G367" i="1"/>
  <c r="G379" i="1"/>
  <c r="G391" i="1"/>
  <c r="G403" i="1"/>
  <c r="G415" i="1"/>
  <c r="G427" i="1"/>
  <c r="G439" i="1"/>
  <c r="G451" i="1"/>
  <c r="G463" i="1"/>
  <c r="G475" i="1"/>
  <c r="G487" i="1"/>
  <c r="G499" i="1"/>
  <c r="G511" i="1"/>
  <c r="G523" i="1"/>
  <c r="G535" i="1"/>
  <c r="G547" i="1"/>
  <c r="G559" i="1"/>
  <c r="G571" i="1"/>
  <c r="G583" i="1"/>
  <c r="G595" i="1"/>
  <c r="G607" i="1"/>
  <c r="G619" i="1"/>
  <c r="G631" i="1"/>
  <c r="G643" i="1"/>
  <c r="G655" i="1"/>
  <c r="G667" i="1"/>
  <c r="G679" i="1"/>
  <c r="G20" i="1"/>
  <c r="G34" i="1"/>
  <c r="G48" i="1"/>
  <c r="G62" i="1"/>
  <c r="G76" i="1"/>
  <c r="G92" i="1"/>
  <c r="G106" i="1"/>
  <c r="G120" i="1"/>
  <c r="G134" i="1"/>
  <c r="G148" i="1"/>
  <c r="G164" i="1"/>
  <c r="G178" i="1"/>
  <c r="G192" i="1"/>
  <c r="G206" i="1"/>
  <c r="G220" i="1"/>
  <c r="G236" i="1"/>
  <c r="G250" i="1"/>
  <c r="G264" i="1"/>
  <c r="G278" i="1"/>
  <c r="G292" i="1"/>
  <c r="G308" i="1"/>
  <c r="G322" i="1"/>
  <c r="G336" i="1"/>
  <c r="G350" i="1"/>
  <c r="G364" i="1"/>
  <c r="G380" i="1"/>
  <c r="G394" i="1"/>
  <c r="G408" i="1"/>
  <c r="G422" i="1"/>
  <c r="G436" i="1"/>
  <c r="G452" i="1"/>
  <c r="G466" i="1"/>
  <c r="G480" i="1"/>
  <c r="G494" i="1"/>
  <c r="G508" i="1"/>
  <c r="G524" i="1"/>
  <c r="G538" i="1"/>
  <c r="G552" i="1"/>
  <c r="G566" i="1"/>
  <c r="G580" i="1"/>
  <c r="G596" i="1"/>
  <c r="H596" i="1" s="1"/>
  <c r="I596" i="1" s="1"/>
  <c r="G610" i="1"/>
  <c r="G624" i="1"/>
  <c r="G638" i="1"/>
  <c r="G652" i="1"/>
  <c r="G665" i="1"/>
  <c r="G678" i="1"/>
  <c r="G691" i="1"/>
  <c r="G703" i="1"/>
  <c r="H703" i="1" s="1"/>
  <c r="I703" i="1" s="1"/>
  <c r="G715" i="1"/>
  <c r="G727" i="1"/>
  <c r="G739" i="1"/>
  <c r="G751" i="1"/>
  <c r="G763" i="1"/>
  <c r="G775" i="1"/>
  <c r="G787" i="1"/>
  <c r="G799" i="1"/>
  <c r="G811" i="1"/>
  <c r="G823" i="1"/>
  <c r="G835" i="1"/>
  <c r="G847" i="1"/>
  <c r="G859" i="1"/>
  <c r="G871" i="1"/>
  <c r="G883" i="1"/>
  <c r="G895" i="1"/>
  <c r="G907" i="1"/>
  <c r="G919" i="1"/>
  <c r="G931" i="1"/>
  <c r="G943" i="1"/>
  <c r="G955" i="1"/>
  <c r="G967" i="1"/>
  <c r="G979" i="1"/>
  <c r="G991" i="1"/>
  <c r="G1003" i="1"/>
  <c r="G1015" i="1"/>
  <c r="G13" i="1"/>
  <c r="G28" i="1"/>
  <c r="G8" i="1"/>
  <c r="G24" i="1"/>
  <c r="G40" i="1"/>
  <c r="G57" i="1"/>
  <c r="G72" i="1"/>
  <c r="G87" i="1"/>
  <c r="G104" i="1"/>
  <c r="H104" i="1" s="1"/>
  <c r="I104" i="1" s="1"/>
  <c r="G119" i="1"/>
  <c r="G135" i="1"/>
  <c r="G152" i="1"/>
  <c r="G167" i="1"/>
  <c r="G182" i="1"/>
  <c r="G197" i="1"/>
  <c r="G214" i="1"/>
  <c r="G229" i="1"/>
  <c r="G244" i="1"/>
  <c r="G261" i="1"/>
  <c r="G276" i="1"/>
  <c r="G291" i="1"/>
  <c r="G309" i="1"/>
  <c r="G324" i="1"/>
  <c r="G339" i="1"/>
  <c r="G356" i="1"/>
  <c r="G371" i="1"/>
  <c r="G386" i="1"/>
  <c r="G401" i="1"/>
  <c r="G418" i="1"/>
  <c r="G433" i="1"/>
  <c r="G448" i="1"/>
  <c r="G465" i="1"/>
  <c r="G481" i="1"/>
  <c r="G496" i="1"/>
  <c r="G513" i="1"/>
  <c r="G528" i="1"/>
  <c r="G543" i="1"/>
  <c r="G560" i="1"/>
  <c r="G575" i="1"/>
  <c r="G590" i="1"/>
  <c r="G605" i="1"/>
  <c r="G622" i="1"/>
  <c r="G637" i="1"/>
  <c r="G653" i="1"/>
  <c r="G668" i="1"/>
  <c r="G682" i="1"/>
  <c r="G695" i="1"/>
  <c r="G708" i="1"/>
  <c r="G721" i="1"/>
  <c r="G10" i="1"/>
  <c r="G26" i="1"/>
  <c r="G44" i="1"/>
  <c r="H44" i="1" s="1"/>
  <c r="I44" i="1" s="1"/>
  <c r="G59" i="1"/>
  <c r="G74" i="1"/>
  <c r="G89" i="1"/>
  <c r="G107" i="1"/>
  <c r="G122" i="1"/>
  <c r="G137" i="1"/>
  <c r="G154" i="1"/>
  <c r="G169" i="1"/>
  <c r="G184" i="1"/>
  <c r="G201" i="1"/>
  <c r="G216" i="1"/>
  <c r="G231" i="1"/>
  <c r="G248" i="1"/>
  <c r="G263" i="1"/>
  <c r="G279" i="1"/>
  <c r="G296" i="1"/>
  <c r="G311" i="1"/>
  <c r="G326" i="1"/>
  <c r="G341" i="1"/>
  <c r="G358" i="1"/>
  <c r="G373" i="1"/>
  <c r="G388" i="1"/>
  <c r="G405" i="1"/>
  <c r="G420" i="1"/>
  <c r="G435" i="1"/>
  <c r="G453" i="1"/>
  <c r="G468" i="1"/>
  <c r="G483" i="1"/>
  <c r="G500" i="1"/>
  <c r="G515" i="1"/>
  <c r="G530" i="1"/>
  <c r="G545" i="1"/>
  <c r="G562" i="1"/>
  <c r="G577" i="1"/>
  <c r="G592" i="1"/>
  <c r="G609" i="1"/>
  <c r="G625" i="1"/>
  <c r="G640" i="1"/>
  <c r="G656" i="1"/>
  <c r="G670" i="1"/>
  <c r="G684" i="1"/>
  <c r="G697" i="1"/>
  <c r="G710" i="1"/>
  <c r="G723" i="1"/>
  <c r="G736" i="1"/>
  <c r="G749" i="1"/>
  <c r="G762" i="1"/>
  <c r="G776" i="1"/>
  <c r="H776" i="1" s="1"/>
  <c r="I776" i="1" s="1"/>
  <c r="G789" i="1"/>
  <c r="G802" i="1"/>
  <c r="G815" i="1"/>
  <c r="G828" i="1"/>
  <c r="G841" i="1"/>
  <c r="G854" i="1"/>
  <c r="G867" i="1"/>
  <c r="G880" i="1"/>
  <c r="G893" i="1"/>
  <c r="H893" i="1" s="1"/>
  <c r="I893" i="1" s="1"/>
  <c r="G906" i="1"/>
  <c r="G920" i="1"/>
  <c r="G933" i="1"/>
  <c r="G946" i="1"/>
  <c r="G959" i="1"/>
  <c r="G972" i="1"/>
  <c r="G985" i="1"/>
  <c r="G998" i="1"/>
  <c r="G1011" i="1"/>
  <c r="G1024" i="1"/>
  <c r="G1036" i="1"/>
  <c r="G1048" i="1"/>
  <c r="G1060" i="1"/>
  <c r="G1072" i="1"/>
  <c r="G1084" i="1"/>
  <c r="G1096" i="1"/>
  <c r="G1108" i="1"/>
  <c r="G1120" i="1"/>
  <c r="G1132" i="1"/>
  <c r="G1144" i="1"/>
  <c r="G1156" i="1"/>
  <c r="G1168" i="1"/>
  <c r="G1180" i="1"/>
  <c r="G1192" i="1"/>
  <c r="G1204" i="1"/>
  <c r="G1216" i="1"/>
  <c r="G1228" i="1"/>
  <c r="G1240" i="1"/>
  <c r="G1252" i="1"/>
  <c r="G1264" i="1"/>
  <c r="G1276" i="1"/>
  <c r="G1288" i="1"/>
  <c r="G1300" i="1"/>
  <c r="G1312" i="1"/>
  <c r="G1324" i="1"/>
  <c r="G1336" i="1"/>
  <c r="G16" i="1"/>
  <c r="G37" i="1"/>
  <c r="G56" i="1"/>
  <c r="G75" i="1"/>
  <c r="G95" i="1"/>
  <c r="G112" i="1"/>
  <c r="G131" i="1"/>
  <c r="G149" i="1"/>
  <c r="G170" i="1"/>
  <c r="G189" i="1"/>
  <c r="G207" i="1"/>
  <c r="G226" i="1"/>
  <c r="G243" i="1"/>
  <c r="G265" i="1"/>
  <c r="H265" i="1" s="1"/>
  <c r="I265" i="1" s="1"/>
  <c r="G284" i="1"/>
  <c r="G301" i="1"/>
  <c r="G320" i="1"/>
  <c r="G338" i="1"/>
  <c r="G359" i="1"/>
  <c r="G376" i="1"/>
  <c r="G396" i="1"/>
  <c r="G413" i="1"/>
  <c r="G432" i="1"/>
  <c r="G454" i="1"/>
  <c r="G471" i="1"/>
  <c r="G490" i="1"/>
  <c r="G507" i="1"/>
  <c r="G527" i="1"/>
  <c r="G548" i="1"/>
  <c r="G565" i="1"/>
  <c r="G585" i="1"/>
  <c r="G602" i="1"/>
  <c r="G621" i="1"/>
  <c r="G641" i="1"/>
  <c r="G659" i="1"/>
  <c r="G675" i="1"/>
  <c r="G692" i="1"/>
  <c r="G707" i="1"/>
  <c r="G724" i="1"/>
  <c r="G738" i="1"/>
  <c r="G753" i="1"/>
  <c r="G767" i="1"/>
  <c r="G781" i="1"/>
  <c r="G795" i="1"/>
  <c r="G809" i="1"/>
  <c r="G824" i="1"/>
  <c r="G838" i="1"/>
  <c r="G852" i="1"/>
  <c r="G866" i="1"/>
  <c r="G881" i="1"/>
  <c r="G896" i="1"/>
  <c r="G910" i="1"/>
  <c r="G924" i="1"/>
  <c r="G938" i="1"/>
  <c r="G952" i="1"/>
  <c r="G966" i="1"/>
  <c r="G981" i="1"/>
  <c r="G995" i="1"/>
  <c r="G1009" i="1"/>
  <c r="G1023" i="1"/>
  <c r="G1037" i="1"/>
  <c r="G1050" i="1"/>
  <c r="G1063" i="1"/>
  <c r="G1076" i="1"/>
  <c r="G1089" i="1"/>
  <c r="G1102" i="1"/>
  <c r="G1115" i="1"/>
  <c r="G1128" i="1"/>
  <c r="G1141" i="1"/>
  <c r="G1154" i="1"/>
  <c r="G1167" i="1"/>
  <c r="G1181" i="1"/>
  <c r="H1181" i="1" s="1"/>
  <c r="I1181" i="1" s="1"/>
  <c r="G1194" i="1"/>
  <c r="G1207" i="1"/>
  <c r="G1220" i="1"/>
  <c r="G1233" i="1"/>
  <c r="G1246" i="1"/>
  <c r="G1259" i="1"/>
  <c r="G1272" i="1"/>
  <c r="G1285" i="1"/>
  <c r="G1298" i="1"/>
  <c r="G1311" i="1"/>
  <c r="G1325" i="1"/>
  <c r="H1325" i="1" s="1"/>
  <c r="I1325" i="1" s="1"/>
  <c r="G1338" i="1"/>
  <c r="G1350" i="1"/>
  <c r="G1362" i="1"/>
  <c r="G1374" i="1"/>
  <c r="G1386" i="1"/>
  <c r="G1398" i="1"/>
  <c r="G1410" i="1"/>
  <c r="G1422" i="1"/>
  <c r="G1434" i="1"/>
  <c r="G1446" i="1"/>
  <c r="G1458" i="1"/>
  <c r="G1470" i="1"/>
  <c r="G1482" i="1"/>
  <c r="G1494" i="1"/>
  <c r="G1506" i="1"/>
  <c r="G1518" i="1"/>
  <c r="G1530" i="1"/>
  <c r="G1542" i="1"/>
  <c r="G1554" i="1"/>
  <c r="G1566" i="1"/>
  <c r="G1578" i="1"/>
  <c r="G1590" i="1"/>
  <c r="G1602" i="1"/>
  <c r="G1614" i="1"/>
  <c r="G1626" i="1"/>
  <c r="G1638" i="1"/>
  <c r="G1650" i="1"/>
  <c r="G1662" i="1"/>
  <c r="G1674" i="1"/>
  <c r="G1686" i="1"/>
  <c r="G1698" i="1"/>
  <c r="G1710" i="1"/>
  <c r="G1722" i="1"/>
  <c r="G1248" i="1"/>
  <c r="G1448" i="1"/>
  <c r="G1532" i="1"/>
  <c r="G17" i="1"/>
  <c r="G38" i="1"/>
  <c r="G58" i="1"/>
  <c r="G77" i="1"/>
  <c r="G96" i="1"/>
  <c r="G113" i="1"/>
  <c r="G132" i="1"/>
  <c r="G153" i="1"/>
  <c r="G171" i="1"/>
  <c r="G190" i="1"/>
  <c r="G208" i="1"/>
  <c r="G227" i="1"/>
  <c r="G245" i="1"/>
  <c r="G266" i="1"/>
  <c r="G285" i="1"/>
  <c r="G302" i="1"/>
  <c r="G321" i="1"/>
  <c r="G340" i="1"/>
  <c r="G360" i="1"/>
  <c r="G377" i="1"/>
  <c r="G397" i="1"/>
  <c r="G416" i="1"/>
  <c r="G434" i="1"/>
  <c r="G455" i="1"/>
  <c r="G472" i="1"/>
  <c r="G491" i="1"/>
  <c r="G509" i="1"/>
  <c r="G529" i="1"/>
  <c r="G549" i="1"/>
  <c r="G567" i="1"/>
  <c r="G586" i="1"/>
  <c r="G603" i="1"/>
  <c r="G623" i="1"/>
  <c r="G644" i="1"/>
  <c r="G660" i="1"/>
  <c r="G676" i="1"/>
  <c r="G693" i="1"/>
  <c r="G709" i="1"/>
  <c r="G725" i="1"/>
  <c r="G740" i="1"/>
  <c r="G754" i="1"/>
  <c r="G768" i="1"/>
  <c r="G782" i="1"/>
  <c r="G796" i="1"/>
  <c r="G810" i="1"/>
  <c r="G825" i="1"/>
  <c r="G839" i="1"/>
  <c r="G853" i="1"/>
  <c r="G868" i="1"/>
  <c r="G882" i="1"/>
  <c r="G897" i="1"/>
  <c r="G911" i="1"/>
  <c r="G925" i="1"/>
  <c r="G939" i="1"/>
  <c r="G953" i="1"/>
  <c r="G968" i="1"/>
  <c r="H968" i="1" s="1"/>
  <c r="I968" i="1" s="1"/>
  <c r="G982" i="1"/>
  <c r="G996" i="1"/>
  <c r="G1010" i="1"/>
  <c r="G1025" i="1"/>
  <c r="G1038" i="1"/>
  <c r="G1051" i="1"/>
  <c r="G1064" i="1"/>
  <c r="G1077" i="1"/>
  <c r="G1090" i="1"/>
  <c r="G1103" i="1"/>
  <c r="G1116" i="1"/>
  <c r="G1129" i="1"/>
  <c r="G1142" i="1"/>
  <c r="G1155" i="1"/>
  <c r="G1169" i="1"/>
  <c r="H1169" i="1" s="1"/>
  <c r="I1169" i="1" s="1"/>
  <c r="G1182" i="1"/>
  <c r="G1195" i="1"/>
  <c r="G1208" i="1"/>
  <c r="G1221" i="1"/>
  <c r="G1234" i="1"/>
  <c r="G1247" i="1"/>
  <c r="G1260" i="1"/>
  <c r="G1273" i="1"/>
  <c r="G1286" i="1"/>
  <c r="G1299" i="1"/>
  <c r="G1313" i="1"/>
  <c r="G1326" i="1"/>
  <c r="G1339" i="1"/>
  <c r="G1351" i="1"/>
  <c r="G1363" i="1"/>
  <c r="G1375" i="1"/>
  <c r="G1387" i="1"/>
  <c r="G1399" i="1"/>
  <c r="G1411" i="1"/>
  <c r="G1423" i="1"/>
  <c r="G1435" i="1"/>
  <c r="G1447" i="1"/>
  <c r="G1459" i="1"/>
  <c r="G1471" i="1"/>
  <c r="G1483" i="1"/>
  <c r="G1495" i="1"/>
  <c r="G1507" i="1"/>
  <c r="G1519" i="1"/>
  <c r="G1531" i="1"/>
  <c r="G1543" i="1"/>
  <c r="G1555" i="1"/>
  <c r="G1567" i="1"/>
  <c r="G1579" i="1"/>
  <c r="G1591" i="1"/>
  <c r="G1603" i="1"/>
  <c r="G1615" i="1"/>
  <c r="G1627" i="1"/>
  <c r="G1639" i="1"/>
  <c r="G1651" i="1"/>
  <c r="G1663" i="1"/>
  <c r="G1675" i="1"/>
  <c r="G1687" i="1"/>
  <c r="G1699" i="1"/>
  <c r="G1711" i="1"/>
  <c r="G1723" i="1"/>
  <c r="G21" i="1"/>
  <c r="G39" i="1"/>
  <c r="G60" i="1"/>
  <c r="G80" i="1"/>
  <c r="G97" i="1"/>
  <c r="G116" i="1"/>
  <c r="G133" i="1"/>
  <c r="G155" i="1"/>
  <c r="G172" i="1"/>
  <c r="G191" i="1"/>
  <c r="G209" i="1"/>
  <c r="G228" i="1"/>
  <c r="G249" i="1"/>
  <c r="G267" i="1"/>
  <c r="G286" i="1"/>
  <c r="G303" i="1"/>
  <c r="G323" i="1"/>
  <c r="G344" i="1"/>
  <c r="G361" i="1"/>
  <c r="G381" i="1"/>
  <c r="G398" i="1"/>
  <c r="G417" i="1"/>
  <c r="G437" i="1"/>
  <c r="G456" i="1"/>
  <c r="G473" i="1"/>
  <c r="G492" i="1"/>
  <c r="G512" i="1"/>
  <c r="G531" i="1"/>
  <c r="G550" i="1"/>
  <c r="G568" i="1"/>
  <c r="G587" i="1"/>
  <c r="G604" i="1"/>
  <c r="G626" i="1"/>
  <c r="H626" i="1" s="1"/>
  <c r="I626" i="1" s="1"/>
  <c r="G645" i="1"/>
  <c r="G661" i="1"/>
  <c r="G677" i="1"/>
  <c r="G694" i="1"/>
  <c r="G711" i="1"/>
  <c r="G726" i="1"/>
  <c r="G741" i="1"/>
  <c r="G755" i="1"/>
  <c r="G769" i="1"/>
  <c r="G783" i="1"/>
  <c r="G797" i="1"/>
  <c r="G812" i="1"/>
  <c r="G826" i="1"/>
  <c r="G840" i="1"/>
  <c r="G855" i="1"/>
  <c r="G869" i="1"/>
  <c r="G884" i="1"/>
  <c r="G898" i="1"/>
  <c r="G912" i="1"/>
  <c r="G926" i="1"/>
  <c r="G940" i="1"/>
  <c r="G954" i="1"/>
  <c r="G969" i="1"/>
  <c r="G983" i="1"/>
  <c r="G997" i="1"/>
  <c r="G1012" i="1"/>
  <c r="G1026" i="1"/>
  <c r="G1039" i="1"/>
  <c r="G1052" i="1"/>
  <c r="G1065" i="1"/>
  <c r="G1078" i="1"/>
  <c r="G1091" i="1"/>
  <c r="G1104" i="1"/>
  <c r="G1117" i="1"/>
  <c r="G1130" i="1"/>
  <c r="G1143" i="1"/>
  <c r="G1157" i="1"/>
  <c r="G1170" i="1"/>
  <c r="G1183" i="1"/>
  <c r="G1196" i="1"/>
  <c r="G1209" i="1"/>
  <c r="G1222" i="1"/>
  <c r="G1235" i="1"/>
  <c r="G1261" i="1"/>
  <c r="G1274" i="1"/>
  <c r="G1287" i="1"/>
  <c r="G1301" i="1"/>
  <c r="G1314" i="1"/>
  <c r="G1327" i="1"/>
  <c r="G1340" i="1"/>
  <c r="G1352" i="1"/>
  <c r="G1364" i="1"/>
  <c r="G1376" i="1"/>
  <c r="G1388" i="1"/>
  <c r="G1400" i="1"/>
  <c r="G1412" i="1"/>
  <c r="G1424" i="1"/>
  <c r="G1436" i="1"/>
  <c r="G1460" i="1"/>
  <c r="G1472" i="1"/>
  <c r="G1484" i="1"/>
  <c r="G1496" i="1"/>
  <c r="G1508" i="1"/>
  <c r="G1520" i="1"/>
  <c r="G1544" i="1"/>
  <c r="G1556" i="1"/>
  <c r="G1568" i="1"/>
  <c r="G1580" i="1"/>
  <c r="G33" i="1"/>
  <c r="G61" i="1"/>
  <c r="G84" i="1"/>
  <c r="G109" i="1"/>
  <c r="G136" i="1"/>
  <c r="G159" i="1"/>
  <c r="G183" i="1"/>
  <c r="G212" i="1"/>
  <c r="G237" i="1"/>
  <c r="G257" i="1"/>
  <c r="G287" i="1"/>
  <c r="G312" i="1"/>
  <c r="G334" i="1"/>
  <c r="G362" i="1"/>
  <c r="G385" i="1"/>
  <c r="G410" i="1"/>
  <c r="G440" i="1"/>
  <c r="G460" i="1"/>
  <c r="G485" i="1"/>
  <c r="G514" i="1"/>
  <c r="G537" i="1"/>
  <c r="H537" i="1" s="1"/>
  <c r="I537" i="1" s="1"/>
  <c r="G561" i="1"/>
  <c r="G588" i="1"/>
  <c r="G613" i="1"/>
  <c r="G635" i="1"/>
  <c r="G662" i="1"/>
  <c r="G685" i="1"/>
  <c r="G704" i="1"/>
  <c r="G728" i="1"/>
  <c r="G745" i="1"/>
  <c r="G764" i="1"/>
  <c r="G784" i="1"/>
  <c r="G803" i="1"/>
  <c r="G820" i="1"/>
  <c r="G842" i="1"/>
  <c r="G860" i="1"/>
  <c r="G877" i="1"/>
  <c r="G899" i="1"/>
  <c r="G916" i="1"/>
  <c r="G935" i="1"/>
  <c r="G956" i="1"/>
  <c r="G974" i="1"/>
  <c r="G992" i="1"/>
  <c r="G1013" i="1"/>
  <c r="G1030" i="1"/>
  <c r="G1046" i="1"/>
  <c r="G1066" i="1"/>
  <c r="G1082" i="1"/>
  <c r="G1099" i="1"/>
  <c r="G1118" i="1"/>
  <c r="G1135" i="1"/>
  <c r="G1151" i="1"/>
  <c r="G1171" i="1"/>
  <c r="G1187" i="1"/>
  <c r="G1203" i="1"/>
  <c r="G1223" i="1"/>
  <c r="G1239" i="1"/>
  <c r="G1256" i="1"/>
  <c r="G1275" i="1"/>
  <c r="G1292" i="1"/>
  <c r="G1308" i="1"/>
  <c r="G1328" i="1"/>
  <c r="G1344" i="1"/>
  <c r="G1359" i="1"/>
  <c r="G1377" i="1"/>
  <c r="G1392" i="1"/>
  <c r="G1407" i="1"/>
  <c r="G1425" i="1"/>
  <c r="G1440" i="1"/>
  <c r="H1440" i="1" s="1"/>
  <c r="I1440" i="1" s="1"/>
  <c r="G1455" i="1"/>
  <c r="G1473" i="1"/>
  <c r="G1488" i="1"/>
  <c r="G1503" i="1"/>
  <c r="G1521" i="1"/>
  <c r="G1536" i="1"/>
  <c r="G1551" i="1"/>
  <c r="G1569" i="1"/>
  <c r="G1584" i="1"/>
  <c r="G1598" i="1"/>
  <c r="G1612" i="1"/>
  <c r="G1628" i="1"/>
  <c r="G1642" i="1"/>
  <c r="G1656" i="1"/>
  <c r="G1670" i="1"/>
  <c r="G1684" i="1"/>
  <c r="G1700" i="1"/>
  <c r="G1714" i="1"/>
  <c r="G9" i="1"/>
  <c r="G35" i="1"/>
  <c r="G63" i="1"/>
  <c r="G85" i="1"/>
  <c r="G110" i="1"/>
  <c r="G140" i="1"/>
  <c r="G160" i="1"/>
  <c r="G185" i="1"/>
  <c r="G213" i="1"/>
  <c r="G238" i="1"/>
  <c r="G260" i="1"/>
  <c r="G288" i="1"/>
  <c r="G313" i="1"/>
  <c r="G335" i="1"/>
  <c r="G363" i="1"/>
  <c r="G387" i="1"/>
  <c r="G411" i="1"/>
  <c r="G441" i="1"/>
  <c r="G461" i="1"/>
  <c r="G488" i="1"/>
  <c r="G516" i="1"/>
  <c r="G539" i="1"/>
  <c r="G563" i="1"/>
  <c r="G589" i="1"/>
  <c r="G614" i="1"/>
  <c r="G636" i="1"/>
  <c r="G663" i="1"/>
  <c r="G686" i="1"/>
  <c r="G705" i="1"/>
  <c r="G729" i="1"/>
  <c r="G746" i="1"/>
  <c r="G765" i="1"/>
  <c r="G785" i="1"/>
  <c r="G804" i="1"/>
  <c r="G821" i="1"/>
  <c r="G843" i="1"/>
  <c r="G861" i="1"/>
  <c r="G878" i="1"/>
  <c r="G900" i="1"/>
  <c r="G917" i="1"/>
  <c r="G936" i="1"/>
  <c r="G957" i="1"/>
  <c r="G975" i="1"/>
  <c r="G993" i="1"/>
  <c r="G1014" i="1"/>
  <c r="G1031" i="1"/>
  <c r="G1047" i="1"/>
  <c r="G1067" i="1"/>
  <c r="G1083" i="1"/>
  <c r="G1100" i="1"/>
  <c r="G1119" i="1"/>
  <c r="G1136" i="1"/>
  <c r="G1152" i="1"/>
  <c r="G1172" i="1"/>
  <c r="G1188" i="1"/>
  <c r="G1205" i="1"/>
  <c r="G1224" i="1"/>
  <c r="G1241" i="1"/>
  <c r="G1257" i="1"/>
  <c r="G1277" i="1"/>
  <c r="G1293" i="1"/>
  <c r="G1309" i="1"/>
  <c r="G1329" i="1"/>
  <c r="G1345" i="1"/>
  <c r="G1360" i="1"/>
  <c r="G1378" i="1"/>
  <c r="G1393" i="1"/>
  <c r="G1408" i="1"/>
  <c r="G1426" i="1"/>
  <c r="G1441" i="1"/>
  <c r="G1456" i="1"/>
  <c r="G1474" i="1"/>
  <c r="G1489" i="1"/>
  <c r="G1504" i="1"/>
  <c r="G1522" i="1"/>
  <c r="G1537" i="1"/>
  <c r="G1552" i="1"/>
  <c r="G1570" i="1"/>
  <c r="G1585" i="1"/>
  <c r="G1599" i="1"/>
  <c r="G1613" i="1"/>
  <c r="G1629" i="1"/>
  <c r="G1643" i="1"/>
  <c r="G1657" i="1"/>
  <c r="G1671" i="1"/>
  <c r="G1685" i="1"/>
  <c r="G1701" i="1"/>
  <c r="G1715" i="1"/>
  <c r="G14" i="1"/>
  <c r="G45" i="1"/>
  <c r="G68" i="1"/>
  <c r="G93" i="1"/>
  <c r="G118" i="1"/>
  <c r="G143" i="1"/>
  <c r="G166" i="1"/>
  <c r="G194" i="1"/>
  <c r="G218" i="1"/>
  <c r="G241" i="1"/>
  <c r="G269" i="1"/>
  <c r="G293" i="1"/>
  <c r="G316" i="1"/>
  <c r="G346" i="1"/>
  <c r="G369" i="1"/>
  <c r="G393" i="1"/>
  <c r="G421" i="1"/>
  <c r="G444" i="1"/>
  <c r="G469" i="1"/>
  <c r="G495" i="1"/>
  <c r="G519" i="1"/>
  <c r="G542" i="1"/>
  <c r="G572" i="1"/>
  <c r="G597" i="1"/>
  <c r="G617" i="1"/>
  <c r="G647" i="1"/>
  <c r="G669" i="1"/>
  <c r="G689" i="1"/>
  <c r="G713" i="1"/>
  <c r="G732" i="1"/>
  <c r="G750" i="1"/>
  <c r="G771" i="1"/>
  <c r="G790" i="1"/>
  <c r="H790" i="1" s="1"/>
  <c r="I790" i="1" s="1"/>
  <c r="G807" i="1"/>
  <c r="G829" i="1"/>
  <c r="G846" i="1"/>
  <c r="G864" i="1"/>
  <c r="G886" i="1"/>
  <c r="G903" i="1"/>
  <c r="G27" i="1"/>
  <c r="G64" i="1"/>
  <c r="G98" i="1"/>
  <c r="G128" i="1"/>
  <c r="G161" i="1"/>
  <c r="G196" i="1"/>
  <c r="G230" i="1"/>
  <c r="G262" i="1"/>
  <c r="H262" i="1" s="1"/>
  <c r="I262" i="1" s="1"/>
  <c r="G298" i="1"/>
  <c r="G329" i="1"/>
  <c r="G365" i="1"/>
  <c r="H365" i="1" s="1"/>
  <c r="I365" i="1" s="1"/>
  <c r="G399" i="1"/>
  <c r="G429" i="1"/>
  <c r="G464" i="1"/>
  <c r="G501" i="1"/>
  <c r="G532" i="1"/>
  <c r="G564" i="1"/>
  <c r="G599" i="1"/>
  <c r="G632" i="1"/>
  <c r="G664" i="1"/>
  <c r="H664" i="1" s="1"/>
  <c r="I664" i="1" s="1"/>
  <c r="G696" i="1"/>
  <c r="G719" i="1"/>
  <c r="G747" i="1"/>
  <c r="G773" i="1"/>
  <c r="G798" i="1"/>
  <c r="G822" i="1"/>
  <c r="G849" i="1"/>
  <c r="G874" i="1"/>
  <c r="G901" i="1"/>
  <c r="G923" i="1"/>
  <c r="G947" i="1"/>
  <c r="G970" i="1"/>
  <c r="G29" i="1"/>
  <c r="G65" i="1"/>
  <c r="G99" i="1"/>
  <c r="G129" i="1"/>
  <c r="G165" i="1"/>
  <c r="G200" i="1"/>
  <c r="G232" i="1"/>
  <c r="G268" i="1"/>
  <c r="G299" i="1"/>
  <c r="G332" i="1"/>
  <c r="G368" i="1"/>
  <c r="G400" i="1"/>
  <c r="G430" i="1"/>
  <c r="G467" i="1"/>
  <c r="G502" i="1"/>
  <c r="G533" i="1"/>
  <c r="G569" i="1"/>
  <c r="G600" i="1"/>
  <c r="G633" i="1"/>
  <c r="G666" i="1"/>
  <c r="G698" i="1"/>
  <c r="G720" i="1"/>
  <c r="G748" i="1"/>
  <c r="G774" i="1"/>
  <c r="G800" i="1"/>
  <c r="G827" i="1"/>
  <c r="G850" i="1"/>
  <c r="G875" i="1"/>
  <c r="G902" i="1"/>
  <c r="G927" i="1"/>
  <c r="H927" i="1" s="1"/>
  <c r="I927" i="1" s="1"/>
  <c r="G948" i="1"/>
  <c r="G971" i="1"/>
  <c r="G994" i="1"/>
  <c r="G1018" i="1"/>
  <c r="G1040" i="1"/>
  <c r="G1058" i="1"/>
  <c r="G1080" i="1"/>
  <c r="G1101" i="1"/>
  <c r="G1123" i="1"/>
  <c r="G1145" i="1"/>
  <c r="G1163" i="1"/>
  <c r="G1185" i="1"/>
  <c r="G1206" i="1"/>
  <c r="G1227" i="1"/>
  <c r="G1249" i="1"/>
  <c r="G1268" i="1"/>
  <c r="G1290" i="1"/>
  <c r="G1310" i="1"/>
  <c r="G1332" i="1"/>
  <c r="G1353" i="1"/>
  <c r="G1370" i="1"/>
  <c r="G1390" i="1"/>
  <c r="G1409" i="1"/>
  <c r="G1429" i="1"/>
  <c r="G1449" i="1"/>
  <c r="G1466" i="1"/>
  <c r="G1486" i="1"/>
  <c r="G1505" i="1"/>
  <c r="G1525" i="1"/>
  <c r="G1545" i="1"/>
  <c r="G1562" i="1"/>
  <c r="G1582" i="1"/>
  <c r="G1600" i="1"/>
  <c r="G1618" i="1"/>
  <c r="G1634" i="1"/>
  <c r="G1652" i="1"/>
  <c r="G1668" i="1"/>
  <c r="G1688" i="1"/>
  <c r="G1704" i="1"/>
  <c r="G1720" i="1"/>
  <c r="G32" i="1"/>
  <c r="G69" i="1"/>
  <c r="G100" i="1"/>
  <c r="G130" i="1"/>
  <c r="G168" i="1"/>
  <c r="G202" i="1"/>
  <c r="G233" i="1"/>
  <c r="G272" i="1"/>
  <c r="G300" i="1"/>
  <c r="G333" i="1"/>
  <c r="G370" i="1"/>
  <c r="G404" i="1"/>
  <c r="G431" i="1"/>
  <c r="G470" i="1"/>
  <c r="G503" i="1"/>
  <c r="G536" i="1"/>
  <c r="H536" i="1" s="1"/>
  <c r="I536" i="1" s="1"/>
  <c r="G573" i="1"/>
  <c r="G601" i="1"/>
  <c r="G634" i="1"/>
  <c r="G671" i="1"/>
  <c r="G699" i="1"/>
  <c r="G722" i="1"/>
  <c r="G752" i="1"/>
  <c r="G777" i="1"/>
  <c r="G801" i="1"/>
  <c r="G830" i="1"/>
  <c r="H830" i="1" s="1"/>
  <c r="I830" i="1" s="1"/>
  <c r="G851" i="1"/>
  <c r="G876" i="1"/>
  <c r="G904" i="1"/>
  <c r="G928" i="1"/>
  <c r="G949" i="1"/>
  <c r="G973" i="1"/>
  <c r="G999" i="1"/>
  <c r="G1019" i="1"/>
  <c r="G1041" i="1"/>
  <c r="G1059" i="1"/>
  <c r="G1081" i="1"/>
  <c r="G1105" i="1"/>
  <c r="G1124" i="1"/>
  <c r="G1146" i="1"/>
  <c r="G1164" i="1"/>
  <c r="G1186" i="1"/>
  <c r="G1210" i="1"/>
  <c r="G1229" i="1"/>
  <c r="G1250" i="1"/>
  <c r="G1269" i="1"/>
  <c r="G1291" i="1"/>
  <c r="G1315" i="1"/>
  <c r="H1315" i="1" s="1"/>
  <c r="I1315" i="1" s="1"/>
  <c r="G1333" i="1"/>
  <c r="G1354" i="1"/>
  <c r="G1371" i="1"/>
  <c r="G1391" i="1"/>
  <c r="G1413" i="1"/>
  <c r="G1430" i="1"/>
  <c r="G1450" i="1"/>
  <c r="G1467" i="1"/>
  <c r="G1487" i="1"/>
  <c r="G1509" i="1"/>
  <c r="G1526" i="1"/>
  <c r="G1546" i="1"/>
  <c r="G1563" i="1"/>
  <c r="G1583" i="1"/>
  <c r="G1601" i="1"/>
  <c r="G1619" i="1"/>
  <c r="G1635" i="1"/>
  <c r="G1653" i="1"/>
  <c r="G1669" i="1"/>
  <c r="G1689" i="1"/>
  <c r="G1705" i="1"/>
  <c r="G1721" i="1"/>
  <c r="G36" i="1"/>
  <c r="G70" i="1"/>
  <c r="G101" i="1"/>
  <c r="G141" i="1"/>
  <c r="G173" i="1"/>
  <c r="G203" i="1"/>
  <c r="G239" i="1"/>
  <c r="G273" i="1"/>
  <c r="G304" i="1"/>
  <c r="H304" i="1" s="1"/>
  <c r="I304" i="1" s="1"/>
  <c r="G337" i="1"/>
  <c r="G372" i="1"/>
  <c r="H372" i="1" s="1"/>
  <c r="I372" i="1" s="1"/>
  <c r="G406" i="1"/>
  <c r="H406" i="1" s="1"/>
  <c r="I406" i="1" s="1"/>
  <c r="G442" i="1"/>
  <c r="G476" i="1"/>
  <c r="H476" i="1" s="1"/>
  <c r="I476" i="1" s="1"/>
  <c r="G504" i="1"/>
  <c r="G540" i="1"/>
  <c r="G574" i="1"/>
  <c r="G608" i="1"/>
  <c r="G639" i="1"/>
  <c r="G672" i="1"/>
  <c r="G700" i="1"/>
  <c r="G730" i="1"/>
  <c r="G756" i="1"/>
  <c r="G778" i="1"/>
  <c r="G805" i="1"/>
  <c r="G831" i="1"/>
  <c r="G856" i="1"/>
  <c r="G879" i="1"/>
  <c r="G905" i="1"/>
  <c r="G929" i="1"/>
  <c r="G950" i="1"/>
  <c r="G976" i="1"/>
  <c r="G1000" i="1"/>
  <c r="G1020" i="1"/>
  <c r="G1042" i="1"/>
  <c r="G1061" i="1"/>
  <c r="G1085" i="1"/>
  <c r="H1085" i="1" s="1"/>
  <c r="I1085" i="1" s="1"/>
  <c r="G1106" i="1"/>
  <c r="G1125" i="1"/>
  <c r="G1147" i="1"/>
  <c r="G1165" i="1"/>
  <c r="G1189" i="1"/>
  <c r="G1211" i="1"/>
  <c r="G1230" i="1"/>
  <c r="G1251" i="1"/>
  <c r="G1270" i="1"/>
  <c r="G1294" i="1"/>
  <c r="G1316" i="1"/>
  <c r="G1334" i="1"/>
  <c r="G1355" i="1"/>
  <c r="G1372" i="1"/>
  <c r="G1394" i="1"/>
  <c r="G1414" i="1"/>
  <c r="G1431" i="1"/>
  <c r="G1451" i="1"/>
  <c r="G1468" i="1"/>
  <c r="G1490" i="1"/>
  <c r="G1510" i="1"/>
  <c r="G1527" i="1"/>
  <c r="G1547" i="1"/>
  <c r="G1564" i="1"/>
  <c r="G1586" i="1"/>
  <c r="G1604" i="1"/>
  <c r="G1620" i="1"/>
  <c r="G1636" i="1"/>
  <c r="G1654" i="1"/>
  <c r="G1672" i="1"/>
  <c r="G1690" i="1"/>
  <c r="G1706" i="1"/>
  <c r="G5" i="1"/>
  <c r="H5" i="1" s="1"/>
  <c r="I5" i="1" s="1"/>
  <c r="G41" i="1"/>
  <c r="G71" i="1"/>
  <c r="G105" i="1"/>
  <c r="G1703" i="1"/>
  <c r="G1680" i="1"/>
  <c r="G1659" i="1"/>
  <c r="G1633" i="1"/>
  <c r="G1610" i="1"/>
  <c r="G1589" i="1"/>
  <c r="G1561" i="1"/>
  <c r="G1538" i="1"/>
  <c r="G1513" i="1"/>
  <c r="G1485" i="1"/>
  <c r="G1462" i="1"/>
  <c r="G1437" i="1"/>
  <c r="G1406" i="1"/>
  <c r="G1383" i="1"/>
  <c r="G1358" i="1"/>
  <c r="G1331" i="1"/>
  <c r="G1304" i="1"/>
  <c r="G1279" i="1"/>
  <c r="G1245" i="1"/>
  <c r="G1218" i="1"/>
  <c r="G1193" i="1"/>
  <c r="H1193" i="1" s="1"/>
  <c r="I1193" i="1" s="1"/>
  <c r="G1162" i="1"/>
  <c r="G1137" i="1"/>
  <c r="G1110" i="1"/>
  <c r="G1079" i="1"/>
  <c r="G1054" i="1"/>
  <c r="G1027" i="1"/>
  <c r="G990" i="1"/>
  <c r="G962" i="1"/>
  <c r="G930" i="1"/>
  <c r="H930" i="1" s="1"/>
  <c r="I930" i="1" s="1"/>
  <c r="G890" i="1"/>
  <c r="G857" i="1"/>
  <c r="G816" i="1"/>
  <c r="H817" i="1" s="1"/>
  <c r="I817" i="1" s="1"/>
  <c r="G779" i="1"/>
  <c r="G737" i="1"/>
  <c r="G701" i="1"/>
  <c r="G651" i="1"/>
  <c r="G611" i="1"/>
  <c r="G554" i="1"/>
  <c r="G505" i="1"/>
  <c r="G449" i="1"/>
  <c r="G407" i="1"/>
  <c r="G351" i="1"/>
  <c r="G305" i="1"/>
  <c r="G253" i="1"/>
  <c r="H254" i="1" s="1"/>
  <c r="I254" i="1" s="1"/>
  <c r="G204" i="1"/>
  <c r="G147" i="1"/>
  <c r="G94" i="1"/>
  <c r="G47" i="1"/>
  <c r="G1702" i="1"/>
  <c r="G1679" i="1"/>
  <c r="G1658" i="1"/>
  <c r="G1632" i="1"/>
  <c r="G1609" i="1"/>
  <c r="G1588" i="1"/>
  <c r="G1560" i="1"/>
  <c r="G1535" i="1"/>
  <c r="G1512" i="1"/>
  <c r="G1481" i="1"/>
  <c r="G1461" i="1"/>
  <c r="H1461" i="1" s="1"/>
  <c r="I1461" i="1" s="1"/>
  <c r="G1433" i="1"/>
  <c r="G1405" i="1"/>
  <c r="G1382" i="1"/>
  <c r="G1357" i="1"/>
  <c r="G1330" i="1"/>
  <c r="G1303" i="1"/>
  <c r="G1278" i="1"/>
  <c r="G1244" i="1"/>
  <c r="G1217" i="1"/>
  <c r="G1191" i="1"/>
  <c r="G1161" i="1"/>
  <c r="G1134" i="1"/>
  <c r="G1109" i="1"/>
  <c r="G1075" i="1"/>
  <c r="G1053" i="1"/>
  <c r="G1022" i="1"/>
  <c r="G989" i="1"/>
  <c r="G961" i="1"/>
  <c r="G922" i="1"/>
  <c r="G889" i="1"/>
  <c r="G848" i="1"/>
  <c r="G814" i="1"/>
  <c r="G772" i="1"/>
  <c r="G735" i="1"/>
  <c r="G690" i="1"/>
  <c r="G650" i="1"/>
  <c r="G598" i="1"/>
  <c r="G553" i="1"/>
  <c r="G497" i="1"/>
  <c r="G447" i="1"/>
  <c r="G395" i="1"/>
  <c r="G349" i="1"/>
  <c r="G297" i="1"/>
  <c r="G252" i="1"/>
  <c r="G195" i="1"/>
  <c r="G146" i="1"/>
  <c r="G88" i="1"/>
  <c r="G46" i="1"/>
  <c r="G1697" i="1"/>
  <c r="G1678" i="1"/>
  <c r="G1655" i="1"/>
  <c r="H1655" i="1" s="1"/>
  <c r="I1655" i="1" s="1"/>
  <c r="G1631" i="1"/>
  <c r="G1608" i="1"/>
  <c r="G1587" i="1"/>
  <c r="G1559" i="1"/>
  <c r="G1534" i="1"/>
  <c r="G1511" i="1"/>
  <c r="G1480" i="1"/>
  <c r="G1457" i="1"/>
  <c r="G1432" i="1"/>
  <c r="G1404" i="1"/>
  <c r="G1381" i="1"/>
  <c r="G1356" i="1"/>
  <c r="G1323" i="1"/>
  <c r="G1302" i="1"/>
  <c r="G1271" i="1"/>
  <c r="G1243" i="1"/>
  <c r="G1215" i="1"/>
  <c r="G1190" i="1"/>
  <c r="G1160" i="1"/>
  <c r="G1133" i="1"/>
  <c r="G1107" i="1"/>
  <c r="G1074" i="1"/>
  <c r="G1049" i="1"/>
  <c r="G1021" i="1"/>
  <c r="G988" i="1"/>
  <c r="G960" i="1"/>
  <c r="G921" i="1"/>
  <c r="G888" i="1"/>
  <c r="G845" i="1"/>
  <c r="G813" i="1"/>
  <c r="G770" i="1"/>
  <c r="G734" i="1"/>
  <c r="G688" i="1"/>
  <c r="G649" i="1"/>
  <c r="G593" i="1"/>
  <c r="G551" i="1"/>
  <c r="G493" i="1"/>
  <c r="H493" i="1" s="1"/>
  <c r="I493" i="1" s="1"/>
  <c r="G446" i="1"/>
  <c r="G392" i="1"/>
  <c r="G348" i="1"/>
  <c r="G290" i="1"/>
  <c r="G251" i="1"/>
  <c r="G193" i="1"/>
  <c r="G145" i="1"/>
  <c r="G86" i="1"/>
  <c r="G25" i="1"/>
  <c r="G1719" i="1"/>
  <c r="G1696" i="1"/>
  <c r="G1677" i="1"/>
  <c r="G1649" i="1"/>
  <c r="G1630" i="1"/>
  <c r="G1607" i="1"/>
  <c r="G1581" i="1"/>
  <c r="G1558" i="1"/>
  <c r="G1533" i="1"/>
  <c r="G1502" i="1"/>
  <c r="G1479" i="1"/>
  <c r="G1454" i="1"/>
  <c r="G1428" i="1"/>
  <c r="G1403" i="1"/>
  <c r="G1380" i="1"/>
  <c r="G1349" i="1"/>
  <c r="G1322" i="1"/>
  <c r="G1297" i="1"/>
  <c r="G1267" i="1"/>
  <c r="G1242" i="1"/>
  <c r="G1214" i="1"/>
  <c r="G1184" i="1"/>
  <c r="G1159" i="1"/>
  <c r="G1131" i="1"/>
  <c r="G1098" i="1"/>
  <c r="G1073" i="1"/>
  <c r="G1045" i="1"/>
  <c r="G1017" i="1"/>
  <c r="G987" i="1"/>
  <c r="G958" i="1"/>
  <c r="G918" i="1"/>
  <c r="G887" i="1"/>
  <c r="G844" i="1"/>
  <c r="H844" i="1" s="1"/>
  <c r="I844" i="1" s="1"/>
  <c r="G808" i="1"/>
  <c r="G766" i="1"/>
  <c r="G733" i="1"/>
  <c r="G687" i="1"/>
  <c r="H687" i="1" s="1"/>
  <c r="I687" i="1" s="1"/>
  <c r="G648" i="1"/>
  <c r="G591" i="1"/>
  <c r="G544" i="1"/>
  <c r="G489" i="1"/>
  <c r="H489" i="1" s="1"/>
  <c r="I489" i="1" s="1"/>
  <c r="G445" i="1"/>
  <c r="G389" i="1"/>
  <c r="H389" i="1" s="1"/>
  <c r="I389" i="1" s="1"/>
  <c r="G347" i="1"/>
  <c r="G289" i="1"/>
  <c r="H289" i="1" s="1"/>
  <c r="I289" i="1" s="1"/>
  <c r="G242" i="1"/>
  <c r="G188" i="1"/>
  <c r="G144" i="1"/>
  <c r="G83" i="1"/>
  <c r="G23" i="1"/>
  <c r="G1718" i="1"/>
  <c r="G1695" i="1"/>
  <c r="G1676" i="1"/>
  <c r="G1648" i="1"/>
  <c r="G1625" i="1"/>
  <c r="G1606" i="1"/>
  <c r="G1577" i="1"/>
  <c r="G1557" i="1"/>
  <c r="G1529" i="1"/>
  <c r="G1501" i="1"/>
  <c r="G1478" i="1"/>
  <c r="G1453" i="1"/>
  <c r="G1427" i="1"/>
  <c r="G1402" i="1"/>
  <c r="G1379" i="1"/>
  <c r="G1348" i="1"/>
  <c r="G1321" i="1"/>
  <c r="G1296" i="1"/>
  <c r="G1266" i="1"/>
  <c r="G1238" i="1"/>
  <c r="G1213" i="1"/>
  <c r="G1179" i="1"/>
  <c r="G1158" i="1"/>
  <c r="G1127" i="1"/>
  <c r="G1097" i="1"/>
  <c r="G1071" i="1"/>
  <c r="G1044" i="1"/>
  <c r="G1016" i="1"/>
  <c r="H1016" i="1" s="1"/>
  <c r="I1016" i="1" s="1"/>
  <c r="G986" i="1"/>
  <c r="G951" i="1"/>
  <c r="G915" i="1"/>
  <c r="G885" i="1"/>
  <c r="G837" i="1"/>
  <c r="G806" i="1"/>
  <c r="G761" i="1"/>
  <c r="G731" i="1"/>
  <c r="G683" i="1"/>
  <c r="H683" i="1" s="1"/>
  <c r="I683" i="1" s="1"/>
  <c r="G646" i="1"/>
  <c r="G584" i="1"/>
  <c r="G541" i="1"/>
  <c r="G484" i="1"/>
  <c r="G443" i="1"/>
  <c r="G384" i="1"/>
  <c r="G345" i="1"/>
  <c r="G281" i="1"/>
  <c r="G240" i="1"/>
  <c r="G181" i="1"/>
  <c r="G142" i="1"/>
  <c r="G82" i="1"/>
  <c r="G22" i="1"/>
  <c r="G1717" i="1"/>
  <c r="G1694" i="1"/>
  <c r="G1673" i="1"/>
  <c r="G1647" i="1"/>
  <c r="G1624" i="1"/>
  <c r="G1605" i="1"/>
  <c r="G1576" i="1"/>
  <c r="G1553" i="1"/>
  <c r="G1528" i="1"/>
  <c r="G1500" i="1"/>
  <c r="G1477" i="1"/>
  <c r="G1452" i="1"/>
  <c r="G1421" i="1"/>
  <c r="G1401" i="1"/>
  <c r="H1401" i="1" s="1"/>
  <c r="I1401" i="1" s="1"/>
  <c r="G1373" i="1"/>
  <c r="G1347" i="1"/>
  <c r="G1320" i="1"/>
  <c r="G1295" i="1"/>
  <c r="G1265" i="1"/>
  <c r="G1237" i="1"/>
  <c r="G1212" i="1"/>
  <c r="G1178" i="1"/>
  <c r="G1153" i="1"/>
  <c r="H1153" i="1" s="1"/>
  <c r="I1153" i="1" s="1"/>
  <c r="G1126" i="1"/>
  <c r="G1095" i="1"/>
  <c r="G1070" i="1"/>
  <c r="G1043" i="1"/>
  <c r="H1043" i="1" s="1"/>
  <c r="I1043" i="1" s="1"/>
  <c r="G1008" i="1"/>
  <c r="G984" i="1"/>
  <c r="G945" i="1"/>
  <c r="G914" i="1"/>
  <c r="G873" i="1"/>
  <c r="G836" i="1"/>
  <c r="G794" i="1"/>
  <c r="G760" i="1"/>
  <c r="G718" i="1"/>
  <c r="G681" i="1"/>
  <c r="G629" i="1"/>
  <c r="G581" i="1"/>
  <c r="G526" i="1"/>
  <c r="G482" i="1"/>
  <c r="G428" i="1"/>
  <c r="G383" i="1"/>
  <c r="G328" i="1"/>
  <c r="G280" i="1"/>
  <c r="G225" i="1"/>
  <c r="G180" i="1"/>
  <c r="G125" i="1"/>
  <c r="G81" i="1"/>
  <c r="H81" i="1" s="1"/>
  <c r="I81" i="1" s="1"/>
  <c r="G15" i="1"/>
  <c r="G1716" i="1"/>
  <c r="G1693" i="1"/>
  <c r="G1667" i="1"/>
  <c r="G1646" i="1"/>
  <c r="G1623" i="1"/>
  <c r="G1597" i="1"/>
  <c r="G1575" i="1"/>
  <c r="G1550" i="1"/>
  <c r="G1524" i="1"/>
  <c r="G1499" i="1"/>
  <c r="G1476" i="1"/>
  <c r="G1445" i="1"/>
  <c r="G1420" i="1"/>
  <c r="G1397" i="1"/>
  <c r="G1369" i="1"/>
  <c r="G1346" i="1"/>
  <c r="G1319" i="1"/>
  <c r="G1289" i="1"/>
  <c r="G1263" i="1"/>
  <c r="G1236" i="1"/>
  <c r="G1202" i="1"/>
  <c r="G1177" i="1"/>
  <c r="G1150" i="1"/>
  <c r="G1122" i="1"/>
  <c r="G1094" i="1"/>
  <c r="G1069" i="1"/>
  <c r="G1035" i="1"/>
  <c r="G1007" i="1"/>
  <c r="G980" i="1"/>
  <c r="G944" i="1"/>
  <c r="G913" i="1"/>
  <c r="G872" i="1"/>
  <c r="G834" i="1"/>
  <c r="G793" i="1"/>
  <c r="G759" i="1"/>
  <c r="G717" i="1"/>
  <c r="G680" i="1"/>
  <c r="G628" i="1"/>
  <c r="G579" i="1"/>
  <c r="G525" i="1"/>
  <c r="G479" i="1"/>
  <c r="G425" i="1"/>
  <c r="G382" i="1"/>
  <c r="G327" i="1"/>
  <c r="G277" i="1"/>
  <c r="G224" i="1"/>
  <c r="G179" i="1"/>
  <c r="G124" i="1"/>
  <c r="G73" i="1"/>
  <c r="G12" i="1"/>
  <c r="G1713" i="1"/>
  <c r="G1692" i="1"/>
  <c r="G1666" i="1"/>
  <c r="G1645" i="1"/>
  <c r="G1622" i="1"/>
  <c r="G1596" i="1"/>
  <c r="G1574" i="1"/>
  <c r="G1549" i="1"/>
  <c r="G1523" i="1"/>
  <c r="G1498" i="1"/>
  <c r="G1475" i="1"/>
  <c r="G1444" i="1"/>
  <c r="G1419" i="1"/>
  <c r="G1396" i="1"/>
  <c r="G1368" i="1"/>
  <c r="G1343" i="1"/>
  <c r="G1318" i="1"/>
  <c r="G1284" i="1"/>
  <c r="G1262" i="1"/>
  <c r="G1232" i="1"/>
  <c r="G1201" i="1"/>
  <c r="G1176" i="1"/>
  <c r="G1149" i="1"/>
  <c r="G1121" i="1"/>
  <c r="G1093" i="1"/>
  <c r="G1068" i="1"/>
  <c r="G1034" i="1"/>
  <c r="G1006" i="1"/>
  <c r="G978" i="1"/>
  <c r="G942" i="1"/>
  <c r="G909" i="1"/>
  <c r="G870" i="1"/>
  <c r="G833" i="1"/>
  <c r="G792" i="1"/>
  <c r="G758" i="1"/>
  <c r="G716" i="1"/>
  <c r="G674" i="1"/>
  <c r="G627" i="1"/>
  <c r="H627" i="1" s="1"/>
  <c r="I627" i="1" s="1"/>
  <c r="G578" i="1"/>
  <c r="G521" i="1"/>
  <c r="G478" i="1"/>
  <c r="G424" i="1"/>
  <c r="G375" i="1"/>
  <c r="G325" i="1"/>
  <c r="H325" i="1" s="1"/>
  <c r="I325" i="1" s="1"/>
  <c r="G275" i="1"/>
  <c r="G221" i="1"/>
  <c r="H221" i="1" s="1"/>
  <c r="I221" i="1" s="1"/>
  <c r="G177" i="1"/>
  <c r="G123" i="1"/>
  <c r="G53" i="1"/>
  <c r="G11" i="1"/>
  <c r="G1712" i="1"/>
  <c r="G1691" i="1"/>
  <c r="G1665" i="1"/>
  <c r="G1644" i="1"/>
  <c r="G1621" i="1"/>
  <c r="G1595" i="1"/>
  <c r="G1573" i="1"/>
  <c r="G1548" i="1"/>
  <c r="G1517" i="1"/>
  <c r="G1497" i="1"/>
  <c r="G1469" i="1"/>
  <c r="G1443" i="1"/>
  <c r="G1418" i="1"/>
  <c r="G1395" i="1"/>
  <c r="H1395" i="1" s="1"/>
  <c r="I1395" i="1" s="1"/>
  <c r="G1367" i="1"/>
  <c r="G1342" i="1"/>
  <c r="G1317" i="1"/>
  <c r="G1283" i="1"/>
  <c r="G1258" i="1"/>
  <c r="G1231" i="1"/>
  <c r="G1200" i="1"/>
  <c r="G1175" i="1"/>
  <c r="G1148" i="1"/>
  <c r="G1114" i="1"/>
  <c r="G1092" i="1"/>
  <c r="G1062" i="1"/>
  <c r="G1033" i="1"/>
  <c r="G1005" i="1"/>
  <c r="G977" i="1"/>
  <c r="G941" i="1"/>
  <c r="G908" i="1"/>
  <c r="G865" i="1"/>
  <c r="G832" i="1"/>
  <c r="G791" i="1"/>
  <c r="G757" i="1"/>
  <c r="G714" i="1"/>
  <c r="G673" i="1"/>
  <c r="G620" i="1"/>
  <c r="G576" i="1"/>
  <c r="G520" i="1"/>
  <c r="G477" i="1"/>
  <c r="G423" i="1"/>
  <c r="G374" i="1"/>
  <c r="G317" i="1"/>
  <c r="G274" i="1"/>
  <c r="G219" i="1"/>
  <c r="G176" i="1"/>
  <c r="G121" i="1"/>
  <c r="H121" i="1" s="1"/>
  <c r="I121" i="1" s="1"/>
  <c r="G52" i="1"/>
  <c r="G1709" i="1"/>
  <c r="G1683" i="1"/>
  <c r="H1683" i="1" s="1"/>
  <c r="I1683" i="1" s="1"/>
  <c r="G1664" i="1"/>
  <c r="G1641" i="1"/>
  <c r="G1617" i="1"/>
  <c r="G1594" i="1"/>
  <c r="G1572" i="1"/>
  <c r="G1541" i="1"/>
  <c r="G1516" i="1"/>
  <c r="G1493" i="1"/>
  <c r="G1465" i="1"/>
  <c r="G1442" i="1"/>
  <c r="G1417" i="1"/>
  <c r="G1389" i="1"/>
  <c r="G1366" i="1"/>
  <c r="G1341" i="1"/>
  <c r="G1307" i="1"/>
  <c r="G1282" i="1"/>
  <c r="G1255" i="1"/>
  <c r="G1226" i="1"/>
  <c r="G1199" i="1"/>
  <c r="G1174" i="1"/>
  <c r="G1140" i="1"/>
  <c r="G1113" i="1"/>
  <c r="G1088" i="1"/>
  <c r="H1088" i="1" s="1"/>
  <c r="I1088" i="1" s="1"/>
  <c r="G1057" i="1"/>
  <c r="G1032" i="1"/>
  <c r="G1004" i="1"/>
  <c r="G965" i="1"/>
  <c r="G937" i="1"/>
  <c r="G894" i="1"/>
  <c r="G863" i="1"/>
  <c r="G819" i="1"/>
  <c r="H819" i="1" s="1"/>
  <c r="I819" i="1" s="1"/>
  <c r="G788" i="1"/>
  <c r="G744" i="1"/>
  <c r="G712" i="1"/>
  <c r="G658" i="1"/>
  <c r="G616" i="1"/>
  <c r="H616" i="1" s="1"/>
  <c r="I616" i="1" s="1"/>
  <c r="G557" i="1"/>
  <c r="G518" i="1"/>
  <c r="G459" i="1"/>
  <c r="G419" i="1"/>
  <c r="G357" i="1"/>
  <c r="G315" i="1"/>
  <c r="G256" i="1"/>
  <c r="G217" i="1"/>
  <c r="G158" i="1"/>
  <c r="G117" i="1"/>
  <c r="G51" i="1"/>
  <c r="P40" i="1" l="1"/>
  <c r="H1708" i="1"/>
  <c r="I1708" i="1" s="1"/>
  <c r="H581" i="1"/>
  <c r="I581" i="1" s="1"/>
  <c r="H1581" i="1"/>
  <c r="I1581" i="1" s="1"/>
  <c r="H50" i="1"/>
  <c r="I50" i="1" s="1"/>
  <c r="H305" i="1"/>
  <c r="I305" i="1" s="1"/>
  <c r="H1112" i="1"/>
  <c r="I1112" i="1" s="1"/>
  <c r="H332" i="1"/>
  <c r="I332" i="1" s="1"/>
  <c r="H1594" i="1"/>
  <c r="I1594" i="1" s="1"/>
  <c r="H965" i="1"/>
  <c r="I965" i="1" s="1"/>
  <c r="H818" i="1"/>
  <c r="I818" i="1" s="1"/>
  <c r="H49" i="1"/>
  <c r="I49" i="1" s="1"/>
  <c r="H1118" i="1"/>
  <c r="I1118" i="1" s="1"/>
  <c r="H362" i="1"/>
  <c r="I362" i="1" s="1"/>
  <c r="H1068" i="1"/>
  <c r="I1068" i="1" s="1"/>
  <c r="H777" i="1"/>
  <c r="I777" i="1" s="1"/>
  <c r="H625" i="1"/>
  <c r="I625" i="1" s="1"/>
  <c r="H1465" i="1"/>
  <c r="I1465" i="1" s="1"/>
  <c r="H1386" i="1"/>
  <c r="I1386" i="1" s="1"/>
  <c r="H1638" i="1"/>
  <c r="I1638" i="1" s="1"/>
  <c r="H1255" i="1"/>
  <c r="I1255" i="1" s="1"/>
  <c r="H613" i="1"/>
  <c r="I613" i="1" s="1"/>
  <c r="H1492" i="1"/>
  <c r="I1492" i="1" s="1"/>
  <c r="H1516" i="1"/>
  <c r="I1516" i="1" s="1"/>
  <c r="H780" i="1"/>
  <c r="I780" i="1" s="1"/>
  <c r="H1167" i="1"/>
  <c r="I1167" i="1" s="1"/>
  <c r="H1307" i="1"/>
  <c r="I1307" i="1" s="1"/>
  <c r="H352" i="1"/>
  <c r="I352" i="1" s="1"/>
  <c r="H353" i="1"/>
  <c r="I353" i="1" s="1"/>
  <c r="H157" i="1"/>
  <c r="I157" i="1" s="1"/>
  <c r="H1305" i="1"/>
  <c r="I1305" i="1" s="1"/>
  <c r="H1439" i="1"/>
  <c r="I1439" i="1" s="1"/>
  <c r="H280" i="1"/>
  <c r="I280" i="1" s="1"/>
  <c r="H1158" i="1"/>
  <c r="I1158" i="1" s="1"/>
  <c r="H800" i="1"/>
  <c r="I800" i="1" s="1"/>
  <c r="H781" i="1"/>
  <c r="I781" i="1" s="1"/>
  <c r="H1409" i="1"/>
  <c r="I1409" i="1" s="1"/>
  <c r="H1197" i="1"/>
  <c r="I1197" i="1" s="1"/>
  <c r="H1385" i="1"/>
  <c r="I1385" i="1" s="1"/>
  <c r="H1057" i="1"/>
  <c r="I1057" i="1" s="1"/>
  <c r="H658" i="1"/>
  <c r="I658" i="1" s="1"/>
  <c r="H744" i="1"/>
  <c r="I744" i="1" s="1"/>
  <c r="H9" i="1"/>
  <c r="I9" i="1" s="1"/>
  <c r="H605" i="1"/>
  <c r="I605" i="1" s="1"/>
  <c r="H891" i="1"/>
  <c r="I891" i="1" s="1"/>
  <c r="H1139" i="1"/>
  <c r="I1139" i="1" s="1"/>
  <c r="H1281" i="1"/>
  <c r="I1281" i="1" s="1"/>
  <c r="H1138" i="1"/>
  <c r="I1138" i="1" s="1"/>
  <c r="H702" i="1"/>
  <c r="I702" i="1" s="1"/>
  <c r="H976" i="1"/>
  <c r="I976" i="1" s="1"/>
  <c r="H413" i="1"/>
  <c r="I413" i="1" s="1"/>
  <c r="H1003" i="1"/>
  <c r="I1003" i="1" s="1"/>
  <c r="H206" i="1"/>
  <c r="I206" i="1" s="1"/>
  <c r="H1030" i="1"/>
  <c r="I1030" i="1" s="1"/>
  <c r="H310" i="1"/>
  <c r="I310" i="1" s="1"/>
  <c r="H1366" i="1"/>
  <c r="I1366" i="1" s="1"/>
  <c r="H1664" i="1"/>
  <c r="I1664" i="1" s="1"/>
  <c r="H1611" i="1"/>
  <c r="I1611" i="1" s="1"/>
  <c r="H1612" i="1"/>
  <c r="I1612" i="1" s="1"/>
  <c r="H1592" i="1"/>
  <c r="I1592" i="1" s="1"/>
  <c r="H311" i="1"/>
  <c r="I311" i="1" s="1"/>
  <c r="H293" i="1"/>
  <c r="I293" i="1" s="1"/>
  <c r="H1715" i="1"/>
  <c r="I1715" i="1" s="1"/>
  <c r="H1537" i="1"/>
  <c r="I1537" i="1" s="1"/>
  <c r="H1345" i="1"/>
  <c r="I1345" i="1" s="1"/>
  <c r="H1136" i="1"/>
  <c r="I1136" i="1" s="1"/>
  <c r="H917" i="1"/>
  <c r="I917" i="1" s="1"/>
  <c r="H686" i="1"/>
  <c r="I686" i="1" s="1"/>
  <c r="H387" i="1"/>
  <c r="I387" i="1" s="1"/>
  <c r="H85" i="1"/>
  <c r="I85" i="1" s="1"/>
  <c r="H1598" i="1"/>
  <c r="I1598" i="1" s="1"/>
  <c r="H1407" i="1"/>
  <c r="I1407" i="1" s="1"/>
  <c r="H764" i="1"/>
  <c r="I764" i="1" s="1"/>
  <c r="H1115" i="1"/>
  <c r="I1115" i="1" s="1"/>
  <c r="H952" i="1"/>
  <c r="I952" i="1" s="1"/>
  <c r="H1132" i="1"/>
  <c r="I1132" i="1" s="1"/>
  <c r="H985" i="1"/>
  <c r="I985" i="1" s="1"/>
  <c r="H483" i="1"/>
  <c r="I483" i="1" s="1"/>
  <c r="H653" i="1"/>
  <c r="I653" i="1" s="1"/>
  <c r="H87" i="1"/>
  <c r="I87" i="1" s="1"/>
  <c r="H508" i="1"/>
  <c r="I508" i="1" s="1"/>
  <c r="H336" i="1"/>
  <c r="I336" i="1" s="1"/>
  <c r="H667" i="1"/>
  <c r="I667" i="1" s="1"/>
  <c r="H162" i="1"/>
  <c r="I162" i="1" s="1"/>
  <c r="H459" i="1"/>
  <c r="I459" i="1" s="1"/>
  <c r="H576" i="1"/>
  <c r="I576" i="1" s="1"/>
  <c r="H382" i="1"/>
  <c r="I382" i="1" s="1"/>
  <c r="H593" i="1"/>
  <c r="I593" i="1" s="1"/>
  <c r="H1658" i="1"/>
  <c r="I1658" i="1" s="1"/>
  <c r="H173" i="1"/>
  <c r="I173" i="1" s="1"/>
  <c r="H1080" i="1"/>
  <c r="I1080" i="1" s="1"/>
  <c r="H1417" i="1"/>
  <c r="I1417" i="1" s="1"/>
  <c r="H620" i="1"/>
  <c r="I620" i="1" s="1"/>
  <c r="H1062" i="1"/>
  <c r="I1062" i="1" s="1"/>
  <c r="H944" i="1"/>
  <c r="I944" i="1" s="1"/>
  <c r="H806" i="1"/>
  <c r="I806" i="1" s="1"/>
  <c r="H1131" i="1"/>
  <c r="I1131" i="1" s="1"/>
  <c r="H25" i="1"/>
  <c r="I25" i="1" s="1"/>
  <c r="H470" i="1"/>
  <c r="I470" i="1" s="1"/>
  <c r="H970" i="1"/>
  <c r="I970" i="1" s="1"/>
  <c r="H269" i="1"/>
  <c r="I269" i="1" s="1"/>
  <c r="H1701" i="1"/>
  <c r="I1701" i="1" s="1"/>
  <c r="H1522" i="1"/>
  <c r="I1522" i="1" s="1"/>
  <c r="H1329" i="1"/>
  <c r="I1329" i="1" s="1"/>
  <c r="H1119" i="1"/>
  <c r="I1119" i="1" s="1"/>
  <c r="H900" i="1"/>
  <c r="I900" i="1" s="1"/>
  <c r="H663" i="1"/>
  <c r="I663" i="1" s="1"/>
  <c r="H363" i="1"/>
  <c r="I363" i="1" s="1"/>
  <c r="H437" i="1"/>
  <c r="I437" i="1" s="1"/>
  <c r="H565" i="1"/>
  <c r="I565" i="1" s="1"/>
  <c r="H279" i="1"/>
  <c r="I279" i="1" s="1"/>
  <c r="H655" i="1"/>
  <c r="I655" i="1" s="1"/>
  <c r="H256" i="1"/>
  <c r="I256" i="1" s="1"/>
  <c r="H188" i="1"/>
  <c r="I188" i="1" s="1"/>
  <c r="H1107" i="1"/>
  <c r="I1107" i="1" s="1"/>
  <c r="H611" i="1"/>
  <c r="I611" i="1" s="1"/>
  <c r="H32" i="1"/>
  <c r="I32" i="1" s="1"/>
  <c r="H947" i="1"/>
  <c r="I947" i="1" s="1"/>
  <c r="H632" i="1"/>
  <c r="I632" i="1" s="1"/>
  <c r="H230" i="1"/>
  <c r="I230" i="1" s="1"/>
  <c r="H924" i="1"/>
  <c r="I924" i="1" s="1"/>
  <c r="H753" i="1"/>
  <c r="I753" i="1" s="1"/>
  <c r="H320" i="1"/>
  <c r="I320" i="1" s="1"/>
  <c r="H95" i="1"/>
  <c r="I95" i="1" s="1"/>
  <c r="H453" i="1"/>
  <c r="I453" i="1" s="1"/>
  <c r="H57" i="1"/>
  <c r="I57" i="1" s="1"/>
  <c r="H652" i="1"/>
  <c r="I652" i="1" s="1"/>
  <c r="H134" i="1"/>
  <c r="I134" i="1" s="1"/>
  <c r="H1219" i="1"/>
  <c r="I1219" i="1" s="1"/>
  <c r="H1640" i="1"/>
  <c r="I1640" i="1" s="1"/>
  <c r="H1338" i="1"/>
  <c r="I1338" i="1" s="1"/>
  <c r="H1573" i="1"/>
  <c r="I1573" i="1" s="1"/>
  <c r="H858" i="1"/>
  <c r="I858" i="1" s="1"/>
  <c r="H1616" i="1"/>
  <c r="I1616" i="1" s="1"/>
  <c r="H1225" i="1"/>
  <c r="I1225" i="1" s="1"/>
  <c r="H518" i="1"/>
  <c r="I518" i="1" s="1"/>
  <c r="H1641" i="1"/>
  <c r="I1641" i="1" s="1"/>
  <c r="H556" i="1"/>
  <c r="I556" i="1" s="1"/>
  <c r="H557" i="1"/>
  <c r="I557" i="1" s="1"/>
  <c r="H1677" i="1"/>
  <c r="I1677" i="1" s="1"/>
  <c r="H1173" i="1"/>
  <c r="I1173" i="1" s="1"/>
  <c r="H1389" i="1"/>
  <c r="I1389" i="1" s="1"/>
  <c r="H1365" i="1"/>
  <c r="I1365" i="1" s="1"/>
  <c r="H1540" i="1"/>
  <c r="I1540" i="1" s="1"/>
  <c r="H1442" i="1"/>
  <c r="I1442" i="1" s="1"/>
  <c r="H144" i="1"/>
  <c r="I144" i="1" s="1"/>
  <c r="H733" i="1"/>
  <c r="I733" i="1" s="1"/>
  <c r="H879" i="1"/>
  <c r="I879" i="1" s="1"/>
  <c r="H540" i="1"/>
  <c r="I540" i="1" s="1"/>
  <c r="H1105" i="1"/>
  <c r="I1105" i="1" s="1"/>
  <c r="H1310" i="1"/>
  <c r="I1310" i="1" s="1"/>
  <c r="H572" i="1"/>
  <c r="I572" i="1" s="1"/>
  <c r="H63" i="1"/>
  <c r="I63" i="1" s="1"/>
  <c r="H974" i="1"/>
  <c r="I974" i="1" s="1"/>
  <c r="H460" i="1"/>
  <c r="I460" i="1" s="1"/>
  <c r="H1496" i="1"/>
  <c r="I1496" i="1" s="1"/>
  <c r="H1340" i="1"/>
  <c r="I1340" i="1" s="1"/>
  <c r="H1410" i="1"/>
  <c r="I1410" i="1" s="1"/>
  <c r="H1259" i="1"/>
  <c r="I1259" i="1" s="1"/>
  <c r="H938" i="1"/>
  <c r="I938" i="1" s="1"/>
  <c r="H767" i="1"/>
  <c r="I767" i="1" s="1"/>
  <c r="H338" i="1"/>
  <c r="I338" i="1" s="1"/>
  <c r="H972" i="1"/>
  <c r="I972" i="1" s="1"/>
  <c r="H815" i="1"/>
  <c r="I815" i="1" s="1"/>
  <c r="H89" i="1"/>
  <c r="I89" i="1" s="1"/>
  <c r="H637" i="1"/>
  <c r="I637" i="1" s="1"/>
  <c r="H261" i="1"/>
  <c r="I261" i="1" s="1"/>
  <c r="H72" i="1"/>
  <c r="I72" i="1" s="1"/>
  <c r="H955" i="1"/>
  <c r="I955" i="1" s="1"/>
  <c r="H322" i="1"/>
  <c r="I322" i="1" s="1"/>
  <c r="H148" i="1"/>
  <c r="I148" i="1" s="1"/>
  <c r="H511" i="1"/>
  <c r="I511" i="1" s="1"/>
  <c r="H367" i="1"/>
  <c r="I367" i="1" s="1"/>
  <c r="H223" i="1"/>
  <c r="I223" i="1" s="1"/>
  <c r="H582" i="1"/>
  <c r="I582" i="1" s="1"/>
  <c r="H1056" i="1"/>
  <c r="I1056" i="1" s="1"/>
  <c r="H859" i="1"/>
  <c r="I859" i="1" s="1"/>
  <c r="H1380" i="1"/>
  <c r="I1380" i="1" s="1"/>
  <c r="H988" i="1"/>
  <c r="I988" i="1" s="1"/>
  <c r="H1323" i="1"/>
  <c r="I1323" i="1" s="1"/>
  <c r="H1451" i="1"/>
  <c r="I1451" i="1" s="1"/>
  <c r="H1211" i="1"/>
  <c r="I1211" i="1" s="1"/>
  <c r="H950" i="1"/>
  <c r="I950" i="1" s="1"/>
  <c r="H1635" i="1"/>
  <c r="I1635" i="1" s="1"/>
  <c r="H1600" i="1"/>
  <c r="I1600" i="1" s="1"/>
  <c r="H140" i="1"/>
  <c r="I140" i="1" s="1"/>
  <c r="H1628" i="1"/>
  <c r="I1628" i="1" s="1"/>
  <c r="H1029" i="1"/>
  <c r="I1029" i="1" s="1"/>
  <c r="H872" i="1"/>
  <c r="I872" i="1" s="1"/>
  <c r="H1236" i="1"/>
  <c r="I1236" i="1" s="1"/>
  <c r="H963" i="1"/>
  <c r="I963" i="1" s="1"/>
  <c r="H1361" i="1"/>
  <c r="I1361" i="1" s="1"/>
  <c r="H706" i="1"/>
  <c r="I706" i="1" s="1"/>
  <c r="H412" i="1"/>
  <c r="I412" i="1" s="1"/>
  <c r="H111" i="1"/>
  <c r="I111" i="1" s="1"/>
  <c r="H1661" i="1"/>
  <c r="I1661" i="1" s="1"/>
  <c r="H51" i="1"/>
  <c r="I51" i="1" s="1"/>
  <c r="H1709" i="1"/>
  <c r="I1709" i="1" s="1"/>
  <c r="H1033" i="1"/>
  <c r="I1033" i="1" s="1"/>
  <c r="H1367" i="1"/>
  <c r="I1367" i="1" s="1"/>
  <c r="H1665" i="1"/>
  <c r="I1665" i="1" s="1"/>
  <c r="H913" i="1"/>
  <c r="I913" i="1" s="1"/>
  <c r="H1528" i="1"/>
  <c r="I1528" i="1" s="1"/>
  <c r="H1049" i="1"/>
  <c r="I1049" i="1" s="1"/>
  <c r="H29" i="1"/>
  <c r="I29" i="1" s="1"/>
  <c r="H298" i="1"/>
  <c r="I298" i="1" s="1"/>
  <c r="H846" i="1"/>
  <c r="I846" i="1" s="1"/>
  <c r="H597" i="1"/>
  <c r="I597" i="1" s="1"/>
  <c r="H485" i="1"/>
  <c r="I485" i="1" s="1"/>
  <c r="H183" i="1"/>
  <c r="I183" i="1" s="1"/>
  <c r="H1508" i="1"/>
  <c r="I1508" i="1" s="1"/>
  <c r="H1352" i="1"/>
  <c r="I1352" i="1" s="1"/>
  <c r="H1183" i="1"/>
  <c r="I1183" i="1" s="1"/>
  <c r="H1026" i="1"/>
  <c r="I1026" i="1" s="1"/>
  <c r="H677" i="1"/>
  <c r="I677" i="1" s="1"/>
  <c r="H228" i="1"/>
  <c r="I228" i="1" s="1"/>
  <c r="H153" i="1"/>
  <c r="I153" i="1" s="1"/>
  <c r="H1566" i="1"/>
  <c r="I1566" i="1" s="1"/>
  <c r="H1422" i="1"/>
  <c r="I1422" i="1" s="1"/>
  <c r="H1272" i="1"/>
  <c r="I1272" i="1" s="1"/>
  <c r="H585" i="1"/>
  <c r="I585" i="1" s="1"/>
  <c r="H359" i="1"/>
  <c r="I359" i="1" s="1"/>
  <c r="H1276" i="1"/>
  <c r="I1276" i="1" s="1"/>
  <c r="H296" i="1"/>
  <c r="I296" i="1" s="1"/>
  <c r="H465" i="1"/>
  <c r="I465" i="1" s="1"/>
  <c r="H276" i="1"/>
  <c r="I276" i="1" s="1"/>
  <c r="H823" i="1"/>
  <c r="I823" i="1" s="1"/>
  <c r="H164" i="1"/>
  <c r="I164" i="1" s="1"/>
  <c r="H523" i="1"/>
  <c r="I523" i="1" s="1"/>
  <c r="H379" i="1"/>
  <c r="I379" i="1" s="1"/>
  <c r="H235" i="1"/>
  <c r="I235" i="1" s="1"/>
  <c r="H91" i="1"/>
  <c r="I91" i="1" s="1"/>
  <c r="H306" i="1"/>
  <c r="I306" i="1" s="1"/>
  <c r="H18" i="1"/>
  <c r="I18" i="1" s="1"/>
  <c r="H117" i="1"/>
  <c r="I117" i="1" s="1"/>
  <c r="H1113" i="1"/>
  <c r="I1113" i="1" s="1"/>
  <c r="H158" i="1"/>
  <c r="I158" i="1" s="1"/>
  <c r="H578" i="1"/>
  <c r="I578" i="1" s="1"/>
  <c r="H1398" i="1"/>
  <c r="I1398" i="1" s="1"/>
  <c r="H1682" i="1"/>
  <c r="I1682" i="1" s="1"/>
  <c r="H1174" i="1"/>
  <c r="I1174" i="1" s="1"/>
  <c r="H1493" i="1"/>
  <c r="I1493" i="1" s="1"/>
  <c r="H1457" i="1"/>
  <c r="I1457" i="1" s="1"/>
  <c r="H196" i="1"/>
  <c r="I196" i="1" s="1"/>
  <c r="H738" i="1"/>
  <c r="I738" i="1" s="1"/>
  <c r="H527" i="1"/>
  <c r="I527" i="1" s="1"/>
  <c r="H59" i="1"/>
  <c r="I59" i="1" s="1"/>
  <c r="H787" i="1"/>
  <c r="I787" i="1" s="1"/>
  <c r="H1198" i="1"/>
  <c r="I1198" i="1" s="1"/>
  <c r="H1199" i="1"/>
  <c r="I1199" i="1" s="1"/>
  <c r="H176" i="1"/>
  <c r="I176" i="1" s="1"/>
  <c r="H1111" i="1"/>
  <c r="I1111" i="1" s="1"/>
  <c r="H564" i="1"/>
  <c r="I564" i="1" s="1"/>
  <c r="H1662" i="1"/>
  <c r="I1662" i="1" s="1"/>
  <c r="H1220" i="1"/>
  <c r="I1220" i="1" s="1"/>
  <c r="H507" i="1"/>
  <c r="I507" i="1" s="1"/>
  <c r="H933" i="1"/>
  <c r="I933" i="1" s="1"/>
  <c r="H1515" i="1"/>
  <c r="I1515" i="1" s="1"/>
  <c r="H1032" i="1"/>
  <c r="I1032" i="1" s="1"/>
  <c r="H1045" i="1"/>
  <c r="I1045" i="1" s="1"/>
  <c r="H1631" i="1"/>
  <c r="I1631" i="1" s="1"/>
  <c r="H1164" i="1"/>
  <c r="I1164" i="1" s="1"/>
  <c r="H430" i="1"/>
  <c r="I430" i="1" s="1"/>
  <c r="H315" i="1"/>
  <c r="I315" i="1" s="1"/>
  <c r="H863" i="1"/>
  <c r="I863" i="1" s="1"/>
  <c r="H1226" i="1"/>
  <c r="I1226" i="1" s="1"/>
  <c r="H1541" i="1"/>
  <c r="I1541" i="1" s="1"/>
  <c r="H1362" i="1"/>
  <c r="I1362" i="1" s="1"/>
  <c r="H216" i="1"/>
  <c r="I216" i="1" s="1"/>
  <c r="H1002" i="1"/>
  <c r="I1002" i="1" s="1"/>
  <c r="H255" i="1"/>
  <c r="I255" i="1" s="1"/>
  <c r="H447" i="1"/>
  <c r="I447" i="1" s="1"/>
  <c r="H1303" i="1"/>
  <c r="I1303" i="1" s="1"/>
  <c r="H1589" i="1"/>
  <c r="I1589" i="1" s="1"/>
  <c r="H904" i="1"/>
  <c r="I904" i="1" s="1"/>
  <c r="H942" i="1"/>
  <c r="I942" i="1" s="1"/>
  <c r="H327" i="1"/>
  <c r="I327" i="1" s="1"/>
  <c r="H1550" i="1"/>
  <c r="I1550" i="1" s="1"/>
  <c r="H794" i="1"/>
  <c r="I794" i="1" s="1"/>
  <c r="H1127" i="1"/>
  <c r="I1127" i="1" s="1"/>
  <c r="H1696" i="1"/>
  <c r="I1696" i="1" s="1"/>
  <c r="H497" i="1"/>
  <c r="I497" i="1" s="1"/>
  <c r="H1431" i="1"/>
  <c r="I1431" i="1" s="1"/>
  <c r="H929" i="1"/>
  <c r="I929" i="1" s="1"/>
  <c r="H1619" i="1"/>
  <c r="I1619" i="1" s="1"/>
  <c r="H1391" i="1"/>
  <c r="I1391" i="1" s="1"/>
  <c r="H1223" i="1"/>
  <c r="I1223" i="1" s="1"/>
  <c r="H602" i="1"/>
  <c r="I602" i="1" s="1"/>
  <c r="H69" i="1"/>
  <c r="I69" i="1" s="1"/>
  <c r="H774" i="1"/>
  <c r="I774" i="1" s="1"/>
  <c r="H1170" i="1"/>
  <c r="I1170" i="1" s="1"/>
  <c r="H840" i="1"/>
  <c r="I840" i="1" s="1"/>
  <c r="H1377" i="1"/>
  <c r="I1377" i="1" s="1"/>
  <c r="H1157" i="1"/>
  <c r="I1157" i="1" s="1"/>
  <c r="H826" i="1"/>
  <c r="I826" i="1" s="1"/>
  <c r="H417" i="1"/>
  <c r="I417" i="1" s="1"/>
  <c r="H548" i="1"/>
  <c r="I548" i="1" s="1"/>
  <c r="H622" i="1"/>
  <c r="I622" i="1" s="1"/>
  <c r="H404" i="1"/>
  <c r="I404" i="1" s="1"/>
  <c r="H935" i="1"/>
  <c r="I935" i="1" s="1"/>
  <c r="H410" i="1"/>
  <c r="I410" i="1" s="1"/>
  <c r="H40" i="1"/>
  <c r="I40" i="1" s="1"/>
  <c r="H1572" i="1"/>
  <c r="I1572" i="1" s="1"/>
  <c r="H193" i="1"/>
  <c r="I193" i="1" s="1"/>
  <c r="H1565" i="1"/>
  <c r="I1565" i="1" s="1"/>
  <c r="H1228" i="1"/>
  <c r="I1228" i="1" s="1"/>
  <c r="H743" i="1"/>
  <c r="I743" i="1" s="1"/>
  <c r="H977" i="1"/>
  <c r="I977" i="1" s="1"/>
  <c r="H961" i="1"/>
  <c r="I961" i="1" s="1"/>
  <c r="H1609" i="1"/>
  <c r="I1609" i="1" s="1"/>
  <c r="H747" i="1"/>
  <c r="I747" i="1" s="1"/>
  <c r="H647" i="1"/>
  <c r="I647" i="1" s="1"/>
  <c r="H1571" i="1"/>
  <c r="I1571" i="1" s="1"/>
  <c r="H712" i="1"/>
  <c r="I712" i="1" s="1"/>
  <c r="H1284" i="1"/>
  <c r="I1284" i="1" s="1"/>
  <c r="H1596" i="1"/>
  <c r="I1596" i="1" s="1"/>
  <c r="H225" i="1"/>
  <c r="I225" i="1" s="1"/>
  <c r="H1178" i="1"/>
  <c r="I1178" i="1" s="1"/>
  <c r="H1453" i="1"/>
  <c r="I1453" i="1" s="1"/>
  <c r="H1403" i="1"/>
  <c r="I1403" i="1" s="1"/>
  <c r="H1654" i="1"/>
  <c r="I1654" i="1" s="1"/>
  <c r="H1189" i="1"/>
  <c r="I1189" i="1" s="1"/>
  <c r="H203" i="1"/>
  <c r="I203" i="1" s="1"/>
  <c r="H1146" i="1"/>
  <c r="I1146" i="1" s="1"/>
  <c r="H130" i="1"/>
  <c r="I130" i="1" s="1"/>
  <c r="H719" i="1"/>
  <c r="I719" i="1" s="1"/>
  <c r="H514" i="1"/>
  <c r="I514" i="1" s="1"/>
  <c r="H21" i="1"/>
  <c r="I21" i="1" s="1"/>
  <c r="H462" i="1"/>
  <c r="I462" i="1" s="1"/>
  <c r="H1140" i="1"/>
  <c r="I1140" i="1" s="1"/>
  <c r="H553" i="1"/>
  <c r="I553" i="1" s="1"/>
  <c r="H1562" i="1"/>
  <c r="I1562" i="1" s="1"/>
  <c r="H696" i="1"/>
  <c r="I696" i="1" s="1"/>
  <c r="H992" i="1"/>
  <c r="I992" i="1" s="1"/>
  <c r="H855" i="1"/>
  <c r="I855" i="1" s="1"/>
  <c r="H670" i="1"/>
  <c r="I670" i="1" s="1"/>
  <c r="H1691" i="1"/>
  <c r="I1691" i="1" s="1"/>
  <c r="H1053" i="1"/>
  <c r="I1053" i="1" s="1"/>
  <c r="H1394" i="1"/>
  <c r="I1394" i="1" s="1"/>
  <c r="H1545" i="1"/>
  <c r="I1545" i="1" s="1"/>
  <c r="H1058" i="1"/>
  <c r="I1058" i="1" s="1"/>
  <c r="H400" i="1"/>
  <c r="I400" i="1" s="1"/>
  <c r="H1012" i="1"/>
  <c r="I1012" i="1" s="1"/>
  <c r="H661" i="1"/>
  <c r="I661" i="1" s="1"/>
  <c r="H209" i="1"/>
  <c r="I209" i="1" s="1"/>
  <c r="H112" i="1"/>
  <c r="I112" i="1" s="1"/>
  <c r="H997" i="1"/>
  <c r="I997" i="1" s="1"/>
  <c r="H645" i="1"/>
  <c r="I645" i="1" s="1"/>
  <c r="H191" i="1"/>
  <c r="I191" i="1" s="1"/>
  <c r="H138" i="1"/>
  <c r="I138" i="1" s="1"/>
  <c r="H885" i="1"/>
  <c r="I885" i="1" s="1"/>
  <c r="H704" i="1"/>
  <c r="I704" i="1" s="1"/>
  <c r="H109" i="1"/>
  <c r="I109" i="1" s="1"/>
  <c r="H1314" i="1"/>
  <c r="I1314" i="1" s="1"/>
  <c r="H120" i="1"/>
  <c r="I120" i="1" s="1"/>
  <c r="H1282" i="1"/>
  <c r="I1282" i="1" s="1"/>
  <c r="H707" i="1"/>
  <c r="I707" i="1" s="1"/>
  <c r="H892" i="1"/>
  <c r="I892" i="1" s="1"/>
  <c r="H1593" i="1"/>
  <c r="I1593" i="1" s="1"/>
  <c r="H964" i="1"/>
  <c r="I964" i="1" s="1"/>
  <c r="H23" i="1"/>
  <c r="I23" i="1" s="1"/>
  <c r="H876" i="1"/>
  <c r="I876" i="1" s="1"/>
  <c r="H1187" i="1"/>
  <c r="I1187" i="1" s="1"/>
  <c r="H1617" i="1"/>
  <c r="I1617" i="1" s="1"/>
  <c r="H274" i="1"/>
  <c r="I274" i="1" s="1"/>
  <c r="H539" i="1"/>
  <c r="I539" i="1" s="1"/>
  <c r="H116" i="1"/>
  <c r="I116" i="1" s="1"/>
  <c r="H895" i="1"/>
  <c r="I895" i="1" s="1"/>
  <c r="H1087" i="1"/>
  <c r="I1087" i="1" s="1"/>
  <c r="H1306" i="1"/>
  <c r="I1306" i="1" s="1"/>
  <c r="H424" i="1"/>
  <c r="I424" i="1" s="1"/>
  <c r="H1500" i="1"/>
  <c r="I1500" i="1" s="1"/>
  <c r="H1710" i="1"/>
  <c r="I1710" i="1" s="1"/>
  <c r="H1004" i="1"/>
  <c r="I1004" i="1" s="1"/>
  <c r="H1231" i="1"/>
  <c r="I1231" i="1" s="1"/>
  <c r="H848" i="1"/>
  <c r="I848" i="1" s="1"/>
  <c r="H272" i="1"/>
  <c r="I272" i="1" s="1"/>
  <c r="H516" i="1"/>
  <c r="I516" i="1" s="1"/>
  <c r="H1670" i="1"/>
  <c r="I1670" i="1" s="1"/>
  <c r="H860" i="1"/>
  <c r="I860" i="1" s="1"/>
  <c r="H868" i="1"/>
  <c r="I868" i="1" s="1"/>
  <c r="H562" i="1"/>
  <c r="I562" i="1" s="1"/>
  <c r="H1254" i="1"/>
  <c r="I1254" i="1" s="1"/>
  <c r="H1464" i="1"/>
  <c r="I1464" i="1" s="1"/>
  <c r="H1604" i="1"/>
  <c r="I1604" i="1" s="1"/>
  <c r="H1066" i="1"/>
  <c r="I1066" i="1" s="1"/>
  <c r="H287" i="1"/>
  <c r="I287" i="1" s="1"/>
  <c r="H742" i="1"/>
  <c r="I742" i="1" s="1"/>
  <c r="H531" i="1"/>
  <c r="I531" i="1" s="1"/>
  <c r="H1025" i="1"/>
  <c r="I1025" i="1" s="1"/>
  <c r="H207" i="1"/>
  <c r="I207" i="1" s="1"/>
  <c r="H727" i="1"/>
  <c r="I727" i="1" s="1"/>
  <c r="H642" i="1"/>
  <c r="I642" i="1" s="1"/>
  <c r="H354" i="1"/>
  <c r="I354" i="1" s="1"/>
  <c r="H1416" i="1"/>
  <c r="I1416" i="1" s="1"/>
  <c r="H458" i="1"/>
  <c r="I458" i="1" s="1"/>
  <c r="H1279" i="1"/>
  <c r="I1279" i="1" s="1"/>
  <c r="H1280" i="1"/>
  <c r="I1280" i="1" s="1"/>
  <c r="H978" i="1"/>
  <c r="I978" i="1" s="1"/>
  <c r="H521" i="1"/>
  <c r="I521" i="1" s="1"/>
  <c r="H1006" i="1"/>
  <c r="I1006" i="1" s="1"/>
  <c r="H1343" i="1"/>
  <c r="I1343" i="1" s="1"/>
  <c r="H425" i="1"/>
  <c r="I425" i="1" s="1"/>
  <c r="H1289" i="1"/>
  <c r="I1289" i="1" s="1"/>
  <c r="H1597" i="1"/>
  <c r="I1597" i="1" s="1"/>
  <c r="H328" i="1"/>
  <c r="I328" i="1" s="1"/>
  <c r="H873" i="1"/>
  <c r="I873" i="1" s="1"/>
  <c r="H1237" i="1"/>
  <c r="I1237" i="1" s="1"/>
  <c r="H1553" i="1"/>
  <c r="I1553" i="1" s="1"/>
  <c r="H240" i="1"/>
  <c r="I240" i="1" s="1"/>
  <c r="H1179" i="1"/>
  <c r="I1179" i="1" s="1"/>
  <c r="H1501" i="1"/>
  <c r="I1501" i="1" s="1"/>
  <c r="H1454" i="1"/>
  <c r="I1454" i="1" s="1"/>
  <c r="H649" i="1"/>
  <c r="I649" i="1" s="1"/>
  <c r="H1074" i="1"/>
  <c r="I1074" i="1" s="1"/>
  <c r="H1404" i="1"/>
  <c r="I1404" i="1" s="1"/>
  <c r="H1697" i="1"/>
  <c r="I1697" i="1" s="1"/>
  <c r="H1147" i="1"/>
  <c r="I1147" i="1" s="1"/>
  <c r="H1583" i="1"/>
  <c r="I1583" i="1" s="1"/>
  <c r="H745" i="1"/>
  <c r="I745" i="1" s="1"/>
  <c r="H179" i="1"/>
  <c r="I179" i="1" s="1"/>
  <c r="H1379" i="1"/>
  <c r="I1379" i="1" s="1"/>
  <c r="H842" i="1"/>
  <c r="I842" i="1" s="1"/>
  <c r="H545" i="1"/>
  <c r="I545" i="1" s="1"/>
  <c r="H871" i="1"/>
  <c r="I871" i="1" s="1"/>
  <c r="H478" i="1"/>
  <c r="I478" i="1" s="1"/>
  <c r="H1318" i="1"/>
  <c r="I1318" i="1" s="1"/>
  <c r="H1622" i="1"/>
  <c r="I1622" i="1" s="1"/>
  <c r="H1263" i="1"/>
  <c r="I1263" i="1" s="1"/>
  <c r="H1575" i="1"/>
  <c r="I1575" i="1" s="1"/>
  <c r="H836" i="1"/>
  <c r="I836" i="1" s="1"/>
  <c r="H1212" i="1"/>
  <c r="I1212" i="1" s="1"/>
  <c r="H181" i="1"/>
  <c r="I181" i="1" s="1"/>
  <c r="H761" i="1"/>
  <c r="I761" i="1" s="1"/>
  <c r="H1478" i="1"/>
  <c r="I1478" i="1" s="1"/>
  <c r="H83" i="1"/>
  <c r="I83" i="1" s="1"/>
  <c r="H1098" i="1"/>
  <c r="I1098" i="1" s="1"/>
  <c r="H1428" i="1"/>
  <c r="I1428" i="1" s="1"/>
  <c r="H1719" i="1"/>
  <c r="I1719" i="1" s="1"/>
  <c r="H1381" i="1"/>
  <c r="I1381" i="1" s="1"/>
  <c r="H1678" i="1"/>
  <c r="I1678" i="1" s="1"/>
  <c r="H1022" i="1"/>
  <c r="I1022" i="1" s="1"/>
  <c r="H1357" i="1"/>
  <c r="I1357" i="1" s="1"/>
  <c r="H990" i="1"/>
  <c r="I990" i="1" s="1"/>
  <c r="H1331" i="1"/>
  <c r="I1331" i="1" s="1"/>
  <c r="H1633" i="1"/>
  <c r="I1633" i="1" s="1"/>
  <c r="H1165" i="1"/>
  <c r="I1165" i="1" s="1"/>
  <c r="H905" i="1"/>
  <c r="I905" i="1" s="1"/>
  <c r="H574" i="1"/>
  <c r="I574" i="1" s="1"/>
  <c r="H1601" i="1"/>
  <c r="I1601" i="1" s="1"/>
  <c r="H1371" i="1"/>
  <c r="I1371" i="1" s="1"/>
  <c r="H1124" i="1"/>
  <c r="I1124" i="1" s="1"/>
  <c r="H851" i="1"/>
  <c r="I851" i="1" s="1"/>
  <c r="H503" i="1"/>
  <c r="I503" i="1" s="1"/>
  <c r="H100" i="1"/>
  <c r="I100" i="1" s="1"/>
  <c r="H1203" i="1"/>
  <c r="I1203" i="1" s="1"/>
  <c r="H1723" i="1"/>
  <c r="I1723" i="1" s="1"/>
  <c r="H1579" i="1"/>
  <c r="I1579" i="1" s="1"/>
  <c r="H1435" i="1"/>
  <c r="I1435" i="1" s="1"/>
  <c r="H1286" i="1"/>
  <c r="I1286" i="1" s="1"/>
  <c r="H1129" i="1"/>
  <c r="I1129" i="1" s="1"/>
  <c r="H796" i="1"/>
  <c r="I796" i="1" s="1"/>
  <c r="H603" i="1"/>
  <c r="I603" i="1" s="1"/>
  <c r="H377" i="1"/>
  <c r="I377" i="1" s="1"/>
  <c r="H131" i="1"/>
  <c r="I131" i="1" s="1"/>
  <c r="H828" i="1"/>
  <c r="I828" i="1" s="1"/>
  <c r="H967" i="1"/>
  <c r="I967" i="1" s="1"/>
  <c r="H450" i="1"/>
  <c r="I450" i="1" s="1"/>
  <c r="H1645" i="1"/>
  <c r="I1645" i="1" s="1"/>
  <c r="H1620" i="1"/>
  <c r="I1620" i="1" s="1"/>
  <c r="H141" i="1"/>
  <c r="I141" i="1" s="1"/>
  <c r="H1354" i="1"/>
  <c r="I1354" i="1" s="1"/>
  <c r="H1392" i="1"/>
  <c r="I1392" i="1" s="1"/>
  <c r="H159" i="1"/>
  <c r="I159" i="1" s="1"/>
  <c r="H1102" i="1"/>
  <c r="I1102" i="1" s="1"/>
  <c r="H468" i="1"/>
  <c r="I468" i="1" s="1"/>
  <c r="H448" i="1"/>
  <c r="I448" i="1" s="1"/>
  <c r="H811" i="1"/>
  <c r="I811" i="1" s="1"/>
  <c r="H494" i="1"/>
  <c r="I494" i="1" s="1"/>
  <c r="H79" i="1"/>
  <c r="I79" i="1" s="1"/>
  <c r="H150" i="1"/>
  <c r="I150" i="1" s="1"/>
  <c r="H1200" i="1"/>
  <c r="I1200" i="1" s="1"/>
  <c r="H1517" i="1"/>
  <c r="I1517" i="1" s="1"/>
  <c r="H680" i="1"/>
  <c r="I680" i="1" s="1"/>
  <c r="H1673" i="1"/>
  <c r="I1673" i="1" s="1"/>
  <c r="H204" i="1"/>
  <c r="I204" i="1" s="1"/>
  <c r="H205" i="1"/>
  <c r="I205" i="1" s="1"/>
  <c r="H317" i="1"/>
  <c r="I317" i="1" s="1"/>
  <c r="H865" i="1"/>
  <c r="I865" i="1" s="1"/>
  <c r="H15" i="1"/>
  <c r="I15" i="1" s="1"/>
  <c r="H958" i="1"/>
  <c r="I958" i="1" s="1"/>
  <c r="H730" i="1"/>
  <c r="I730" i="1" s="1"/>
  <c r="H1613" i="1"/>
  <c r="I1613" i="1" s="1"/>
  <c r="H1426" i="1"/>
  <c r="I1426" i="1" s="1"/>
  <c r="H1224" i="1"/>
  <c r="I1224" i="1" s="1"/>
  <c r="H1014" i="1"/>
  <c r="I1014" i="1" s="1"/>
  <c r="H785" i="1"/>
  <c r="I785" i="1" s="1"/>
  <c r="H213" i="1"/>
  <c r="I213" i="1" s="1"/>
  <c r="H312" i="1"/>
  <c r="I312" i="1" s="1"/>
  <c r="H226" i="1"/>
  <c r="I226" i="1" s="1"/>
  <c r="H1336" i="1"/>
  <c r="I1336" i="1" s="1"/>
  <c r="H1337" i="1"/>
  <c r="I1337" i="1" s="1"/>
  <c r="H408" i="1"/>
  <c r="I408" i="1" s="1"/>
  <c r="H366" i="1"/>
  <c r="I366" i="1" s="1"/>
  <c r="H392" i="1"/>
  <c r="I392" i="1" s="1"/>
  <c r="H1656" i="1"/>
  <c r="I1656" i="1" s="1"/>
  <c r="H6" i="1"/>
  <c r="I6" i="1" s="1"/>
  <c r="P54" i="1" s="1" a="1"/>
  <c r="H52" i="1"/>
  <c r="I52" i="1" s="1"/>
  <c r="H673" i="1"/>
  <c r="I673" i="1" s="1"/>
  <c r="H1092" i="1"/>
  <c r="I1092" i="1" s="1"/>
  <c r="H1418" i="1"/>
  <c r="I1418" i="1" s="1"/>
  <c r="H980" i="1"/>
  <c r="I980" i="1" s="1"/>
  <c r="H766" i="1"/>
  <c r="I766" i="1" s="1"/>
  <c r="H1432" i="1"/>
  <c r="I1432" i="1" s="1"/>
  <c r="H46" i="1"/>
  <c r="I46" i="1" s="1"/>
  <c r="H1525" i="1"/>
  <c r="I1525" i="1" s="1"/>
  <c r="H1040" i="1"/>
  <c r="I1040" i="1" s="1"/>
  <c r="H748" i="1"/>
  <c r="I748" i="1" s="1"/>
  <c r="H542" i="1"/>
  <c r="I542" i="1" s="1"/>
  <c r="H1685" i="1"/>
  <c r="I1685" i="1" s="1"/>
  <c r="H1504" i="1"/>
  <c r="I1504" i="1" s="1"/>
  <c r="H1309" i="1"/>
  <c r="I1309" i="1" s="1"/>
  <c r="H1100" i="1"/>
  <c r="I1100" i="1" s="1"/>
  <c r="H878" i="1"/>
  <c r="I878" i="1" s="1"/>
  <c r="H636" i="1"/>
  <c r="I636" i="1" s="1"/>
  <c r="H335" i="1"/>
  <c r="I335" i="1" s="1"/>
  <c r="H35" i="1"/>
  <c r="I35" i="1" s="1"/>
  <c r="H1569" i="1"/>
  <c r="I1569" i="1" s="1"/>
  <c r="H728" i="1"/>
  <c r="I728" i="1" s="1"/>
  <c r="H440" i="1"/>
  <c r="I440" i="1" s="1"/>
  <c r="H136" i="1"/>
  <c r="I136" i="1" s="1"/>
  <c r="H1484" i="1"/>
  <c r="I1484" i="1" s="1"/>
  <c r="H1327" i="1"/>
  <c r="I1327" i="1" s="1"/>
  <c r="H567" i="1"/>
  <c r="I567" i="1" s="1"/>
  <c r="H340" i="1"/>
  <c r="I340" i="1" s="1"/>
  <c r="H1542" i="1"/>
  <c r="I1542" i="1" s="1"/>
  <c r="H1246" i="1"/>
  <c r="I1246" i="1" s="1"/>
  <c r="H1089" i="1"/>
  <c r="I1089" i="1" s="1"/>
  <c r="H959" i="1"/>
  <c r="I959" i="1" s="1"/>
  <c r="H640" i="1"/>
  <c r="I640" i="1" s="1"/>
  <c r="H74" i="1"/>
  <c r="I74" i="1" s="1"/>
  <c r="H433" i="1"/>
  <c r="I433" i="1" s="1"/>
  <c r="H244" i="1"/>
  <c r="I244" i="1" s="1"/>
  <c r="H943" i="1"/>
  <c r="I943" i="1" s="1"/>
  <c r="H799" i="1"/>
  <c r="I799" i="1" s="1"/>
  <c r="H308" i="1"/>
  <c r="I308" i="1" s="1"/>
  <c r="H643" i="1"/>
  <c r="I643" i="1" s="1"/>
  <c r="H499" i="1"/>
  <c r="I499" i="1" s="1"/>
  <c r="H355" i="1"/>
  <c r="I355" i="1" s="1"/>
  <c r="H211" i="1"/>
  <c r="I211" i="1" s="1"/>
  <c r="H67" i="1"/>
  <c r="I67" i="1" s="1"/>
  <c r="H570" i="1"/>
  <c r="I570" i="1" s="1"/>
  <c r="H714" i="1"/>
  <c r="I714" i="1" s="1"/>
  <c r="H1114" i="1"/>
  <c r="I1114" i="1" s="1"/>
  <c r="H1443" i="1"/>
  <c r="I1443" i="1" s="1"/>
  <c r="H525" i="1"/>
  <c r="I525" i="1" s="1"/>
  <c r="H1295" i="1"/>
  <c r="I1295" i="1" s="1"/>
  <c r="H345" i="1"/>
  <c r="I345" i="1" s="1"/>
  <c r="H690" i="1"/>
  <c r="I690" i="1" s="1"/>
  <c r="H1586" i="1"/>
  <c r="I1586" i="1" s="1"/>
  <c r="H1268" i="1"/>
  <c r="I1268" i="1" s="1"/>
  <c r="H1018" i="1"/>
  <c r="I1018" i="1" s="1"/>
  <c r="H720" i="1"/>
  <c r="I720" i="1" s="1"/>
  <c r="H923" i="1"/>
  <c r="I923" i="1" s="1"/>
  <c r="H218" i="1"/>
  <c r="I218" i="1" s="1"/>
  <c r="H1671" i="1"/>
  <c r="I1671" i="1" s="1"/>
  <c r="H1489" i="1"/>
  <c r="I1489" i="1" s="1"/>
  <c r="H1293" i="1"/>
  <c r="I1293" i="1" s="1"/>
  <c r="H1083" i="1"/>
  <c r="I1083" i="1" s="1"/>
  <c r="H861" i="1"/>
  <c r="I861" i="1" s="1"/>
  <c r="H614" i="1"/>
  <c r="I614" i="1" s="1"/>
  <c r="H313" i="1"/>
  <c r="I313" i="1" s="1"/>
  <c r="H1151" i="1"/>
  <c r="I1151" i="1" s="1"/>
  <c r="H1472" i="1"/>
  <c r="I1472" i="1" s="1"/>
  <c r="H1143" i="1"/>
  <c r="I1143" i="1" s="1"/>
  <c r="H983" i="1"/>
  <c r="I983" i="1" s="1"/>
  <c r="H398" i="1"/>
  <c r="I398" i="1" s="1"/>
  <c r="H172" i="1"/>
  <c r="I172" i="1" s="1"/>
  <c r="H1674" i="1"/>
  <c r="I1674" i="1" s="1"/>
  <c r="H1233" i="1"/>
  <c r="I1233" i="1" s="1"/>
  <c r="H910" i="1"/>
  <c r="I910" i="1" s="1"/>
  <c r="H301" i="1"/>
  <c r="I301" i="1" s="1"/>
  <c r="H1240" i="1"/>
  <c r="I1240" i="1" s="1"/>
  <c r="H1096" i="1"/>
  <c r="I1096" i="1" s="1"/>
  <c r="H789" i="1"/>
  <c r="I789" i="1" s="1"/>
  <c r="H435" i="1"/>
  <c r="I435" i="1" s="1"/>
  <c r="H11" i="1"/>
  <c r="I11" i="1" s="1"/>
  <c r="H428" i="1"/>
  <c r="I428" i="1" s="1"/>
  <c r="H1557" i="1"/>
  <c r="I1557" i="1" s="1"/>
  <c r="H1079" i="1"/>
  <c r="I1079" i="1" s="1"/>
  <c r="H1551" i="1"/>
  <c r="I1551" i="1" s="1"/>
  <c r="H756" i="1"/>
  <c r="I756" i="1" s="1"/>
  <c r="H999" i="1"/>
  <c r="I999" i="1" s="1"/>
  <c r="H1449" i="1"/>
  <c r="I1449" i="1" s="1"/>
  <c r="H1206" i="1"/>
  <c r="I1206" i="1" s="1"/>
  <c r="H849" i="1"/>
  <c r="I849" i="1" s="1"/>
  <c r="H501" i="1"/>
  <c r="I501" i="1" s="1"/>
  <c r="H98" i="1"/>
  <c r="I98" i="1" s="1"/>
  <c r="H732" i="1"/>
  <c r="I732" i="1" s="1"/>
  <c r="H143" i="1"/>
  <c r="I143" i="1" s="1"/>
  <c r="H1629" i="1"/>
  <c r="I1629" i="1" s="1"/>
  <c r="H1441" i="1"/>
  <c r="I1441" i="1" s="1"/>
  <c r="H1031" i="1"/>
  <c r="I1031" i="1" s="1"/>
  <c r="H804" i="1"/>
  <c r="I804" i="1" s="1"/>
  <c r="H238" i="1"/>
  <c r="I238" i="1" s="1"/>
  <c r="H877" i="1"/>
  <c r="I877" i="1" s="1"/>
  <c r="H635" i="1"/>
  <c r="I635" i="1" s="1"/>
  <c r="H709" i="1"/>
  <c r="I709" i="1" s="1"/>
  <c r="H1494" i="1"/>
  <c r="I1494" i="1" s="1"/>
  <c r="H1350" i="1"/>
  <c r="I1350" i="1" s="1"/>
  <c r="H1194" i="1"/>
  <c r="I1194" i="1" s="1"/>
  <c r="H1037" i="1"/>
  <c r="I1037" i="1" s="1"/>
  <c r="H866" i="1"/>
  <c r="I866" i="1" s="1"/>
  <c r="H692" i="1"/>
  <c r="I692" i="1" s="1"/>
  <c r="H16" i="1"/>
  <c r="I16" i="1" s="1"/>
  <c r="H201" i="1"/>
  <c r="I201" i="1" s="1"/>
  <c r="H560" i="1"/>
  <c r="I560" i="1" s="1"/>
  <c r="H28" i="1"/>
  <c r="I28" i="1" s="1"/>
  <c r="H422" i="1"/>
  <c r="I422" i="1" s="1"/>
  <c r="H250" i="1"/>
  <c r="I250" i="1" s="1"/>
  <c r="H234" i="1"/>
  <c r="I234" i="1" s="1"/>
  <c r="H711" i="1"/>
  <c r="I711" i="1" s="1"/>
  <c r="H1603" i="1"/>
  <c r="I1603" i="1" s="1"/>
  <c r="H1459" i="1"/>
  <c r="I1459" i="1" s="1"/>
  <c r="H1313" i="1"/>
  <c r="I1313" i="1" s="1"/>
  <c r="H1155" i="1"/>
  <c r="I1155" i="1" s="1"/>
  <c r="H996" i="1"/>
  <c r="I996" i="1" s="1"/>
  <c r="H825" i="1"/>
  <c r="I825" i="1" s="1"/>
  <c r="H416" i="1"/>
  <c r="I416" i="1" s="1"/>
  <c r="H190" i="1"/>
  <c r="I190" i="1" s="1"/>
  <c r="H396" i="1"/>
  <c r="I396" i="1" s="1"/>
  <c r="H170" i="1"/>
  <c r="I170" i="1" s="1"/>
  <c r="H1300" i="1"/>
  <c r="I1300" i="1" s="1"/>
  <c r="H1011" i="1"/>
  <c r="I1011" i="1" s="1"/>
  <c r="H515" i="1"/>
  <c r="I515" i="1" s="1"/>
  <c r="H326" i="1"/>
  <c r="I326" i="1" s="1"/>
  <c r="H934" i="1"/>
  <c r="I934" i="1" s="1"/>
  <c r="H931" i="1"/>
  <c r="I931" i="1" s="1"/>
  <c r="H292" i="1"/>
  <c r="I292" i="1" s="1"/>
  <c r="H631" i="1"/>
  <c r="I631" i="1" s="1"/>
  <c r="H343" i="1"/>
  <c r="I343" i="1" s="1"/>
  <c r="H55" i="1"/>
  <c r="I55" i="1" s="1"/>
  <c r="H414" i="1"/>
  <c r="I414" i="1" s="1"/>
  <c r="H126" i="1"/>
  <c r="I126" i="1" s="1"/>
  <c r="H937" i="1"/>
  <c r="I937" i="1" s="1"/>
  <c r="H1469" i="1"/>
  <c r="I1469" i="1" s="1"/>
  <c r="H94" i="1"/>
  <c r="I94" i="1" s="1"/>
  <c r="H442" i="1"/>
  <c r="I442" i="1" s="1"/>
  <c r="H994" i="1"/>
  <c r="I994" i="1" s="1"/>
  <c r="H1474" i="1"/>
  <c r="I1474" i="1" s="1"/>
  <c r="H843" i="1"/>
  <c r="I843" i="1" s="1"/>
  <c r="H1536" i="1"/>
  <c r="I1536" i="1" s="1"/>
  <c r="H1518" i="1"/>
  <c r="I1518" i="1" s="1"/>
  <c r="H896" i="1"/>
  <c r="I896" i="1" s="1"/>
  <c r="H609" i="1"/>
  <c r="I609" i="1" s="1"/>
  <c r="H24" i="1"/>
  <c r="I24" i="1" s="1"/>
  <c r="H919" i="1"/>
  <c r="I919" i="1" s="1"/>
  <c r="H624" i="1"/>
  <c r="I624" i="1" s="1"/>
  <c r="H452" i="1"/>
  <c r="I452" i="1" s="1"/>
  <c r="H278" i="1"/>
  <c r="I278" i="1" s="1"/>
  <c r="H619" i="1"/>
  <c r="I619" i="1" s="1"/>
  <c r="H475" i="1"/>
  <c r="I475" i="1" s="1"/>
  <c r="H331" i="1"/>
  <c r="I331" i="1" s="1"/>
  <c r="H187" i="1"/>
  <c r="I187" i="1" s="1"/>
  <c r="H43" i="1"/>
  <c r="I43" i="1" s="1"/>
  <c r="H546" i="1"/>
  <c r="I546" i="1" s="1"/>
  <c r="H248" i="1"/>
  <c r="I248" i="1" s="1"/>
  <c r="H487" i="1"/>
  <c r="I487" i="1" s="1"/>
  <c r="H199" i="1"/>
  <c r="I199" i="1" s="1"/>
  <c r="H419" i="1"/>
  <c r="I419" i="1" s="1"/>
  <c r="H757" i="1"/>
  <c r="I757" i="1" s="1"/>
  <c r="H482" i="1"/>
  <c r="I482" i="1" s="1"/>
  <c r="H1533" i="1"/>
  <c r="I1533" i="1" s="1"/>
  <c r="H770" i="1"/>
  <c r="I770" i="1" s="1"/>
  <c r="H701" i="1"/>
  <c r="I701" i="1" s="1"/>
  <c r="H105" i="1"/>
  <c r="I105" i="1" s="1"/>
  <c r="H805" i="1"/>
  <c r="I805" i="1" s="1"/>
  <c r="H752" i="1"/>
  <c r="I752" i="1" s="1"/>
  <c r="H370" i="1"/>
  <c r="I370" i="1" s="1"/>
  <c r="H1486" i="1"/>
  <c r="I1486" i="1" s="1"/>
  <c r="H1249" i="1"/>
  <c r="I1249" i="1" s="1"/>
  <c r="H698" i="1"/>
  <c r="I698" i="1" s="1"/>
  <c r="H161" i="1"/>
  <c r="I161" i="1" s="1"/>
  <c r="H1657" i="1"/>
  <c r="I1657" i="1" s="1"/>
  <c r="H1067" i="1"/>
  <c r="I1067" i="1" s="1"/>
  <c r="H589" i="1"/>
  <c r="I589" i="1" s="1"/>
  <c r="H288" i="1"/>
  <c r="I288" i="1" s="1"/>
  <c r="H685" i="1"/>
  <c r="I685" i="1" s="1"/>
  <c r="H1460" i="1"/>
  <c r="I1460" i="1" s="1"/>
  <c r="H1301" i="1"/>
  <c r="I1301" i="1" s="1"/>
  <c r="H381" i="1"/>
  <c r="I381" i="1" s="1"/>
  <c r="H155" i="1"/>
  <c r="I155" i="1" s="1"/>
  <c r="H740" i="1"/>
  <c r="I740" i="1" s="1"/>
  <c r="H529" i="1"/>
  <c r="I529" i="1" s="1"/>
  <c r="H77" i="1"/>
  <c r="I77" i="1" s="1"/>
  <c r="H1374" i="1"/>
  <c r="I1374" i="1" s="1"/>
  <c r="H724" i="1"/>
  <c r="I724" i="1" s="1"/>
  <c r="H284" i="1"/>
  <c r="I284" i="1" s="1"/>
  <c r="H214" i="1"/>
  <c r="I214" i="1" s="1"/>
  <c r="H258" i="1"/>
  <c r="I258" i="1" s="1"/>
  <c r="H1175" i="1"/>
  <c r="I1175" i="1" s="1"/>
  <c r="H123" i="1"/>
  <c r="I123" i="1" s="1"/>
  <c r="H716" i="1"/>
  <c r="I716" i="1" s="1"/>
  <c r="H951" i="1"/>
  <c r="I951" i="1" s="1"/>
  <c r="H347" i="1"/>
  <c r="I347" i="1" s="1"/>
  <c r="H887" i="1"/>
  <c r="I887" i="1" s="1"/>
  <c r="H1242" i="1"/>
  <c r="I1242" i="1" s="1"/>
  <c r="H251" i="1"/>
  <c r="I251" i="1" s="1"/>
  <c r="H1190" i="1"/>
  <c r="I1190" i="1" s="1"/>
  <c r="H1511" i="1"/>
  <c r="I1511" i="1" s="1"/>
  <c r="H737" i="1"/>
  <c r="I737" i="1" s="1"/>
  <c r="H1061" i="1"/>
  <c r="I1061" i="1" s="1"/>
  <c r="H722" i="1"/>
  <c r="I722" i="1" s="1"/>
  <c r="H1466" i="1"/>
  <c r="I1466" i="1" s="1"/>
  <c r="H1227" i="1"/>
  <c r="I1227" i="1" s="1"/>
  <c r="H268" i="1"/>
  <c r="I268" i="1" s="1"/>
  <c r="H532" i="1"/>
  <c r="I532" i="1" s="1"/>
  <c r="H128" i="1"/>
  <c r="I128" i="1" s="1"/>
  <c r="H750" i="1"/>
  <c r="I750" i="1" s="1"/>
  <c r="H166" i="1"/>
  <c r="I166" i="1" s="1"/>
  <c r="H1643" i="1"/>
  <c r="I1643" i="1" s="1"/>
  <c r="H1456" i="1"/>
  <c r="I1456" i="1" s="1"/>
  <c r="H1257" i="1"/>
  <c r="I1257" i="1" s="1"/>
  <c r="H1047" i="1"/>
  <c r="I1047" i="1" s="1"/>
  <c r="H821" i="1"/>
  <c r="I821" i="1" s="1"/>
  <c r="H563" i="1"/>
  <c r="I563" i="1" s="1"/>
  <c r="H260" i="1"/>
  <c r="I260" i="1" s="1"/>
  <c r="H1521" i="1"/>
  <c r="I1521" i="1" s="1"/>
  <c r="H899" i="1"/>
  <c r="I899" i="1" s="1"/>
  <c r="H61" i="1"/>
  <c r="I61" i="1" s="1"/>
  <c r="H1650" i="1"/>
  <c r="I1650" i="1" s="1"/>
  <c r="H1207" i="1"/>
  <c r="I1207" i="1" s="1"/>
  <c r="H881" i="1"/>
  <c r="I881" i="1" s="1"/>
  <c r="H490" i="1"/>
  <c r="I490" i="1" s="1"/>
  <c r="H1216" i="1"/>
  <c r="I1216" i="1" s="1"/>
  <c r="H1072" i="1"/>
  <c r="I1072" i="1" s="1"/>
  <c r="H592" i="1"/>
  <c r="I592" i="1" s="1"/>
  <c r="H8" i="1"/>
  <c r="I8" i="1" s="1"/>
  <c r="H907" i="1"/>
  <c r="I907" i="1" s="1"/>
  <c r="H607" i="1"/>
  <c r="I607" i="1" s="1"/>
  <c r="H463" i="1"/>
  <c r="I463" i="1" s="1"/>
  <c r="H319" i="1"/>
  <c r="I319" i="1" s="1"/>
  <c r="H175" i="1"/>
  <c r="I175" i="1" s="1"/>
  <c r="H31" i="1"/>
  <c r="I31" i="1" s="1"/>
  <c r="H534" i="1"/>
  <c r="I534" i="1" s="1"/>
  <c r="H390" i="1"/>
  <c r="I390" i="1" s="1"/>
  <c r="H246" i="1"/>
  <c r="I246" i="1" s="1"/>
  <c r="H505" i="1"/>
  <c r="I505" i="1" s="1"/>
  <c r="H506" i="1"/>
  <c r="I506" i="1" s="1"/>
  <c r="H1414" i="1"/>
  <c r="I1414" i="1" s="1"/>
  <c r="H1415" i="1"/>
  <c r="I1415" i="1" s="1"/>
  <c r="H1332" i="1"/>
  <c r="I1332" i="1" s="1"/>
  <c r="H594" i="1"/>
  <c r="I594" i="1" s="1"/>
  <c r="H1679" i="1"/>
  <c r="I1679" i="1" s="1"/>
  <c r="H554" i="1"/>
  <c r="I554" i="1" s="1"/>
  <c r="H555" i="1"/>
  <c r="I555" i="1" s="1"/>
  <c r="H1659" i="1"/>
  <c r="I1659" i="1" s="1"/>
  <c r="H1660" i="1"/>
  <c r="I1660" i="1" s="1"/>
  <c r="H1711" i="1"/>
  <c r="I1711" i="1" s="1"/>
  <c r="H1273" i="1"/>
  <c r="I1273" i="1" s="1"/>
  <c r="H953" i="1"/>
  <c r="I953" i="1" s="1"/>
  <c r="H586" i="1"/>
  <c r="I586" i="1" s="1"/>
  <c r="H132" i="1"/>
  <c r="I132" i="1" s="1"/>
  <c r="H1554" i="1"/>
  <c r="I1554" i="1" s="1"/>
  <c r="H656" i="1"/>
  <c r="I656" i="1" s="1"/>
  <c r="H657" i="1"/>
  <c r="I657" i="1" s="1"/>
  <c r="H665" i="1"/>
  <c r="I665" i="1" s="1"/>
  <c r="H438" i="1"/>
  <c r="I438" i="1" s="1"/>
  <c r="H294" i="1"/>
  <c r="I294" i="1" s="1"/>
  <c r="H1666" i="1"/>
  <c r="I1666" i="1" s="1"/>
  <c r="H1623" i="1"/>
  <c r="I1623" i="1" s="1"/>
  <c r="H383" i="1"/>
  <c r="I383" i="1" s="1"/>
  <c r="H1265" i="1"/>
  <c r="I1265" i="1" s="1"/>
  <c r="H281" i="1"/>
  <c r="I281" i="1" s="1"/>
  <c r="H1529" i="1"/>
  <c r="I1529" i="1" s="1"/>
  <c r="H1159" i="1"/>
  <c r="I1159" i="1" s="1"/>
  <c r="H86" i="1"/>
  <c r="I86" i="1" s="1"/>
  <c r="H1405" i="1"/>
  <c r="I1405" i="1" s="1"/>
  <c r="H1383" i="1"/>
  <c r="I1383" i="1" s="1"/>
  <c r="H1384" i="1"/>
  <c r="I1384" i="1" s="1"/>
  <c r="H1125" i="1"/>
  <c r="I1125" i="1" s="1"/>
  <c r="H504" i="1"/>
  <c r="I504" i="1" s="1"/>
  <c r="H101" i="1"/>
  <c r="I101" i="1" s="1"/>
  <c r="H1333" i="1"/>
  <c r="I1333" i="1" s="1"/>
  <c r="H1081" i="1"/>
  <c r="I1081" i="1" s="1"/>
  <c r="H1290" i="1"/>
  <c r="I1290" i="1" s="1"/>
  <c r="H956" i="1"/>
  <c r="I956" i="1" s="1"/>
  <c r="H1555" i="1"/>
  <c r="I1555" i="1" s="1"/>
  <c r="H1260" i="1"/>
  <c r="I1260" i="1" s="1"/>
  <c r="H939" i="1"/>
  <c r="I939" i="1" s="1"/>
  <c r="H768" i="1"/>
  <c r="I768" i="1" s="1"/>
  <c r="H1686" i="1"/>
  <c r="I1686" i="1" s="1"/>
  <c r="H1252" i="1"/>
  <c r="I1252" i="1" s="1"/>
  <c r="H1253" i="1"/>
  <c r="I1253" i="1" s="1"/>
  <c r="H1108" i="1"/>
  <c r="I1108" i="1" s="1"/>
  <c r="H802" i="1"/>
  <c r="I802" i="1" s="1"/>
  <c r="H480" i="1"/>
  <c r="I480" i="1" s="1"/>
  <c r="H426" i="1"/>
  <c r="I426" i="1" s="1"/>
  <c r="H1396" i="1"/>
  <c r="I1396" i="1" s="1"/>
  <c r="H1692" i="1"/>
  <c r="I1692" i="1" s="1"/>
  <c r="H1007" i="1"/>
  <c r="I1007" i="1" s="1"/>
  <c r="H1346" i="1"/>
  <c r="I1346" i="1" s="1"/>
  <c r="H1646" i="1"/>
  <c r="I1646" i="1" s="1"/>
  <c r="H945" i="1"/>
  <c r="I945" i="1" s="1"/>
  <c r="H1605" i="1"/>
  <c r="I1605" i="1" s="1"/>
  <c r="H1238" i="1"/>
  <c r="I1238" i="1" s="1"/>
  <c r="H242" i="1"/>
  <c r="I242" i="1" s="1"/>
  <c r="H808" i="1"/>
  <c r="I808" i="1" s="1"/>
  <c r="H1184" i="1"/>
  <c r="I1184" i="1" s="1"/>
  <c r="H1502" i="1"/>
  <c r="I1502" i="1" s="1"/>
  <c r="H145" i="1"/>
  <c r="I145" i="1" s="1"/>
  <c r="H734" i="1"/>
  <c r="I734" i="1" s="1"/>
  <c r="H1133" i="1"/>
  <c r="I1133" i="1" s="1"/>
  <c r="H88" i="1"/>
  <c r="I88" i="1" s="1"/>
  <c r="H1109" i="1"/>
  <c r="I1109" i="1" s="1"/>
  <c r="H1433" i="1"/>
  <c r="I1433" i="1" s="1"/>
  <c r="H47" i="1"/>
  <c r="I47" i="1" s="1"/>
  <c r="H651" i="1"/>
  <c r="I651" i="1" s="1"/>
  <c r="H1406" i="1"/>
  <c r="I1406" i="1" s="1"/>
  <c r="H1703" i="1"/>
  <c r="I1703" i="1" s="1"/>
  <c r="H1355" i="1"/>
  <c r="I1355" i="1" s="1"/>
  <c r="H1106" i="1"/>
  <c r="I1106" i="1" s="1"/>
  <c r="H831" i="1"/>
  <c r="I831" i="1" s="1"/>
  <c r="H1166" i="1"/>
  <c r="I1166" i="1" s="1"/>
  <c r="H1341" i="1"/>
  <c r="I1341" i="1" s="1"/>
  <c r="H612" i="1"/>
  <c r="I612" i="1" s="1"/>
  <c r="H1636" i="1"/>
  <c r="I1636" i="1" s="1"/>
  <c r="H1637" i="1"/>
  <c r="I1637" i="1" s="1"/>
  <c r="H1358" i="1"/>
  <c r="I1358" i="1" s="1"/>
  <c r="H1584" i="1"/>
  <c r="I1584" i="1" s="1"/>
  <c r="H1567" i="1"/>
  <c r="I1567" i="1" s="1"/>
  <c r="H1698" i="1"/>
  <c r="I1698" i="1" s="1"/>
  <c r="H1120" i="1"/>
  <c r="I1120" i="1" s="1"/>
  <c r="H1368" i="1"/>
  <c r="I1368" i="1" s="1"/>
  <c r="H837" i="1"/>
  <c r="I837" i="1" s="1"/>
  <c r="H1075" i="1"/>
  <c r="I1075" i="1" s="1"/>
  <c r="H431" i="1"/>
  <c r="I431" i="1" s="1"/>
  <c r="H1171" i="1"/>
  <c r="I1171" i="1" s="1"/>
  <c r="H654" i="1"/>
  <c r="I654" i="1" s="1"/>
  <c r="H456" i="1"/>
  <c r="I456" i="1" s="1"/>
  <c r="H457" i="1"/>
  <c r="I457" i="1" s="1"/>
  <c r="H107" i="1"/>
  <c r="I107" i="1" s="1"/>
  <c r="H108" i="1"/>
  <c r="I108" i="1" s="1"/>
  <c r="H678" i="1"/>
  <c r="I678" i="1" s="1"/>
  <c r="H598" i="1"/>
  <c r="I598" i="1" s="1"/>
  <c r="H1382" i="1"/>
  <c r="I1382" i="1" s="1"/>
  <c r="H1027" i="1"/>
  <c r="I1027" i="1" s="1"/>
  <c r="H1028" i="1"/>
  <c r="I1028" i="1" s="1"/>
  <c r="H829" i="1"/>
  <c r="I829" i="1" s="1"/>
  <c r="H1423" i="1"/>
  <c r="I1423" i="1" s="1"/>
  <c r="H1116" i="1"/>
  <c r="I1116" i="1" s="1"/>
  <c r="H782" i="1"/>
  <c r="I782" i="1" s="1"/>
  <c r="H360" i="1"/>
  <c r="I360" i="1" s="1"/>
  <c r="H1264" i="1"/>
  <c r="I1264" i="1" s="1"/>
  <c r="H1712" i="1"/>
  <c r="I1712" i="1" s="1"/>
  <c r="H1034" i="1"/>
  <c r="I1034" i="1" s="1"/>
  <c r="H479" i="1"/>
  <c r="I479" i="1" s="1"/>
  <c r="H1319" i="1"/>
  <c r="I1319" i="1" s="1"/>
  <c r="H914" i="1"/>
  <c r="I914" i="1" s="1"/>
  <c r="H1576" i="1"/>
  <c r="I1576" i="1" s="1"/>
  <c r="H1213" i="1"/>
  <c r="I1213" i="1" s="1"/>
  <c r="H1479" i="1"/>
  <c r="I1479" i="1" s="1"/>
  <c r="H688" i="1"/>
  <c r="I688" i="1" s="1"/>
  <c r="H650" i="1"/>
  <c r="I650" i="1" s="1"/>
  <c r="H1702" i="1"/>
  <c r="I1702" i="1" s="1"/>
  <c r="H1054" i="1"/>
  <c r="I1054" i="1" s="1"/>
  <c r="H1055" i="1"/>
  <c r="I1055" i="1" s="1"/>
  <c r="H1680" i="1"/>
  <c r="I1680" i="1" s="1"/>
  <c r="H1681" i="1"/>
  <c r="I1681" i="1" s="1"/>
  <c r="H1372" i="1"/>
  <c r="I1372" i="1" s="1"/>
  <c r="H856" i="1"/>
  <c r="I856" i="1" s="1"/>
  <c r="H1563" i="1"/>
  <c r="I1563" i="1" s="1"/>
  <c r="H801" i="1"/>
  <c r="I801" i="1" s="1"/>
  <c r="H368" i="1"/>
  <c r="I368" i="1" s="1"/>
  <c r="H807" i="1"/>
  <c r="I807" i="1" s="1"/>
  <c r="H241" i="1"/>
  <c r="I241" i="1" s="1"/>
  <c r="H1699" i="1"/>
  <c r="I1699" i="1" s="1"/>
  <c r="H1411" i="1"/>
  <c r="I1411" i="1" s="1"/>
  <c r="H1103" i="1"/>
  <c r="I1103" i="1" s="1"/>
  <c r="H113" i="1"/>
  <c r="I113" i="1" s="1"/>
  <c r="H263" i="1"/>
  <c r="I263" i="1" s="1"/>
  <c r="H282" i="1"/>
  <c r="I282" i="1" s="1"/>
  <c r="H70" i="1"/>
  <c r="I70" i="1" s="1"/>
  <c r="H1059" i="1"/>
  <c r="I1059" i="1" s="1"/>
  <c r="H1505" i="1"/>
  <c r="I1505" i="1" s="1"/>
  <c r="H599" i="1"/>
  <c r="I599" i="1" s="1"/>
  <c r="H812" i="1"/>
  <c r="I812" i="1" s="1"/>
  <c r="H1687" i="1"/>
  <c r="I1687" i="1" s="1"/>
  <c r="H1399" i="1"/>
  <c r="I1399" i="1" s="1"/>
  <c r="H1090" i="1"/>
  <c r="I1090" i="1" s="1"/>
  <c r="H549" i="1"/>
  <c r="I549" i="1" s="1"/>
  <c r="H96" i="1"/>
  <c r="I96" i="1" s="1"/>
  <c r="H1530" i="1"/>
  <c r="I1530" i="1" s="1"/>
  <c r="H946" i="1"/>
  <c r="I946" i="1" s="1"/>
  <c r="H229" i="1"/>
  <c r="I229" i="1" s="1"/>
  <c r="H638" i="1"/>
  <c r="I638" i="1" s="1"/>
  <c r="H270" i="1"/>
  <c r="I270" i="1" s="1"/>
  <c r="H1148" i="1"/>
  <c r="I1148" i="1" s="1"/>
  <c r="H53" i="1"/>
  <c r="I53" i="1" s="1"/>
  <c r="H1093" i="1"/>
  <c r="I1093" i="1" s="1"/>
  <c r="H1713" i="1"/>
  <c r="I1713" i="1" s="1"/>
  <c r="H1369" i="1"/>
  <c r="I1369" i="1" s="1"/>
  <c r="H1624" i="1"/>
  <c r="I1624" i="1" s="1"/>
  <c r="H915" i="1"/>
  <c r="I915" i="1" s="1"/>
  <c r="H1577" i="1"/>
  <c r="I1577" i="1" s="1"/>
  <c r="H146" i="1"/>
  <c r="I146" i="1" s="1"/>
  <c r="H1438" i="1"/>
  <c r="I1438" i="1" s="1"/>
  <c r="H1437" i="1"/>
  <c r="I1437" i="1" s="1"/>
  <c r="H1564" i="1"/>
  <c r="I1564" i="1" s="1"/>
  <c r="H1526" i="1"/>
  <c r="I1526" i="1" s="1"/>
  <c r="H1041" i="1"/>
  <c r="I1041" i="1" s="1"/>
  <c r="H299" i="1"/>
  <c r="I299" i="1" s="1"/>
  <c r="H771" i="1"/>
  <c r="I771" i="1" s="1"/>
  <c r="H194" i="1"/>
  <c r="I194" i="1" s="1"/>
  <c r="H916" i="1"/>
  <c r="I916" i="1" s="1"/>
  <c r="H385" i="1"/>
  <c r="I385" i="1" s="1"/>
  <c r="H1130" i="1"/>
  <c r="I1130" i="1" s="1"/>
  <c r="H797" i="1"/>
  <c r="I797" i="1" s="1"/>
  <c r="H1675" i="1"/>
  <c r="I1675" i="1" s="1"/>
  <c r="H1387" i="1"/>
  <c r="I1387" i="1" s="1"/>
  <c r="H1077" i="1"/>
  <c r="I1077" i="1" s="1"/>
  <c r="H56" i="1"/>
  <c r="I56" i="1" s="1"/>
  <c r="H1084" i="1"/>
  <c r="I1084" i="1" s="1"/>
  <c r="H420" i="1"/>
  <c r="I420" i="1" s="1"/>
  <c r="H401" i="1"/>
  <c r="I401" i="1" s="1"/>
  <c r="H402" i="1"/>
  <c r="I402" i="1" s="1"/>
  <c r="H114" i="1"/>
  <c r="I114" i="1" s="1"/>
  <c r="H156" i="1"/>
  <c r="I156" i="1" s="1"/>
  <c r="H791" i="1"/>
  <c r="I791" i="1" s="1"/>
  <c r="H1497" i="1"/>
  <c r="I1497" i="1" s="1"/>
  <c r="H1444" i="1"/>
  <c r="I1444" i="1" s="1"/>
  <c r="H628" i="1"/>
  <c r="I628" i="1" s="1"/>
  <c r="H1693" i="1"/>
  <c r="I1693" i="1" s="1"/>
  <c r="H1008" i="1"/>
  <c r="I1008" i="1" s="1"/>
  <c r="H1647" i="1"/>
  <c r="I1647" i="1" s="1"/>
  <c r="H1606" i="1"/>
  <c r="I1606" i="1" s="1"/>
  <c r="H772" i="1"/>
  <c r="I772" i="1" s="1"/>
  <c r="H1481" i="1"/>
  <c r="I1481" i="1" s="1"/>
  <c r="H1137" i="1"/>
  <c r="I1137" i="1" s="1"/>
  <c r="H71" i="1"/>
  <c r="I71" i="1" s="1"/>
  <c r="H1316" i="1"/>
  <c r="I1316" i="1" s="1"/>
  <c r="H778" i="1"/>
  <c r="I778" i="1" s="1"/>
  <c r="H1721" i="1"/>
  <c r="I1721" i="1" s="1"/>
  <c r="H1269" i="1"/>
  <c r="I1269" i="1" s="1"/>
  <c r="H1688" i="1"/>
  <c r="I1688" i="1" s="1"/>
  <c r="H666" i="1"/>
  <c r="I666" i="1" s="1"/>
  <c r="H1700" i="1"/>
  <c r="I1700" i="1" s="1"/>
  <c r="H662" i="1"/>
  <c r="I662" i="1" s="1"/>
  <c r="H1287" i="1"/>
  <c r="I1287" i="1" s="1"/>
  <c r="H954" i="1"/>
  <c r="I954" i="1" s="1"/>
  <c r="H361" i="1"/>
  <c r="I361" i="1" s="1"/>
  <c r="H1663" i="1"/>
  <c r="I1663" i="1" s="1"/>
  <c r="H1375" i="1"/>
  <c r="I1375" i="1" s="1"/>
  <c r="H1064" i="1"/>
  <c r="I1064" i="1" s="1"/>
  <c r="H725" i="1"/>
  <c r="I725" i="1" s="1"/>
  <c r="H285" i="1"/>
  <c r="I285" i="1" s="1"/>
  <c r="H37" i="1"/>
  <c r="I37" i="1" s="1"/>
  <c r="H762" i="1"/>
  <c r="I762" i="1" s="1"/>
  <c r="H405" i="1"/>
  <c r="I405" i="1" s="1"/>
  <c r="H26" i="1"/>
  <c r="I26" i="1" s="1"/>
  <c r="H386" i="1"/>
  <c r="I386" i="1" s="1"/>
  <c r="H610" i="1"/>
  <c r="I610" i="1" s="1"/>
  <c r="H264" i="1"/>
  <c r="I264" i="1" s="1"/>
  <c r="H102" i="1"/>
  <c r="I102" i="1" s="1"/>
  <c r="H832" i="1"/>
  <c r="I832" i="1" s="1"/>
  <c r="H758" i="1"/>
  <c r="I758" i="1" s="1"/>
  <c r="H73" i="1"/>
  <c r="I73" i="1" s="1"/>
  <c r="H1094" i="1"/>
  <c r="I1094" i="1" s="1"/>
  <c r="H1716" i="1"/>
  <c r="I1716" i="1" s="1"/>
  <c r="H986" i="1"/>
  <c r="I986" i="1" s="1"/>
  <c r="H1625" i="1"/>
  <c r="I1625" i="1" s="1"/>
  <c r="H918" i="1"/>
  <c r="I918" i="1" s="1"/>
  <c r="H845" i="1"/>
  <c r="I845" i="1" s="1"/>
  <c r="H1534" i="1"/>
  <c r="I1534" i="1" s="1"/>
  <c r="H814" i="1"/>
  <c r="I814" i="1" s="1"/>
  <c r="H1512" i="1"/>
  <c r="I1512" i="1" s="1"/>
  <c r="H1162" i="1"/>
  <c r="I1162" i="1" s="1"/>
  <c r="H1485" i="1"/>
  <c r="I1485" i="1" s="1"/>
  <c r="H1527" i="1"/>
  <c r="I1527" i="1" s="1"/>
  <c r="H1294" i="1"/>
  <c r="I1294" i="1" s="1"/>
  <c r="H1705" i="1"/>
  <c r="I1705" i="1" s="1"/>
  <c r="H1250" i="1"/>
  <c r="I1250" i="1" s="1"/>
  <c r="H699" i="1"/>
  <c r="I699" i="1" s="1"/>
  <c r="H1668" i="1"/>
  <c r="I1668" i="1" s="1"/>
  <c r="H232" i="1"/>
  <c r="I232" i="1" s="1"/>
  <c r="H1684" i="1"/>
  <c r="I1684" i="1" s="1"/>
  <c r="H1308" i="1"/>
  <c r="I1308" i="1" s="1"/>
  <c r="H334" i="1"/>
  <c r="I334" i="1" s="1"/>
  <c r="H1424" i="1"/>
  <c r="I1424" i="1" s="1"/>
  <c r="H1104" i="1"/>
  <c r="I1104" i="1" s="1"/>
  <c r="H769" i="1"/>
  <c r="I769" i="1" s="1"/>
  <c r="H344" i="1"/>
  <c r="I344" i="1" s="1"/>
  <c r="H1651" i="1"/>
  <c r="I1651" i="1" s="1"/>
  <c r="H1363" i="1"/>
  <c r="I1363" i="1" s="1"/>
  <c r="H1051" i="1"/>
  <c r="I1051" i="1" s="1"/>
  <c r="H266" i="1"/>
  <c r="I266" i="1" s="1"/>
  <c r="H243" i="1"/>
  <c r="I243" i="1" s="1"/>
  <c r="H1204" i="1"/>
  <c r="I1204" i="1" s="1"/>
  <c r="H906" i="1"/>
  <c r="I906" i="1" s="1"/>
  <c r="H577" i="1"/>
  <c r="I577" i="1" s="1"/>
  <c r="H182" i="1"/>
  <c r="I182" i="1" s="1"/>
  <c r="H595" i="1"/>
  <c r="I595" i="1" s="1"/>
  <c r="H163" i="1"/>
  <c r="I163" i="1" s="1"/>
  <c r="H215" i="1"/>
  <c r="I215" i="1" s="1"/>
  <c r="H1548" i="1"/>
  <c r="I1548" i="1" s="1"/>
  <c r="H792" i="1"/>
  <c r="I792" i="1" s="1"/>
  <c r="H1498" i="1"/>
  <c r="I1498" i="1" s="1"/>
  <c r="H717" i="1"/>
  <c r="I717" i="1" s="1"/>
  <c r="H1445" i="1"/>
  <c r="I1445" i="1" s="1"/>
  <c r="H629" i="1"/>
  <c r="I629" i="1" s="1"/>
  <c r="H541" i="1"/>
  <c r="I541" i="1" s="1"/>
  <c r="H1348" i="1"/>
  <c r="I1348" i="1" s="1"/>
  <c r="H445" i="1"/>
  <c r="I445" i="1" s="1"/>
  <c r="H1607" i="1"/>
  <c r="I1607" i="1" s="1"/>
  <c r="H888" i="1"/>
  <c r="I888" i="1" s="1"/>
  <c r="H1559" i="1"/>
  <c r="I1559" i="1" s="1"/>
  <c r="H297" i="1"/>
  <c r="I297" i="1" s="1"/>
  <c r="H1217" i="1"/>
  <c r="I1217" i="1" s="1"/>
  <c r="H1535" i="1"/>
  <c r="I1535" i="1" s="1"/>
  <c r="H816" i="1"/>
  <c r="I816" i="1" s="1"/>
  <c r="H1513" i="1"/>
  <c r="I1513" i="1" s="1"/>
  <c r="H1510" i="1"/>
  <c r="I1510" i="1" s="1"/>
  <c r="H1020" i="1"/>
  <c r="I1020" i="1" s="1"/>
  <c r="H1689" i="1"/>
  <c r="I1689" i="1" s="1"/>
  <c r="H1229" i="1"/>
  <c r="I1229" i="1" s="1"/>
  <c r="H671" i="1"/>
  <c r="I671" i="1" s="1"/>
  <c r="H1652" i="1"/>
  <c r="I1652" i="1" s="1"/>
  <c r="H1185" i="1"/>
  <c r="I1185" i="1" s="1"/>
  <c r="H600" i="1"/>
  <c r="I600" i="1" s="1"/>
  <c r="H822" i="1"/>
  <c r="I822" i="1" s="1"/>
  <c r="H713" i="1"/>
  <c r="I713" i="1" s="1"/>
  <c r="H1292" i="1"/>
  <c r="I1292" i="1" s="1"/>
  <c r="H1580" i="1"/>
  <c r="I1580" i="1" s="1"/>
  <c r="H1261" i="1"/>
  <c r="I1261" i="1" s="1"/>
  <c r="H926" i="1"/>
  <c r="I926" i="1" s="1"/>
  <c r="H550" i="1"/>
  <c r="I550" i="1" s="1"/>
  <c r="H97" i="1"/>
  <c r="I97" i="1" s="1"/>
  <c r="H1495" i="1"/>
  <c r="I1495" i="1" s="1"/>
  <c r="H1195" i="1"/>
  <c r="I1195" i="1" s="1"/>
  <c r="H472" i="1"/>
  <c r="I472" i="1" s="1"/>
  <c r="H245" i="1"/>
  <c r="I245" i="1" s="1"/>
  <c r="H1626" i="1"/>
  <c r="I1626" i="1" s="1"/>
  <c r="H1023" i="1"/>
  <c r="I1023" i="1" s="1"/>
  <c r="H675" i="1"/>
  <c r="I675" i="1" s="1"/>
  <c r="H1048" i="1"/>
  <c r="I1048" i="1" s="1"/>
  <c r="H736" i="1"/>
  <c r="I736" i="1" s="1"/>
  <c r="H373" i="1"/>
  <c r="I373" i="1" s="1"/>
  <c r="H721" i="1"/>
  <c r="I721" i="1" s="1"/>
  <c r="H356" i="1"/>
  <c r="I356" i="1" s="1"/>
  <c r="H13" i="1"/>
  <c r="I13" i="1" s="1"/>
  <c r="H739" i="1"/>
  <c r="I739" i="1" s="1"/>
  <c r="H62" i="1"/>
  <c r="I62" i="1" s="1"/>
  <c r="H439" i="1"/>
  <c r="I439" i="1" s="1"/>
  <c r="H7" i="1"/>
  <c r="I7" i="1" s="1"/>
  <c r="H222" i="1"/>
  <c r="I222" i="1" s="1"/>
  <c r="H78" i="1"/>
  <c r="I78" i="1" s="1"/>
  <c r="H932" i="1"/>
  <c r="I932" i="1" s="1"/>
  <c r="H374" i="1"/>
  <c r="I374" i="1" s="1"/>
  <c r="H1044" i="1"/>
  <c r="I1044" i="1" s="1"/>
  <c r="H1676" i="1"/>
  <c r="I1676" i="1" s="1"/>
  <c r="H987" i="1"/>
  <c r="I987" i="1" s="1"/>
  <c r="H1322" i="1"/>
  <c r="I1322" i="1" s="1"/>
  <c r="H1630" i="1"/>
  <c r="I1630" i="1" s="1"/>
  <c r="H921" i="1"/>
  <c r="I921" i="1" s="1"/>
  <c r="H1271" i="1"/>
  <c r="I1271" i="1" s="1"/>
  <c r="H1587" i="1"/>
  <c r="I1587" i="1" s="1"/>
  <c r="H349" i="1"/>
  <c r="I349" i="1" s="1"/>
  <c r="H889" i="1"/>
  <c r="I889" i="1" s="1"/>
  <c r="H1244" i="1"/>
  <c r="I1244" i="1" s="1"/>
  <c r="H1560" i="1"/>
  <c r="I1560" i="1" s="1"/>
  <c r="H857" i="1"/>
  <c r="I857" i="1" s="1"/>
  <c r="H1218" i="1"/>
  <c r="I1218" i="1" s="1"/>
  <c r="H1538" i="1"/>
  <c r="I1538" i="1" s="1"/>
  <c r="H1706" i="1"/>
  <c r="I1706" i="1" s="1"/>
  <c r="H1490" i="1"/>
  <c r="I1490" i="1" s="1"/>
  <c r="H1251" i="1"/>
  <c r="I1251" i="1" s="1"/>
  <c r="H1000" i="1"/>
  <c r="I1000" i="1" s="1"/>
  <c r="H700" i="1"/>
  <c r="I700" i="1" s="1"/>
  <c r="H1669" i="1"/>
  <c r="I1669" i="1" s="1"/>
  <c r="H1450" i="1"/>
  <c r="I1450" i="1" s="1"/>
  <c r="H1210" i="1"/>
  <c r="I1210" i="1" s="1"/>
  <c r="H949" i="1"/>
  <c r="I949" i="1" s="1"/>
  <c r="H634" i="1"/>
  <c r="I634" i="1" s="1"/>
  <c r="H233" i="1"/>
  <c r="I233" i="1" s="1"/>
  <c r="H1634" i="1"/>
  <c r="I1634" i="1" s="1"/>
  <c r="H1163" i="1"/>
  <c r="I1163" i="1" s="1"/>
  <c r="H902" i="1"/>
  <c r="I902" i="1" s="1"/>
  <c r="H569" i="1"/>
  <c r="I569" i="1" s="1"/>
  <c r="H165" i="1"/>
  <c r="I165" i="1" s="1"/>
  <c r="H798" i="1"/>
  <c r="I798" i="1" s="1"/>
  <c r="H429" i="1"/>
  <c r="I429" i="1" s="1"/>
  <c r="H27" i="1"/>
  <c r="I27" i="1" s="1"/>
  <c r="H689" i="1"/>
  <c r="I689" i="1" s="1"/>
  <c r="H393" i="1"/>
  <c r="I393" i="1" s="1"/>
  <c r="H93" i="1"/>
  <c r="I93" i="1" s="1"/>
  <c r="H1599" i="1"/>
  <c r="I1599" i="1" s="1"/>
  <c r="H1408" i="1"/>
  <c r="I1408" i="1" s="1"/>
  <c r="H1205" i="1"/>
  <c r="I1205" i="1" s="1"/>
  <c r="H993" i="1"/>
  <c r="I993" i="1" s="1"/>
  <c r="H765" i="1"/>
  <c r="I765" i="1" s="1"/>
  <c r="H488" i="1"/>
  <c r="I488" i="1" s="1"/>
  <c r="H185" i="1"/>
  <c r="I185" i="1" s="1"/>
  <c r="H1473" i="1"/>
  <c r="I1473" i="1" s="1"/>
  <c r="H1275" i="1"/>
  <c r="I1275" i="1" s="1"/>
  <c r="H588" i="1"/>
  <c r="I588" i="1" s="1"/>
  <c r="H1568" i="1"/>
  <c r="I1568" i="1" s="1"/>
  <c r="H1400" i="1"/>
  <c r="I1400" i="1" s="1"/>
  <c r="H1235" i="1"/>
  <c r="I1235" i="1" s="1"/>
  <c r="H1078" i="1"/>
  <c r="I1078" i="1" s="1"/>
  <c r="H912" i="1"/>
  <c r="I912" i="1" s="1"/>
  <c r="H741" i="1"/>
  <c r="I741" i="1" s="1"/>
  <c r="H303" i="1"/>
  <c r="I303" i="1" s="1"/>
  <c r="H80" i="1"/>
  <c r="I80" i="1" s="1"/>
  <c r="H1627" i="1"/>
  <c r="I1627" i="1" s="1"/>
  <c r="H1483" i="1"/>
  <c r="I1483" i="1" s="1"/>
  <c r="H1339" i="1"/>
  <c r="I1339" i="1" s="1"/>
  <c r="H1182" i="1"/>
  <c r="I1182" i="1" s="1"/>
  <c r="H853" i="1"/>
  <c r="I853" i="1" s="1"/>
  <c r="H676" i="1"/>
  <c r="I676" i="1" s="1"/>
  <c r="H455" i="1"/>
  <c r="I455" i="1" s="1"/>
  <c r="H227" i="1"/>
  <c r="I227" i="1" s="1"/>
  <c r="H1532" i="1"/>
  <c r="I1532" i="1" s="1"/>
  <c r="H1614" i="1"/>
  <c r="I1614" i="1" s="1"/>
  <c r="H1470" i="1"/>
  <c r="I1470" i="1" s="1"/>
  <c r="H1009" i="1"/>
  <c r="I1009" i="1" s="1"/>
  <c r="H838" i="1"/>
  <c r="I838" i="1" s="1"/>
  <c r="H659" i="1"/>
  <c r="I659" i="1" s="1"/>
  <c r="H432" i="1"/>
  <c r="I432" i="1" s="1"/>
  <c r="H1324" i="1"/>
  <c r="I1324" i="1" s="1"/>
  <c r="H1180" i="1"/>
  <c r="I1180" i="1" s="1"/>
  <c r="H1036" i="1"/>
  <c r="I1036" i="1" s="1"/>
  <c r="H880" i="1"/>
  <c r="I880" i="1" s="1"/>
  <c r="H723" i="1"/>
  <c r="I723" i="1" s="1"/>
  <c r="H358" i="1"/>
  <c r="I358" i="1" s="1"/>
  <c r="H169" i="1"/>
  <c r="I169" i="1" s="1"/>
  <c r="H708" i="1"/>
  <c r="I708" i="1" s="1"/>
  <c r="H528" i="1"/>
  <c r="I528" i="1" s="1"/>
  <c r="H339" i="1"/>
  <c r="I339" i="1" s="1"/>
  <c r="H152" i="1"/>
  <c r="I152" i="1" s="1"/>
  <c r="H1015" i="1"/>
  <c r="I1015" i="1" s="1"/>
  <c r="H566" i="1"/>
  <c r="I566" i="1" s="1"/>
  <c r="H394" i="1"/>
  <c r="I394" i="1" s="1"/>
  <c r="H220" i="1"/>
  <c r="I220" i="1" s="1"/>
  <c r="H48" i="1"/>
  <c r="I48" i="1" s="1"/>
  <c r="H571" i="1"/>
  <c r="I571" i="1" s="1"/>
  <c r="H427" i="1"/>
  <c r="I427" i="1" s="1"/>
  <c r="H283" i="1"/>
  <c r="I283" i="1" s="1"/>
  <c r="H139" i="1"/>
  <c r="I139" i="1" s="1"/>
  <c r="H498" i="1"/>
  <c r="I498" i="1" s="1"/>
  <c r="H210" i="1"/>
  <c r="I210" i="1" s="1"/>
  <c r="H66" i="1"/>
  <c r="I66" i="1" s="1"/>
  <c r="H409" i="1"/>
  <c r="I409" i="1" s="1"/>
  <c r="H1001" i="1"/>
  <c r="I1001" i="1" s="1"/>
  <c r="H517" i="1"/>
  <c r="I517" i="1" s="1"/>
  <c r="H423" i="1"/>
  <c r="I423" i="1" s="1"/>
  <c r="H941" i="1"/>
  <c r="I941" i="1" s="1"/>
  <c r="H1283" i="1"/>
  <c r="I1283" i="1" s="1"/>
  <c r="H1595" i="1"/>
  <c r="I1595" i="1" s="1"/>
  <c r="H870" i="1"/>
  <c r="I870" i="1" s="1"/>
  <c r="H1232" i="1"/>
  <c r="I1232" i="1" s="1"/>
  <c r="H1549" i="1"/>
  <c r="I1549" i="1" s="1"/>
  <c r="H224" i="1"/>
  <c r="I224" i="1" s="1"/>
  <c r="H793" i="1"/>
  <c r="I793" i="1" s="1"/>
  <c r="H1177" i="1"/>
  <c r="I1177" i="1" s="1"/>
  <c r="H1499" i="1"/>
  <c r="I1499" i="1" s="1"/>
  <c r="H125" i="1"/>
  <c r="I125" i="1" s="1"/>
  <c r="H718" i="1"/>
  <c r="I718" i="1" s="1"/>
  <c r="H1126" i="1"/>
  <c r="I1126" i="1" s="1"/>
  <c r="H1452" i="1"/>
  <c r="I1452" i="1" s="1"/>
  <c r="H22" i="1"/>
  <c r="I22" i="1" s="1"/>
  <c r="H646" i="1"/>
  <c r="I646" i="1" s="1"/>
  <c r="H1071" i="1"/>
  <c r="I1071" i="1" s="1"/>
  <c r="H1402" i="1"/>
  <c r="I1402" i="1" s="1"/>
  <c r="H1695" i="1"/>
  <c r="I1695" i="1" s="1"/>
  <c r="H544" i="1"/>
  <c r="I544" i="1" s="1"/>
  <c r="H1017" i="1"/>
  <c r="I1017" i="1" s="1"/>
  <c r="H1349" i="1"/>
  <c r="I1349" i="1" s="1"/>
  <c r="H1649" i="1"/>
  <c r="I1649" i="1" s="1"/>
  <c r="H446" i="1"/>
  <c r="I446" i="1" s="1"/>
  <c r="H960" i="1"/>
  <c r="I960" i="1" s="1"/>
  <c r="H1302" i="1"/>
  <c r="I1302" i="1" s="1"/>
  <c r="H1608" i="1"/>
  <c r="I1608" i="1" s="1"/>
  <c r="H395" i="1"/>
  <c r="I395" i="1" s="1"/>
  <c r="H922" i="1"/>
  <c r="I922" i="1" s="1"/>
  <c r="H1278" i="1"/>
  <c r="I1278" i="1" s="1"/>
  <c r="H1588" i="1"/>
  <c r="I1588" i="1" s="1"/>
  <c r="H351" i="1"/>
  <c r="I351" i="1" s="1"/>
  <c r="H890" i="1"/>
  <c r="I890" i="1" s="1"/>
  <c r="H1245" i="1"/>
  <c r="I1245" i="1" s="1"/>
  <c r="H1561" i="1"/>
  <c r="I1561" i="1" s="1"/>
  <c r="H1690" i="1"/>
  <c r="I1690" i="1" s="1"/>
  <c r="H1468" i="1"/>
  <c r="I1468" i="1" s="1"/>
  <c r="H1230" i="1"/>
  <c r="I1230" i="1" s="1"/>
  <c r="H672" i="1"/>
  <c r="I672" i="1" s="1"/>
  <c r="H273" i="1"/>
  <c r="I273" i="1" s="1"/>
  <c r="H1653" i="1"/>
  <c r="I1653" i="1" s="1"/>
  <c r="H1430" i="1"/>
  <c r="I1430" i="1" s="1"/>
  <c r="H1186" i="1"/>
  <c r="I1186" i="1" s="1"/>
  <c r="H928" i="1"/>
  <c r="I928" i="1" s="1"/>
  <c r="H601" i="1"/>
  <c r="I601" i="1" s="1"/>
  <c r="H202" i="1"/>
  <c r="I202" i="1" s="1"/>
  <c r="H1618" i="1"/>
  <c r="I1618" i="1" s="1"/>
  <c r="H1390" i="1"/>
  <c r="I1390" i="1" s="1"/>
  <c r="H1145" i="1"/>
  <c r="I1145" i="1" s="1"/>
  <c r="H875" i="1"/>
  <c r="I875" i="1" s="1"/>
  <c r="H533" i="1"/>
  <c r="I533" i="1" s="1"/>
  <c r="H129" i="1"/>
  <c r="I129" i="1" s="1"/>
  <c r="H773" i="1"/>
  <c r="I773" i="1" s="1"/>
  <c r="H399" i="1"/>
  <c r="I399" i="1" s="1"/>
  <c r="H903" i="1"/>
  <c r="I903" i="1" s="1"/>
  <c r="H669" i="1"/>
  <c r="I669" i="1" s="1"/>
  <c r="H369" i="1"/>
  <c r="I369" i="1" s="1"/>
  <c r="H68" i="1"/>
  <c r="I68" i="1" s="1"/>
  <c r="H1585" i="1"/>
  <c r="I1585" i="1" s="1"/>
  <c r="H1393" i="1"/>
  <c r="I1393" i="1" s="1"/>
  <c r="H1188" i="1"/>
  <c r="I1188" i="1" s="1"/>
  <c r="H975" i="1"/>
  <c r="I975" i="1" s="1"/>
  <c r="H746" i="1"/>
  <c r="I746" i="1" s="1"/>
  <c r="H461" i="1"/>
  <c r="I461" i="1" s="1"/>
  <c r="H160" i="1"/>
  <c r="I160" i="1" s="1"/>
  <c r="H1642" i="1"/>
  <c r="I1642" i="1" s="1"/>
  <c r="H1455" i="1"/>
  <c r="I1455" i="1" s="1"/>
  <c r="H1256" i="1"/>
  <c r="I1256" i="1" s="1"/>
  <c r="H1046" i="1"/>
  <c r="I1046" i="1" s="1"/>
  <c r="H820" i="1"/>
  <c r="I820" i="1" s="1"/>
  <c r="H561" i="1"/>
  <c r="I561" i="1" s="1"/>
  <c r="H257" i="1"/>
  <c r="I257" i="1" s="1"/>
  <c r="H1556" i="1"/>
  <c r="I1556" i="1" s="1"/>
  <c r="H1388" i="1"/>
  <c r="I1388" i="1" s="1"/>
  <c r="H1222" i="1"/>
  <c r="I1222" i="1" s="1"/>
  <c r="H1065" i="1"/>
  <c r="I1065" i="1" s="1"/>
  <c r="H898" i="1"/>
  <c r="I898" i="1" s="1"/>
  <c r="H726" i="1"/>
  <c r="I726" i="1" s="1"/>
  <c r="H512" i="1"/>
  <c r="I512" i="1" s="1"/>
  <c r="H286" i="1"/>
  <c r="I286" i="1" s="1"/>
  <c r="H60" i="1"/>
  <c r="I60" i="1" s="1"/>
  <c r="H1615" i="1"/>
  <c r="I1615" i="1" s="1"/>
  <c r="H1471" i="1"/>
  <c r="I1471" i="1" s="1"/>
  <c r="H1326" i="1"/>
  <c r="I1326" i="1" s="1"/>
  <c r="H1010" i="1"/>
  <c r="I1010" i="1" s="1"/>
  <c r="H839" i="1"/>
  <c r="I839" i="1" s="1"/>
  <c r="H660" i="1"/>
  <c r="I660" i="1" s="1"/>
  <c r="H434" i="1"/>
  <c r="I434" i="1" s="1"/>
  <c r="H208" i="1"/>
  <c r="I208" i="1" s="1"/>
  <c r="H1448" i="1"/>
  <c r="I1448" i="1" s="1"/>
  <c r="H1602" i="1"/>
  <c r="I1602" i="1" s="1"/>
  <c r="H1458" i="1"/>
  <c r="I1458" i="1" s="1"/>
  <c r="H1311" i="1"/>
  <c r="I1311" i="1" s="1"/>
  <c r="H1154" i="1"/>
  <c r="I1154" i="1" s="1"/>
  <c r="H995" i="1"/>
  <c r="I995" i="1" s="1"/>
  <c r="H824" i="1"/>
  <c r="I824" i="1" s="1"/>
  <c r="H641" i="1"/>
  <c r="I641" i="1" s="1"/>
  <c r="H189" i="1"/>
  <c r="I189" i="1" s="1"/>
  <c r="H1312" i="1"/>
  <c r="I1312" i="1" s="1"/>
  <c r="H1168" i="1"/>
  <c r="I1168" i="1" s="1"/>
  <c r="H1024" i="1"/>
  <c r="I1024" i="1" s="1"/>
  <c r="H867" i="1"/>
  <c r="I867" i="1" s="1"/>
  <c r="H710" i="1"/>
  <c r="I710" i="1" s="1"/>
  <c r="H530" i="1"/>
  <c r="I530" i="1" s="1"/>
  <c r="H341" i="1"/>
  <c r="I341" i="1" s="1"/>
  <c r="H154" i="1"/>
  <c r="I154" i="1" s="1"/>
  <c r="H695" i="1"/>
  <c r="I695" i="1" s="1"/>
  <c r="H513" i="1"/>
  <c r="I513" i="1" s="1"/>
  <c r="H324" i="1"/>
  <c r="I324" i="1" s="1"/>
  <c r="H135" i="1"/>
  <c r="I135" i="1" s="1"/>
  <c r="H715" i="1"/>
  <c r="I715" i="1" s="1"/>
  <c r="H552" i="1"/>
  <c r="I552" i="1" s="1"/>
  <c r="H380" i="1"/>
  <c r="I380" i="1" s="1"/>
  <c r="H34" i="1"/>
  <c r="I34" i="1" s="1"/>
  <c r="H559" i="1"/>
  <c r="I559" i="1" s="1"/>
  <c r="H415" i="1"/>
  <c r="I415" i="1" s="1"/>
  <c r="H271" i="1"/>
  <c r="I271" i="1" s="1"/>
  <c r="H127" i="1"/>
  <c r="I127" i="1" s="1"/>
  <c r="H630" i="1"/>
  <c r="I630" i="1" s="1"/>
  <c r="H486" i="1"/>
  <c r="I486" i="1" s="1"/>
  <c r="H342" i="1"/>
  <c r="I342" i="1" s="1"/>
  <c r="H198" i="1"/>
  <c r="I198" i="1" s="1"/>
  <c r="H54" i="1"/>
  <c r="I54" i="1" s="1"/>
  <c r="H615" i="1"/>
  <c r="I615" i="1" s="1"/>
  <c r="H277" i="1"/>
  <c r="I277" i="1" s="1"/>
  <c r="H1672" i="1"/>
  <c r="I1672" i="1" s="1"/>
  <c r="H573" i="1"/>
  <c r="I573" i="1" s="1"/>
  <c r="H1172" i="1"/>
  <c r="I1172" i="1" s="1"/>
  <c r="H1239" i="1"/>
  <c r="I1239" i="1" s="1"/>
  <c r="H803" i="1"/>
  <c r="I803" i="1" s="1"/>
  <c r="H237" i="1"/>
  <c r="I237" i="1" s="1"/>
  <c r="H1544" i="1"/>
  <c r="I1544" i="1" s="1"/>
  <c r="H1376" i="1"/>
  <c r="I1376" i="1" s="1"/>
  <c r="H1052" i="1"/>
  <c r="I1052" i="1" s="1"/>
  <c r="H884" i="1"/>
  <c r="I884" i="1" s="1"/>
  <c r="H492" i="1"/>
  <c r="I492" i="1" s="1"/>
  <c r="H267" i="1"/>
  <c r="I267" i="1" s="1"/>
  <c r="H39" i="1"/>
  <c r="I39" i="1" s="1"/>
  <c r="H644" i="1"/>
  <c r="I644" i="1" s="1"/>
  <c r="H1248" i="1"/>
  <c r="I1248" i="1" s="1"/>
  <c r="H1590" i="1"/>
  <c r="I1590" i="1" s="1"/>
  <c r="H1446" i="1"/>
  <c r="I1446" i="1" s="1"/>
  <c r="H1298" i="1"/>
  <c r="I1298" i="1" s="1"/>
  <c r="H1141" i="1"/>
  <c r="I1141" i="1" s="1"/>
  <c r="H981" i="1"/>
  <c r="I981" i="1" s="1"/>
  <c r="H809" i="1"/>
  <c r="I809" i="1" s="1"/>
  <c r="H621" i="1"/>
  <c r="I621" i="1" s="1"/>
  <c r="H1156" i="1"/>
  <c r="I1156" i="1" s="1"/>
  <c r="H854" i="1"/>
  <c r="I854" i="1" s="1"/>
  <c r="H697" i="1"/>
  <c r="I697" i="1" s="1"/>
  <c r="H137" i="1"/>
  <c r="I137" i="1" s="1"/>
  <c r="H682" i="1"/>
  <c r="I682" i="1" s="1"/>
  <c r="H496" i="1"/>
  <c r="I496" i="1" s="1"/>
  <c r="H309" i="1"/>
  <c r="I309" i="1" s="1"/>
  <c r="H119" i="1"/>
  <c r="I119" i="1" s="1"/>
  <c r="H991" i="1"/>
  <c r="I991" i="1" s="1"/>
  <c r="H847" i="1"/>
  <c r="I847" i="1" s="1"/>
  <c r="H538" i="1"/>
  <c r="I538" i="1" s="1"/>
  <c r="H364" i="1"/>
  <c r="I364" i="1" s="1"/>
  <c r="H192" i="1"/>
  <c r="I192" i="1" s="1"/>
  <c r="H20" i="1"/>
  <c r="I20" i="1" s="1"/>
  <c r="H547" i="1"/>
  <c r="I547" i="1" s="1"/>
  <c r="H403" i="1"/>
  <c r="I403" i="1" s="1"/>
  <c r="H259" i="1"/>
  <c r="I259" i="1" s="1"/>
  <c r="H115" i="1"/>
  <c r="I115" i="1" s="1"/>
  <c r="H618" i="1"/>
  <c r="I618" i="1" s="1"/>
  <c r="H474" i="1"/>
  <c r="I474" i="1" s="1"/>
  <c r="H330" i="1"/>
  <c r="I330" i="1" s="1"/>
  <c r="H186" i="1"/>
  <c r="I186" i="1" s="1"/>
  <c r="H42" i="1"/>
  <c r="I42" i="1" s="1"/>
  <c r="H1491" i="1"/>
  <c r="I1491" i="1" s="1"/>
  <c r="H1546" i="1"/>
  <c r="I1546" i="1" s="1"/>
  <c r="H1720" i="1"/>
  <c r="I1720" i="1" s="1"/>
  <c r="H519" i="1"/>
  <c r="I519" i="1" s="1"/>
  <c r="H1359" i="1"/>
  <c r="I1359" i="1" s="1"/>
  <c r="H1543" i="1"/>
  <c r="I1543" i="1" s="1"/>
  <c r="H1247" i="1"/>
  <c r="I1247" i="1" s="1"/>
  <c r="H925" i="1"/>
  <c r="I925" i="1" s="1"/>
  <c r="H754" i="1"/>
  <c r="I754" i="1" s="1"/>
  <c r="H321" i="1"/>
  <c r="I321" i="1" s="1"/>
  <c r="H1076" i="1"/>
  <c r="I1076" i="1" s="1"/>
  <c r="H75" i="1"/>
  <c r="I75" i="1" s="1"/>
  <c r="H418" i="1"/>
  <c r="I418" i="1" s="1"/>
  <c r="H466" i="1"/>
  <c r="I466" i="1" s="1"/>
  <c r="H558" i="1"/>
  <c r="I558" i="1" s="1"/>
  <c r="H674" i="1"/>
  <c r="I674" i="1" s="1"/>
  <c r="H1419" i="1"/>
  <c r="I1419" i="1" s="1"/>
  <c r="H579" i="1"/>
  <c r="I579" i="1" s="1"/>
  <c r="H1035" i="1"/>
  <c r="I1035" i="1" s="1"/>
  <c r="H1667" i="1"/>
  <c r="I1667" i="1" s="1"/>
  <c r="H984" i="1"/>
  <c r="I984" i="1" s="1"/>
  <c r="H1320" i="1"/>
  <c r="I1320" i="1" s="1"/>
  <c r="H384" i="1"/>
  <c r="I384" i="1" s="1"/>
  <c r="H1266" i="1"/>
  <c r="I1266" i="1" s="1"/>
  <c r="H1214" i="1"/>
  <c r="I1214" i="1" s="1"/>
  <c r="H1160" i="1"/>
  <c r="I1160" i="1" s="1"/>
  <c r="H1480" i="1"/>
  <c r="I1480" i="1" s="1"/>
  <c r="H735" i="1"/>
  <c r="I735" i="1" s="1"/>
  <c r="H1134" i="1"/>
  <c r="I1134" i="1" s="1"/>
  <c r="H1110" i="1"/>
  <c r="I1110" i="1" s="1"/>
  <c r="H1334" i="1"/>
  <c r="I1334" i="1" s="1"/>
  <c r="H36" i="1"/>
  <c r="I36" i="1" s="1"/>
  <c r="H1291" i="1"/>
  <c r="I1291" i="1" s="1"/>
  <c r="H1704" i="1"/>
  <c r="I1704" i="1" s="1"/>
  <c r="H901" i="1"/>
  <c r="I901" i="1" s="1"/>
  <c r="H495" i="1"/>
  <c r="I495" i="1" s="1"/>
  <c r="H1277" i="1"/>
  <c r="I1277" i="1" s="1"/>
  <c r="H1714" i="1"/>
  <c r="I1714" i="1" s="1"/>
  <c r="H1344" i="1"/>
  <c r="I1344" i="1" s="1"/>
  <c r="H1135" i="1"/>
  <c r="I1135" i="1" s="1"/>
  <c r="H84" i="1"/>
  <c r="I84" i="1" s="1"/>
  <c r="H969" i="1"/>
  <c r="I969" i="1" s="1"/>
  <c r="H604" i="1"/>
  <c r="I604" i="1" s="1"/>
  <c r="H1531" i="1"/>
  <c r="I1531" i="1" s="1"/>
  <c r="H1234" i="1"/>
  <c r="I1234" i="1" s="1"/>
  <c r="H911" i="1"/>
  <c r="I911" i="1" s="1"/>
  <c r="H302" i="1"/>
  <c r="I302" i="1" s="1"/>
  <c r="H1063" i="1"/>
  <c r="I1063" i="1" s="1"/>
  <c r="H231" i="1"/>
  <c r="I231" i="1" s="1"/>
  <c r="H590" i="1"/>
  <c r="I590" i="1" s="1"/>
  <c r="H775" i="1"/>
  <c r="I775" i="1" s="1"/>
  <c r="H106" i="1"/>
  <c r="I106" i="1" s="1"/>
  <c r="H219" i="1"/>
  <c r="I219" i="1" s="1"/>
  <c r="H1121" i="1"/>
  <c r="I1121" i="1" s="1"/>
  <c r="H12" i="1"/>
  <c r="I12" i="1" s="1"/>
  <c r="H1069" i="1"/>
  <c r="I1069" i="1" s="1"/>
  <c r="H1397" i="1"/>
  <c r="I1397" i="1" s="1"/>
  <c r="H526" i="1"/>
  <c r="I526" i="1" s="1"/>
  <c r="H1347" i="1"/>
  <c r="I1347" i="1" s="1"/>
  <c r="H443" i="1"/>
  <c r="I443" i="1" s="1"/>
  <c r="H1296" i="1"/>
  <c r="I1296" i="1" s="1"/>
  <c r="H1558" i="1"/>
  <c r="I1558" i="1" s="1"/>
  <c r="H813" i="1"/>
  <c r="I813" i="1" s="1"/>
  <c r="H195" i="1"/>
  <c r="I195" i="1" s="1"/>
  <c r="H1161" i="1"/>
  <c r="I1161" i="1" s="1"/>
  <c r="H147" i="1"/>
  <c r="I147" i="1" s="1"/>
  <c r="H1462" i="1"/>
  <c r="I1462" i="1" s="1"/>
  <c r="H1547" i="1"/>
  <c r="I1547" i="1" s="1"/>
  <c r="H1509" i="1"/>
  <c r="I1509" i="1" s="1"/>
  <c r="H1019" i="1"/>
  <c r="I1019" i="1" s="1"/>
  <c r="H333" i="1"/>
  <c r="I333" i="1" s="1"/>
  <c r="H971" i="1"/>
  <c r="I971" i="1" s="1"/>
  <c r="H874" i="1"/>
  <c r="I874" i="1" s="1"/>
  <c r="H469" i="1"/>
  <c r="I469" i="1" s="1"/>
  <c r="H1328" i="1"/>
  <c r="I1328" i="1" s="1"/>
  <c r="H1436" i="1"/>
  <c r="I1436" i="1" s="1"/>
  <c r="H1117" i="1"/>
  <c r="I1117" i="1" s="1"/>
  <c r="H783" i="1"/>
  <c r="I783" i="1" s="1"/>
  <c r="H587" i="1"/>
  <c r="I587" i="1" s="1"/>
  <c r="H133" i="1"/>
  <c r="I133" i="1" s="1"/>
  <c r="H1519" i="1"/>
  <c r="I1519" i="1" s="1"/>
  <c r="H1221" i="1"/>
  <c r="I1221" i="1" s="1"/>
  <c r="H897" i="1"/>
  <c r="I897" i="1" s="1"/>
  <c r="H509" i="1"/>
  <c r="I509" i="1" s="1"/>
  <c r="H58" i="1"/>
  <c r="I58" i="1" s="1"/>
  <c r="H1506" i="1"/>
  <c r="I1506" i="1" s="1"/>
  <c r="H1050" i="1"/>
  <c r="I1050" i="1" s="1"/>
  <c r="H920" i="1"/>
  <c r="I920" i="1" s="1"/>
  <c r="H575" i="1"/>
  <c r="I575" i="1" s="1"/>
  <c r="H197" i="1"/>
  <c r="I197" i="1" s="1"/>
  <c r="H763" i="1"/>
  <c r="I763" i="1" s="1"/>
  <c r="H436" i="1"/>
  <c r="I436" i="1" s="1"/>
  <c r="H92" i="1"/>
  <c r="I92" i="1" s="1"/>
  <c r="H177" i="1"/>
  <c r="I177" i="1" s="1"/>
  <c r="H1149" i="1"/>
  <c r="I1149" i="1" s="1"/>
  <c r="H1475" i="1"/>
  <c r="I1475" i="1" s="1"/>
  <c r="H1420" i="1"/>
  <c r="I1420" i="1" s="1"/>
  <c r="H1373" i="1"/>
  <c r="I1373" i="1" s="1"/>
  <c r="H484" i="1"/>
  <c r="I484" i="1" s="1"/>
  <c r="H1321" i="1"/>
  <c r="I1321" i="1" s="1"/>
  <c r="H1267" i="1"/>
  <c r="I1267" i="1" s="1"/>
  <c r="H290" i="1"/>
  <c r="I290" i="1" s="1"/>
  <c r="H1215" i="1"/>
  <c r="I1215" i="1" s="1"/>
  <c r="H252" i="1"/>
  <c r="I252" i="1" s="1"/>
  <c r="H1191" i="1"/>
  <c r="I1191" i="1" s="1"/>
  <c r="H779" i="1"/>
  <c r="I779" i="1" s="1"/>
  <c r="H41" i="1"/>
  <c r="I41" i="1" s="1"/>
  <c r="H1042" i="1"/>
  <c r="I1042" i="1" s="1"/>
  <c r="H1487" i="1"/>
  <c r="I1487" i="1" s="1"/>
  <c r="H300" i="1"/>
  <c r="I300" i="1" s="1"/>
  <c r="H948" i="1"/>
  <c r="I948" i="1" s="1"/>
  <c r="H633" i="1"/>
  <c r="I633" i="1" s="1"/>
  <c r="H444" i="1"/>
  <c r="I444" i="1" s="1"/>
  <c r="H1241" i="1"/>
  <c r="I1241" i="1" s="1"/>
  <c r="H1503" i="1"/>
  <c r="I1503" i="1" s="1"/>
  <c r="H1099" i="1"/>
  <c r="I1099" i="1" s="1"/>
  <c r="H33" i="1"/>
  <c r="I33" i="1" s="1"/>
  <c r="H1274" i="1"/>
  <c r="I1274" i="1" s="1"/>
  <c r="H940" i="1"/>
  <c r="I940" i="1" s="1"/>
  <c r="H568" i="1"/>
  <c r="I568" i="1" s="1"/>
  <c r="H1507" i="1"/>
  <c r="I1507" i="1" s="1"/>
  <c r="H1208" i="1"/>
  <c r="I1208" i="1" s="1"/>
  <c r="H882" i="1"/>
  <c r="I882" i="1" s="1"/>
  <c r="H491" i="1"/>
  <c r="I491" i="1" s="1"/>
  <c r="H38" i="1"/>
  <c r="I38" i="1" s="1"/>
  <c r="H471" i="1"/>
  <c r="I471" i="1" s="1"/>
  <c r="H1060" i="1"/>
  <c r="I1060" i="1" s="1"/>
  <c r="H749" i="1"/>
  <c r="I749" i="1" s="1"/>
  <c r="H388" i="1"/>
  <c r="I388" i="1" s="1"/>
  <c r="H10" i="1"/>
  <c r="I10" i="1" s="1"/>
  <c r="H371" i="1"/>
  <c r="I371" i="1" s="1"/>
  <c r="H751" i="1"/>
  <c r="I751" i="1" s="1"/>
  <c r="H76" i="1"/>
  <c r="I76" i="1" s="1"/>
  <c r="H451" i="1"/>
  <c r="I451" i="1" s="1"/>
  <c r="H307" i="1"/>
  <c r="I307" i="1" s="1"/>
  <c r="H19" i="1"/>
  <c r="I19" i="1" s="1"/>
  <c r="H522" i="1"/>
  <c r="I522" i="1" s="1"/>
  <c r="H378" i="1"/>
  <c r="I378" i="1" s="1"/>
  <c r="H90" i="1"/>
  <c r="I90" i="1" s="1"/>
  <c r="H1335" i="1"/>
  <c r="I1335" i="1" s="1"/>
  <c r="H1176" i="1"/>
  <c r="I1176" i="1" s="1"/>
  <c r="H124" i="1"/>
  <c r="I124" i="1" s="1"/>
  <c r="H1122" i="1"/>
  <c r="I1122" i="1" s="1"/>
  <c r="H1070" i="1"/>
  <c r="I1070" i="1" s="1"/>
  <c r="H1694" i="1"/>
  <c r="I1694" i="1" s="1"/>
  <c r="H1648" i="1"/>
  <c r="I1648" i="1" s="1"/>
  <c r="H1297" i="1"/>
  <c r="I1297" i="1" s="1"/>
  <c r="H348" i="1"/>
  <c r="I348" i="1" s="1"/>
  <c r="H1243" i="1"/>
  <c r="I1243" i="1" s="1"/>
  <c r="H253" i="1"/>
  <c r="I253" i="1" s="1"/>
  <c r="H1270" i="1"/>
  <c r="I1270" i="1" s="1"/>
  <c r="H337" i="1"/>
  <c r="I337" i="1" s="1"/>
  <c r="H1467" i="1"/>
  <c r="I1467" i="1" s="1"/>
  <c r="H973" i="1"/>
  <c r="I973" i="1" s="1"/>
  <c r="H1429" i="1"/>
  <c r="I1429" i="1" s="1"/>
  <c r="H200" i="1"/>
  <c r="I200" i="1" s="1"/>
  <c r="H464" i="1"/>
  <c r="I464" i="1" s="1"/>
  <c r="H64" i="1"/>
  <c r="I64" i="1" s="1"/>
  <c r="H421" i="1"/>
  <c r="I421" i="1" s="1"/>
  <c r="H118" i="1"/>
  <c r="I118" i="1" s="1"/>
  <c r="H1488" i="1"/>
  <c r="I1488" i="1" s="1"/>
  <c r="H1082" i="1"/>
  <c r="I1082" i="1" s="1"/>
  <c r="H1412" i="1"/>
  <c r="I1412" i="1" s="1"/>
  <c r="H1091" i="1"/>
  <c r="I1091" i="1" s="1"/>
  <c r="H755" i="1"/>
  <c r="I755" i="1" s="1"/>
  <c r="H323" i="1"/>
  <c r="I323" i="1" s="1"/>
  <c r="H1639" i="1"/>
  <c r="I1639" i="1" s="1"/>
  <c r="H1351" i="1"/>
  <c r="I1351" i="1" s="1"/>
  <c r="H1038" i="1"/>
  <c r="I1038" i="1" s="1"/>
  <c r="H693" i="1"/>
  <c r="I693" i="1" s="1"/>
  <c r="H17" i="1"/>
  <c r="I17" i="1" s="1"/>
  <c r="H1482" i="1"/>
  <c r="I1482" i="1" s="1"/>
  <c r="H852" i="1"/>
  <c r="I852" i="1" s="1"/>
  <c r="H454" i="1"/>
  <c r="I454" i="1" s="1"/>
  <c r="H1192" i="1"/>
  <c r="I1192" i="1" s="1"/>
  <c r="H184" i="1"/>
  <c r="I184" i="1" s="1"/>
  <c r="H543" i="1"/>
  <c r="I543" i="1" s="1"/>
  <c r="H167" i="1"/>
  <c r="I167" i="1" s="1"/>
  <c r="H883" i="1"/>
  <c r="I883" i="1" s="1"/>
  <c r="H580" i="1"/>
  <c r="I580" i="1" s="1"/>
  <c r="H236" i="1"/>
  <c r="I236" i="1" s="1"/>
  <c r="H583" i="1"/>
  <c r="I583" i="1" s="1"/>
  <c r="H295" i="1"/>
  <c r="I295" i="1" s="1"/>
  <c r="H151" i="1"/>
  <c r="I151" i="1" s="1"/>
  <c r="H510" i="1"/>
  <c r="I510" i="1" s="1"/>
  <c r="H1463" i="1"/>
  <c r="I1463" i="1" s="1"/>
  <c r="H217" i="1"/>
  <c r="I217" i="1" s="1"/>
  <c r="H788" i="1"/>
  <c r="I788" i="1" s="1"/>
  <c r="H1514" i="1"/>
  <c r="I1514" i="1" s="1"/>
  <c r="H908" i="1"/>
  <c r="I908" i="1" s="1"/>
  <c r="H1258" i="1"/>
  <c r="I1258" i="1" s="1"/>
  <c r="H275" i="1"/>
  <c r="I275" i="1" s="1"/>
  <c r="H833" i="1"/>
  <c r="I833" i="1" s="1"/>
  <c r="H1201" i="1"/>
  <c r="I1201" i="1" s="1"/>
  <c r="H1523" i="1"/>
  <c r="I1523" i="1" s="1"/>
  <c r="H759" i="1"/>
  <c r="I759" i="1" s="1"/>
  <c r="H1150" i="1"/>
  <c r="I1150" i="1" s="1"/>
  <c r="H1476" i="1"/>
  <c r="I1476" i="1" s="1"/>
  <c r="H681" i="1"/>
  <c r="I681" i="1" s="1"/>
  <c r="H1095" i="1"/>
  <c r="I1095" i="1" s="1"/>
  <c r="H1421" i="1"/>
  <c r="I1421" i="1" s="1"/>
  <c r="H1717" i="1"/>
  <c r="I1717" i="1" s="1"/>
  <c r="H584" i="1"/>
  <c r="I584" i="1" s="1"/>
  <c r="H314" i="1"/>
  <c r="I314" i="1" s="1"/>
  <c r="H477" i="1"/>
  <c r="I477" i="1" s="1"/>
  <c r="H1317" i="1"/>
  <c r="I1317" i="1" s="1"/>
  <c r="H1621" i="1"/>
  <c r="I1621" i="1" s="1"/>
  <c r="H375" i="1"/>
  <c r="I375" i="1" s="1"/>
  <c r="H909" i="1"/>
  <c r="I909" i="1" s="1"/>
  <c r="H1262" i="1"/>
  <c r="I1262" i="1" s="1"/>
  <c r="H1574" i="1"/>
  <c r="I1574" i="1" s="1"/>
  <c r="H834" i="1"/>
  <c r="I834" i="1" s="1"/>
  <c r="H1202" i="1"/>
  <c r="I1202" i="1" s="1"/>
  <c r="H1524" i="1"/>
  <c r="I1524" i="1" s="1"/>
  <c r="H180" i="1"/>
  <c r="I180" i="1" s="1"/>
  <c r="H760" i="1"/>
  <c r="I760" i="1" s="1"/>
  <c r="H1477" i="1"/>
  <c r="I1477" i="1" s="1"/>
  <c r="H82" i="1"/>
  <c r="I82" i="1" s="1"/>
  <c r="H1097" i="1"/>
  <c r="I1097" i="1" s="1"/>
  <c r="H1427" i="1"/>
  <c r="I1427" i="1" s="1"/>
  <c r="H1718" i="1"/>
  <c r="I1718" i="1" s="1"/>
  <c r="H591" i="1"/>
  <c r="I591" i="1" s="1"/>
  <c r="H407" i="1"/>
  <c r="I407" i="1" s="1"/>
  <c r="H639" i="1"/>
  <c r="I639" i="1" s="1"/>
  <c r="H239" i="1"/>
  <c r="I239" i="1" s="1"/>
  <c r="H1413" i="1"/>
  <c r="I1413" i="1" s="1"/>
  <c r="H168" i="1"/>
  <c r="I168" i="1" s="1"/>
  <c r="H1370" i="1"/>
  <c r="I1370" i="1" s="1"/>
  <c r="H1123" i="1"/>
  <c r="I1123" i="1" s="1"/>
  <c r="H850" i="1"/>
  <c r="I850" i="1" s="1"/>
  <c r="H502" i="1"/>
  <c r="I502" i="1" s="1"/>
  <c r="H99" i="1"/>
  <c r="I99" i="1" s="1"/>
  <c r="H886" i="1"/>
  <c r="I886" i="1" s="1"/>
  <c r="H346" i="1"/>
  <c r="I346" i="1" s="1"/>
  <c r="H45" i="1"/>
  <c r="I45" i="1" s="1"/>
  <c r="H1570" i="1"/>
  <c r="I1570" i="1" s="1"/>
  <c r="H1378" i="1"/>
  <c r="I1378" i="1" s="1"/>
  <c r="H957" i="1"/>
  <c r="I957" i="1" s="1"/>
  <c r="H729" i="1"/>
  <c r="I729" i="1" s="1"/>
  <c r="H441" i="1"/>
  <c r="I441" i="1" s="1"/>
  <c r="H1209" i="1"/>
  <c r="I1209" i="1" s="1"/>
  <c r="H357" i="1"/>
  <c r="I357" i="1" s="1"/>
  <c r="H894" i="1"/>
  <c r="I894" i="1" s="1"/>
  <c r="H786" i="1"/>
  <c r="I786" i="1" s="1"/>
  <c r="H520" i="1"/>
  <c r="I520" i="1" s="1"/>
  <c r="H1005" i="1"/>
  <c r="I1005" i="1" s="1"/>
  <c r="H1342" i="1"/>
  <c r="I1342" i="1" s="1"/>
  <c r="H1644" i="1"/>
  <c r="I1644" i="1" s="1"/>
  <c r="H142" i="1"/>
  <c r="I142" i="1" s="1"/>
  <c r="H731" i="1"/>
  <c r="I731" i="1" s="1"/>
  <c r="H648" i="1"/>
  <c r="I648" i="1" s="1"/>
  <c r="H1073" i="1"/>
  <c r="I1073" i="1" s="1"/>
  <c r="H551" i="1"/>
  <c r="I551" i="1" s="1"/>
  <c r="H1021" i="1"/>
  <c r="I1021" i="1" s="1"/>
  <c r="H1356" i="1"/>
  <c r="I1356" i="1" s="1"/>
  <c r="H989" i="1"/>
  <c r="I989" i="1" s="1"/>
  <c r="H1330" i="1"/>
  <c r="I1330" i="1" s="1"/>
  <c r="H1632" i="1"/>
  <c r="I1632" i="1" s="1"/>
  <c r="H449" i="1"/>
  <c r="I449" i="1" s="1"/>
  <c r="H962" i="1"/>
  <c r="I962" i="1" s="1"/>
  <c r="H1304" i="1"/>
  <c r="I1304" i="1" s="1"/>
  <c r="H1610" i="1"/>
  <c r="I1610" i="1" s="1"/>
  <c r="H608" i="1"/>
  <c r="I608" i="1" s="1"/>
  <c r="H1582" i="1"/>
  <c r="I1582" i="1" s="1"/>
  <c r="H1353" i="1"/>
  <c r="I1353" i="1" s="1"/>
  <c r="H1101" i="1"/>
  <c r="I1101" i="1" s="1"/>
  <c r="H827" i="1"/>
  <c r="I827" i="1" s="1"/>
  <c r="H467" i="1"/>
  <c r="I467" i="1" s="1"/>
  <c r="H65" i="1"/>
  <c r="I65" i="1" s="1"/>
  <c r="H329" i="1"/>
  <c r="I329" i="1" s="1"/>
  <c r="H864" i="1"/>
  <c r="I864" i="1" s="1"/>
  <c r="H617" i="1"/>
  <c r="I617" i="1" s="1"/>
  <c r="H316" i="1"/>
  <c r="I316" i="1" s="1"/>
  <c r="H14" i="1"/>
  <c r="I14" i="1" s="1"/>
  <c r="H1552" i="1"/>
  <c r="I1552" i="1" s="1"/>
  <c r="H1360" i="1"/>
  <c r="I1360" i="1" s="1"/>
  <c r="H1152" i="1"/>
  <c r="I1152" i="1" s="1"/>
  <c r="H936" i="1"/>
  <c r="I936" i="1" s="1"/>
  <c r="H705" i="1"/>
  <c r="I705" i="1" s="1"/>
  <c r="H411" i="1"/>
  <c r="I411" i="1" s="1"/>
  <c r="H110" i="1"/>
  <c r="I110" i="1" s="1"/>
  <c r="H1425" i="1"/>
  <c r="I1425" i="1" s="1"/>
  <c r="H1013" i="1"/>
  <c r="I1013" i="1" s="1"/>
  <c r="H784" i="1"/>
  <c r="I784" i="1" s="1"/>
  <c r="H212" i="1"/>
  <c r="I212" i="1" s="1"/>
  <c r="H1520" i="1"/>
  <c r="I1520" i="1" s="1"/>
  <c r="H1364" i="1"/>
  <c r="I1364" i="1" s="1"/>
  <c r="H1196" i="1"/>
  <c r="I1196" i="1" s="1"/>
  <c r="H1039" i="1"/>
  <c r="I1039" i="1" s="1"/>
  <c r="H869" i="1"/>
  <c r="I869" i="1" s="1"/>
  <c r="H694" i="1"/>
  <c r="I694" i="1" s="1"/>
  <c r="H473" i="1"/>
  <c r="I473" i="1" s="1"/>
  <c r="H249" i="1"/>
  <c r="I249" i="1" s="1"/>
  <c r="H1591" i="1"/>
  <c r="I1591" i="1" s="1"/>
  <c r="H1447" i="1"/>
  <c r="I1447" i="1" s="1"/>
  <c r="H1299" i="1"/>
  <c r="I1299" i="1" s="1"/>
  <c r="H1142" i="1"/>
  <c r="I1142" i="1" s="1"/>
  <c r="H982" i="1"/>
  <c r="I982" i="1" s="1"/>
  <c r="H810" i="1"/>
  <c r="I810" i="1" s="1"/>
  <c r="H623" i="1"/>
  <c r="I623" i="1" s="1"/>
  <c r="H397" i="1"/>
  <c r="I397" i="1" s="1"/>
  <c r="H171" i="1"/>
  <c r="I171" i="1" s="1"/>
  <c r="H1722" i="1"/>
  <c r="I1722" i="1" s="1"/>
  <c r="H1578" i="1"/>
  <c r="I1578" i="1" s="1"/>
  <c r="H1434" i="1"/>
  <c r="I1434" i="1" s="1"/>
  <c r="H1285" i="1"/>
  <c r="I1285" i="1" s="1"/>
  <c r="H1128" i="1"/>
  <c r="I1128" i="1" s="1"/>
  <c r="H966" i="1"/>
  <c r="I966" i="1" s="1"/>
  <c r="H795" i="1"/>
  <c r="I795" i="1" s="1"/>
  <c r="H376" i="1"/>
  <c r="I376" i="1" s="1"/>
  <c r="H149" i="1"/>
  <c r="I149" i="1" s="1"/>
  <c r="H1288" i="1"/>
  <c r="I1288" i="1" s="1"/>
  <c r="H1144" i="1"/>
  <c r="I1144" i="1" s="1"/>
  <c r="H998" i="1"/>
  <c r="I998" i="1" s="1"/>
  <c r="H841" i="1"/>
  <c r="I841" i="1" s="1"/>
  <c r="H684" i="1"/>
  <c r="I684" i="1" s="1"/>
  <c r="H500" i="1"/>
  <c r="I500" i="1" s="1"/>
  <c r="H122" i="1"/>
  <c r="I122" i="1" s="1"/>
  <c r="H668" i="1"/>
  <c r="I668" i="1" s="1"/>
  <c r="H481" i="1"/>
  <c r="I481" i="1" s="1"/>
  <c r="H291" i="1"/>
  <c r="I291" i="1" s="1"/>
  <c r="H979" i="1"/>
  <c r="I979" i="1" s="1"/>
  <c r="H835" i="1"/>
  <c r="I835" i="1" s="1"/>
  <c r="H691" i="1"/>
  <c r="I691" i="1" s="1"/>
  <c r="H524" i="1"/>
  <c r="I524" i="1" s="1"/>
  <c r="H350" i="1"/>
  <c r="I350" i="1" s="1"/>
  <c r="H178" i="1"/>
  <c r="I178" i="1" s="1"/>
  <c r="H679" i="1"/>
  <c r="I679" i="1" s="1"/>
  <c r="H535" i="1"/>
  <c r="I535" i="1" s="1"/>
  <c r="H391" i="1"/>
  <c r="I391" i="1" s="1"/>
  <c r="H247" i="1"/>
  <c r="I247" i="1" s="1"/>
  <c r="H103" i="1"/>
  <c r="I103" i="1" s="1"/>
  <c r="H606" i="1"/>
  <c r="I606" i="1" s="1"/>
  <c r="H318" i="1"/>
  <c r="I318" i="1" s="1"/>
  <c r="H174" i="1"/>
  <c r="I174" i="1" s="1"/>
  <c r="H30" i="1"/>
  <c r="I30" i="1" s="1"/>
  <c r="H1086" i="1"/>
  <c r="I1086" i="1" s="1"/>
  <c r="H1539" i="1"/>
  <c r="I1539" i="1" s="1"/>
  <c r="H862" i="1"/>
  <c r="I862" i="1" s="1"/>
  <c r="H1707" i="1"/>
  <c r="I1707" i="1" s="1"/>
  <c r="P54" i="1" l="1"/>
  <c r="S56" i="1"/>
  <c r="S57" i="1"/>
  <c r="R56" i="1"/>
  <c r="S54" i="1"/>
  <c r="Q56" i="1"/>
  <c r="R57" i="1"/>
  <c r="S58" i="1"/>
  <c r="R54" i="1"/>
  <c r="P56" i="1"/>
  <c r="Q57" i="1"/>
  <c r="S55" i="1"/>
  <c r="Q54" i="1"/>
  <c r="R58" i="1"/>
  <c r="P57" i="1"/>
  <c r="R55" i="1"/>
  <c r="Q58" i="1"/>
  <c r="Q55" i="1"/>
  <c r="P58" i="1"/>
  <c r="P55" i="1"/>
  <c r="P44" i="1" a="1"/>
  <c r="P44" i="1" s="1"/>
  <c r="R46" i="1" l="1"/>
  <c r="Q46" i="1"/>
  <c r="P46" i="1"/>
  <c r="P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<sst xmlns="http://schemas.openxmlformats.org/spreadsheetml/2006/main" count="86" uniqueCount="66">
  <si>
    <t>Price Data</t>
  </si>
  <si>
    <t>Market Capitalization as of 02/01/2015 (Billion $)</t>
  </si>
  <si>
    <t>Ford Motor Co</t>
  </si>
  <si>
    <t>Johnson &amp; Johnson</t>
  </si>
  <si>
    <t>JPMorgan Chase &amp; Co</t>
  </si>
  <si>
    <t>Dates</t>
  </si>
  <si>
    <t>F</t>
  </si>
  <si>
    <t>JNJ</t>
  </si>
  <si>
    <t>JPM</t>
  </si>
  <si>
    <t>Factors returns</t>
  </si>
  <si>
    <t>Mkt-RF</t>
  </si>
  <si>
    <t>SMB</t>
  </si>
  <si>
    <t>HML</t>
  </si>
  <si>
    <t>RMW</t>
  </si>
  <si>
    <t>CMA</t>
  </si>
  <si>
    <t>Initial weights as of 02/01/2015</t>
  </si>
  <si>
    <t>CWP Value</t>
  </si>
  <si>
    <t>v_t</t>
  </si>
  <si>
    <t>CWP Returns</t>
  </si>
  <si>
    <t>r_t</t>
  </si>
  <si>
    <t>RF returns</t>
  </si>
  <si>
    <t>Risk Free</t>
  </si>
  <si>
    <t>CWP Excess Returns</t>
  </si>
  <si>
    <t>~r_t = r_t - rf_t</t>
  </si>
  <si>
    <t>Net daily returns r_{i,t+1} = p_{i,t+1} / p_{i,t} - 1</t>
  </si>
  <si>
    <t>Number of working days per year :</t>
  </si>
  <si>
    <t>√Number of working days per year :</t>
  </si>
  <si>
    <t>Correlation matrix R :</t>
  </si>
  <si>
    <t>Σ = diag(σ) :</t>
  </si>
  <si>
    <t>Annualized risk free return :</t>
  </si>
  <si>
    <t>Estimated risk free return :</t>
  </si>
  <si>
    <t>Variance-covariance matrix Ω=ΣRΣ :</t>
  </si>
  <si>
    <t>Ω¯¹ :</t>
  </si>
  <si>
    <t>CWP weights on October 29, 2021 :</t>
  </si>
  <si>
    <t>C_i,t on October 29, 2021</t>
  </si>
  <si>
    <t>Ω¯¹μ efficient portfolio weights:</t>
  </si>
  <si>
    <t>e</t>
  </si>
  <si>
    <t>ω* :</t>
  </si>
  <si>
    <t>Estimation of the Fama-French 3 factors model</t>
  </si>
  <si>
    <t>Market-RF</t>
  </si>
  <si>
    <t>Alpha</t>
  </si>
  <si>
    <t>Value of estimated parameters</t>
  </si>
  <si>
    <t>Standard deviation</t>
  </si>
  <si>
    <t>Wald statistic W :</t>
  </si>
  <si>
    <t>Chi 2 distribution of degree 2, 95% quantile :</t>
  </si>
  <si>
    <t>Annualized estimated net excess returns</t>
  </si>
  <si>
    <t>Annualized estimated return µ</t>
  </si>
  <si>
    <t>Annualized estimated return σ</t>
  </si>
  <si>
    <t>Estimated volatility σ</t>
  </si>
  <si>
    <t>Estimated return µ</t>
  </si>
  <si>
    <t>Part 2 :</t>
  </si>
  <si>
    <t>π = λ Ω wC</t>
  </si>
  <si>
    <t>λ = eT Ω¯¹μ</t>
  </si>
  <si>
    <t>eT Ω¯¹μ :</t>
  </si>
  <si>
    <t>n :</t>
  </si>
  <si>
    <t>τ = 1/n :</t>
  </si>
  <si>
    <t>c :</t>
  </si>
  <si>
    <t>P :</t>
  </si>
  <si>
    <t>v :</t>
  </si>
  <si>
    <t>µ BL :</t>
  </si>
  <si>
    <t>(τ P Ω PT + Σ)¯¹ :</t>
  </si>
  <si>
    <t>Σ :</t>
  </si>
  <si>
    <t>τ P Ω PT + Σ :</t>
  </si>
  <si>
    <t>Ω :</t>
  </si>
  <si>
    <t>Ω BL :</t>
  </si>
  <si>
    <t>wΛ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</si>
</sst>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%"/>
    <numFmt numFmtId="165" formatCode="0.000000000"/>
    <numFmt numFmtId="166" formatCode="0.000000"/>
    <numFmt numFmtId="167" formatCode="0.0000"/>
    <numFmt numFmtId="168" formatCode="0.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>
        <fgColor auto="1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0">
    <xf numFmtId="0" fontId="0" fillId="0" borderId="0" xfId="0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4" fontId="3" fillId="0" borderId="0" xfId="0" applyNumberFormat="1" applyFont="1"/>
    <xf numFmtId="0" fontId="4" fillId="0" borderId="0" xfId="0" applyFont="1"/>
    <xf numFmtId="14" fontId="0" fillId="0" borderId="1" xfId="0" applyNumberFormat="1" applyBorder="1"/>
    <xf numFmtId="0" fontId="0" fillId="0" borderId="1" xfId="0" applyBorder="1"/>
    <xf numFmtId="4" fontId="0" fillId="0" borderId="0" xfId="0" applyNumberFormat="1"/>
    <xf numFmtId="0" fontId="0" fillId="2" borderId="0" xfId="0" applyFill="1"/>
    <xf numFmtId="4" fontId="2" fillId="0" borderId="0" xfId="0" applyNumberFormat="1" applyFont="1"/>
    <xf numFmtId="0" fontId="1" fillId="0" borderId="1" xfId="0" applyFont="1" applyBorder="1"/>
    <xf numFmtId="4" fontId="3" fillId="0" borderId="1" xfId="0" applyNumberFormat="1" applyFont="1" applyBorder="1"/>
    <xf numFmtId="4" fontId="1" fillId="0" borderId="0" xfId="0" applyNumberFormat="1" applyFont="1"/>
    <xf numFmtId="0" fontId="0" fillId="0" borderId="2" xfId="0" applyBorder="1"/>
    <xf numFmtId="0" fontId="0" fillId="0" borderId="3" xfId="0" applyBorder="1"/>
    <xf numFmtId="10" fontId="0" fillId="0" borderId="0" xfId="1" applyNumberFormat="1" applyFont="1"/>
    <xf numFmtId="166" fontId="0" fillId="0" borderId="0" xfId="0" applyNumberFormat="1"/>
    <xf numFmtId="10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0" xfId="0" applyNumberFormat="1"/>
    <xf numFmtId="0" fontId="0" fillId="0" borderId="8" xfId="0" applyBorder="1"/>
    <xf numFmtId="10" fontId="0" fillId="0" borderId="3" xfId="0" applyNumberFormat="1" applyBorder="1"/>
    <xf numFmtId="0" fontId="0" fillId="0" borderId="4" xfId="0" applyBorder="1"/>
    <xf numFmtId="4" fontId="3" fillId="0" borderId="9" xfId="0" applyNumberFormat="1" applyFont="1" applyBorder="1"/>
    <xf numFmtId="4" fontId="3" fillId="0" borderId="10" xfId="0" applyNumberFormat="1" applyFont="1" applyBorder="1"/>
    <xf numFmtId="4" fontId="3" fillId="0" borderId="11" xfId="0" applyNumberFormat="1" applyFont="1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64" fontId="0" fillId="0" borderId="2" xfId="1" applyNumberFormat="1" applyFont="1" applyBorder="1"/>
    <xf numFmtId="10" fontId="0" fillId="0" borderId="7" xfId="1" applyNumberFormat="1" applyFont="1" applyBorder="1"/>
    <xf numFmtId="10" fontId="0" fillId="0" borderId="0" xfId="1" applyNumberFormat="1" applyFont="1" applyBorder="1"/>
    <xf numFmtId="10" fontId="0" fillId="0" borderId="2" xfId="1" applyNumberFormat="1" applyFont="1" applyBorder="1"/>
    <xf numFmtId="10" fontId="0" fillId="0" borderId="8" xfId="1" applyNumberFormat="1" applyFont="1" applyBorder="1"/>
    <xf numFmtId="10" fontId="0" fillId="0" borderId="1" xfId="1" applyNumberFormat="1" applyFont="1" applyBorder="1"/>
    <xf numFmtId="10" fontId="0" fillId="0" borderId="3" xfId="1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13" xfId="0" applyBorder="1"/>
    <xf numFmtId="0" fontId="0" fillId="0" borderId="14" xfId="0" applyBorder="1"/>
    <xf numFmtId="165" fontId="0" fillId="0" borderId="12" xfId="1" applyNumberFormat="1" applyFont="1" applyBorder="1"/>
    <xf numFmtId="0" fontId="6" fillId="0" borderId="0" xfId="0" applyFont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5" xfId="0" applyBorder="1"/>
    <xf numFmtId="0" fontId="2" fillId="0" borderId="3" xfId="0" applyFont="1" applyBorder="1"/>
    <xf numFmtId="167" fontId="0" fillId="0" borderId="7" xfId="0" applyNumberFormat="1" applyBorder="1"/>
    <xf numFmtId="167" fontId="0" fillId="0" borderId="0" xfId="0" applyNumberFormat="1"/>
    <xf numFmtId="167" fontId="0" fillId="0" borderId="2" xfId="0" applyNumberFormat="1" applyBorder="1"/>
    <xf numFmtId="167" fontId="0" fillId="0" borderId="8" xfId="0" applyNumberFormat="1" applyBorder="1"/>
    <xf numFmtId="167" fontId="0" fillId="0" borderId="1" xfId="0" applyNumberFormat="1" applyBorder="1"/>
    <xf numFmtId="167" fontId="0" fillId="0" borderId="3" xfId="0" applyNumberFormat="1" applyBorder="1"/>
    <xf numFmtId="0" fontId="0" fillId="0" borderId="12" xfId="0" applyBorder="1"/>
    <xf numFmtId="0" fontId="2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0" fontId="2" fillId="0" borderId="15" xfId="0" applyFont="1" applyBorder="1"/>
    <xf numFmtId="168" fontId="0" fillId="0" borderId="12" xfId="1" applyNumberFormat="1" applyFont="1" applyBorder="1"/>
    <xf numFmtId="168" fontId="0" fillId="0" borderId="13" xfId="1" applyNumberFormat="1" applyFont="1" applyBorder="1"/>
    <xf numFmtId="168" fontId="0" fillId="0" borderId="14" xfId="1" applyNumberFormat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23"/>
  <sheetViews>
    <sheetView showGridLines="0" tabSelected="1" topLeftCell="I84" workbookViewId="0">
      <selection activeCell="R91" sqref="R91"/>
    </sheetView>
  </sheetViews>
  <sheetFormatPr baseColWidth="10" defaultColWidth="9.109375" defaultRowHeight="14.4" x14ac:dyDescent="0.3"/>
  <cols>
    <col min="1" max="1" width="10.44140625" style="3" bestFit="1" customWidth="1"/>
    <col min="2" max="2" width="13.109375" customWidth="1"/>
    <col min="3" max="3" width="17.109375" bestFit="1" customWidth="1"/>
    <col min="4" max="4" width="19.33203125" bestFit="1" customWidth="1"/>
    <col min="5" max="5" width="9.44140625" bestFit="1" customWidth="1"/>
    <col min="6" max="6" width="9.44140625" customWidth="1"/>
    <col min="7" max="7" width="11.21875" customWidth="1"/>
    <col min="8" max="8" width="12.5546875" customWidth="1"/>
    <col min="9" max="9" width="18" customWidth="1"/>
    <col min="10" max="10" width="9.44140625" customWidth="1"/>
    <col min="11" max="11" width="14.33203125" customWidth="1"/>
    <col min="12" max="12" width="16.77734375" customWidth="1"/>
    <col min="13" max="14" width="19.44140625" customWidth="1"/>
    <col min="15" max="15" width="39.88671875" customWidth="1"/>
    <col min="16" max="16" width="16.21875" customWidth="1"/>
    <col min="17" max="17" width="18.88671875" customWidth="1"/>
    <col min="18" max="18" width="20.44140625" customWidth="1"/>
    <col min="19" max="19" width="13.109375" bestFit="1" customWidth="1"/>
    <col min="20" max="22" width="9.109375" customWidth="1"/>
  </cols>
  <sheetData>
    <row r="1" spans="1:20" x14ac:dyDescent="0.3">
      <c r="A1" s="1" t="s">
        <v>0</v>
      </c>
      <c r="K1" s="2" t="s">
        <v>24</v>
      </c>
      <c r="P1" s="2" t="s">
        <v>1</v>
      </c>
      <c r="T1" s="2"/>
    </row>
    <row r="2" spans="1:20" x14ac:dyDescent="0.3">
      <c r="B2" s="4" t="s">
        <v>2</v>
      </c>
      <c r="C2" s="4" t="s">
        <v>3</v>
      </c>
      <c r="D2" s="4" t="s">
        <v>4</v>
      </c>
      <c r="E2" s="4" t="s">
        <v>21</v>
      </c>
      <c r="F2" s="5"/>
      <c r="G2" s="4" t="s">
        <v>16</v>
      </c>
      <c r="H2" s="4" t="s">
        <v>18</v>
      </c>
      <c r="I2" s="4" t="s">
        <v>22</v>
      </c>
      <c r="J2" s="5"/>
      <c r="K2" s="4" t="s">
        <v>2</v>
      </c>
      <c r="L2" s="4" t="s">
        <v>3</v>
      </c>
      <c r="M2" s="4" t="s">
        <v>4</v>
      </c>
      <c r="N2" s="4"/>
      <c r="O2" s="5"/>
      <c r="P2" s="4" t="s">
        <v>2</v>
      </c>
      <c r="Q2" s="4" t="s">
        <v>3</v>
      </c>
      <c r="R2" s="4" t="s">
        <v>4</v>
      </c>
    </row>
    <row r="3" spans="1:20" x14ac:dyDescent="0.3">
      <c r="A3" s="6" t="s">
        <v>5</v>
      </c>
      <c r="B3" s="7" t="s">
        <v>6</v>
      </c>
      <c r="C3" s="7" t="s">
        <v>7</v>
      </c>
      <c r="D3" s="7" t="s">
        <v>8</v>
      </c>
      <c r="E3" s="7" t="s">
        <v>20</v>
      </c>
      <c r="G3" t="s">
        <v>17</v>
      </c>
      <c r="H3" t="s">
        <v>19</v>
      </c>
      <c r="I3" t="s">
        <v>23</v>
      </c>
      <c r="K3" s="7" t="s">
        <v>6</v>
      </c>
      <c r="L3" s="7" t="s">
        <v>7</v>
      </c>
      <c r="M3" s="7" t="s">
        <v>8</v>
      </c>
      <c r="P3" s="7" t="s">
        <v>6</v>
      </c>
      <c r="Q3" s="7" t="s">
        <v>7</v>
      </c>
      <c r="R3" s="7" t="s">
        <v>8</v>
      </c>
    </row>
    <row r="4" spans="1:20" x14ac:dyDescent="0.3">
      <c r="A4" s="3">
        <v>42006</v>
      </c>
      <c r="B4" s="8">
        <v>14.878871874478079</v>
      </c>
      <c r="C4" s="8">
        <v>104.52</v>
      </c>
      <c r="D4" s="8">
        <v>62.49</v>
      </c>
      <c r="E4" s="9"/>
      <c r="G4" s="13">
        <v>100</v>
      </c>
      <c r="H4" s="9"/>
      <c r="I4" s="9"/>
      <c r="K4" s="9"/>
      <c r="L4" s="9"/>
      <c r="M4" s="9"/>
      <c r="P4" s="8">
        <v>56.614191904069997</v>
      </c>
      <c r="Q4" s="8">
        <v>280.30291165068002</v>
      </c>
      <c r="R4" s="8">
        <v>203.28270400748002</v>
      </c>
      <c r="T4" s="8"/>
    </row>
    <row r="5" spans="1:20" x14ac:dyDescent="0.3">
      <c r="A5" s="3">
        <v>42009</v>
      </c>
      <c r="B5" s="8">
        <v>14.297665941881279</v>
      </c>
      <c r="C5" s="8">
        <v>103.79</v>
      </c>
      <c r="D5" s="8">
        <v>60.55</v>
      </c>
      <c r="E5">
        <v>0</v>
      </c>
      <c r="G5">
        <f t="shared" ref="G5:G68" si="0">$G$4*(B5*$P$8/B4 + C5*$Q$8/C4 + D5*$R$8/D4)</f>
        <v>98.059955073507524</v>
      </c>
      <c r="H5">
        <f t="shared" ref="H5:H68" si="1">G5/G4-1</f>
        <v>-1.9400449264924791E-2</v>
      </c>
      <c r="I5">
        <f>H5-E5</f>
        <v>-1.9400449264924791E-2</v>
      </c>
      <c r="K5">
        <f>B5/B4-1</f>
        <v>-3.90625E-2</v>
      </c>
      <c r="L5">
        <f t="shared" ref="L5:M5" si="2">C5/C4-1</f>
        <v>-6.9843092231151038E-3</v>
      </c>
      <c r="M5">
        <f t="shared" si="2"/>
        <v>-3.104496719475125E-2</v>
      </c>
      <c r="P5" s="8"/>
      <c r="Q5" s="8"/>
      <c r="R5" s="8"/>
    </row>
    <row r="6" spans="1:20" x14ac:dyDescent="0.3">
      <c r="A6" s="3">
        <v>42010</v>
      </c>
      <c r="B6" s="8">
        <v>14.162051224275359</v>
      </c>
      <c r="C6" s="8">
        <v>103.28</v>
      </c>
      <c r="D6" s="8">
        <v>58.98</v>
      </c>
      <c r="E6">
        <v>0</v>
      </c>
      <c r="G6">
        <f t="shared" si="0"/>
        <v>98.669890575305232</v>
      </c>
      <c r="H6">
        <f t="shared" si="1"/>
        <v>6.2200263230844932E-3</v>
      </c>
      <c r="I6">
        <f t="shared" ref="I6:I69" si="3">H6-E6</f>
        <v>6.2200263230844932E-3</v>
      </c>
      <c r="K6">
        <f t="shared" ref="K6:K69" si="4">B6/B5-1</f>
        <v>-9.4850948509485056E-3</v>
      </c>
      <c r="L6">
        <f t="shared" ref="L6:L69" si="5">C6/C5-1</f>
        <v>-4.913768185759726E-3</v>
      </c>
      <c r="M6">
        <f t="shared" ref="M6:M69" si="6">D6/D5-1</f>
        <v>-2.592898431048718E-2</v>
      </c>
      <c r="P6" s="2" t="s">
        <v>15</v>
      </c>
    </row>
    <row r="7" spans="1:20" x14ac:dyDescent="0.3">
      <c r="A7" s="3">
        <v>42011</v>
      </c>
      <c r="B7" s="8">
        <v>14.568895377093119</v>
      </c>
      <c r="C7" s="8">
        <v>105.56</v>
      </c>
      <c r="D7" s="8">
        <v>59.07</v>
      </c>
      <c r="E7">
        <v>0</v>
      </c>
      <c r="G7">
        <f t="shared" si="0"/>
        <v>101.50398772522611</v>
      </c>
      <c r="H7">
        <f t="shared" si="1"/>
        <v>2.8723019083089829E-2</v>
      </c>
      <c r="I7">
        <f t="shared" si="3"/>
        <v>2.8723019083089829E-2</v>
      </c>
      <c r="K7">
        <f t="shared" si="4"/>
        <v>2.8727770177838563E-2</v>
      </c>
      <c r="L7">
        <f t="shared" si="5"/>
        <v>2.2075910147172806E-2</v>
      </c>
      <c r="M7">
        <f t="shared" si="6"/>
        <v>1.5259409969481386E-3</v>
      </c>
      <c r="P7" s="12" t="s">
        <v>2</v>
      </c>
      <c r="Q7" s="12" t="s">
        <v>3</v>
      </c>
      <c r="R7" s="12" t="s">
        <v>4</v>
      </c>
    </row>
    <row r="8" spans="1:20" x14ac:dyDescent="0.3">
      <c r="A8" s="3">
        <v>42012</v>
      </c>
      <c r="B8" s="8">
        <v>14.93699246773776</v>
      </c>
      <c r="C8" s="8">
        <v>106.39</v>
      </c>
      <c r="D8" s="8">
        <v>60.39</v>
      </c>
      <c r="E8">
        <v>0</v>
      </c>
      <c r="G8">
        <f t="shared" si="0"/>
        <v>101.5137019969286</v>
      </c>
      <c r="H8">
        <f t="shared" si="1"/>
        <v>9.5703350382558838E-5</v>
      </c>
      <c r="I8">
        <f t="shared" si="3"/>
        <v>9.5703350382558838E-5</v>
      </c>
      <c r="K8">
        <f t="shared" si="4"/>
        <v>2.5265957446808596E-2</v>
      </c>
      <c r="L8">
        <f t="shared" si="5"/>
        <v>7.8628268283440494E-3</v>
      </c>
      <c r="M8">
        <f t="shared" si="6"/>
        <v>2.2346368715083775E-2</v>
      </c>
      <c r="P8">
        <f>P4/SUM($P$4:$R$4)</f>
        <v>0.10480231779339934</v>
      </c>
      <c r="Q8">
        <f>Q4/SUM($P$4:$R$4)</f>
        <v>0.51888747038916638</v>
      </c>
      <c r="R8">
        <f>R4/SUM($P$4:$R$4)</f>
        <v>0.37631021181743429</v>
      </c>
    </row>
    <row r="9" spans="1:20" x14ac:dyDescent="0.3">
      <c r="A9" s="3">
        <v>42013</v>
      </c>
      <c r="B9" s="8">
        <v>14.733570391328881</v>
      </c>
      <c r="C9" s="8">
        <v>104.94</v>
      </c>
      <c r="D9" s="8">
        <v>59.34</v>
      </c>
      <c r="E9">
        <v>0</v>
      </c>
      <c r="G9">
        <f t="shared" si="0"/>
        <v>98.495786175148552</v>
      </c>
      <c r="H9">
        <f t="shared" si="1"/>
        <v>-2.972914751814848E-2</v>
      </c>
      <c r="I9">
        <f t="shared" si="3"/>
        <v>-2.972914751814848E-2</v>
      </c>
      <c r="K9">
        <f t="shared" si="4"/>
        <v>-1.3618677042801508E-2</v>
      </c>
      <c r="L9">
        <f t="shared" si="5"/>
        <v>-1.3629100479368383E-2</v>
      </c>
      <c r="M9">
        <f t="shared" si="6"/>
        <v>-1.7386984600099353E-2</v>
      </c>
    </row>
    <row r="10" spans="1:20" x14ac:dyDescent="0.3">
      <c r="A10" s="3">
        <v>42016</v>
      </c>
      <c r="B10" s="8">
        <v>14.74325715687216</v>
      </c>
      <c r="C10" s="8">
        <v>104.58</v>
      </c>
      <c r="D10" s="8">
        <v>58.83</v>
      </c>
      <c r="E10">
        <v>0</v>
      </c>
      <c r="G10">
        <f t="shared" si="0"/>
        <v>99.505463048422627</v>
      </c>
      <c r="H10">
        <f t="shared" si="1"/>
        <v>1.0250965167978077E-2</v>
      </c>
      <c r="I10">
        <f t="shared" si="3"/>
        <v>1.0250965167978077E-2</v>
      </c>
      <c r="K10">
        <f t="shared" si="4"/>
        <v>6.5746219592366373E-4</v>
      </c>
      <c r="L10">
        <f t="shared" si="5"/>
        <v>-3.4305317324184736E-3</v>
      </c>
      <c r="M10">
        <f t="shared" si="6"/>
        <v>-8.5945399393327904E-3</v>
      </c>
      <c r="O10" t="s">
        <v>25</v>
      </c>
      <c r="P10">
        <v>252</v>
      </c>
    </row>
    <row r="11" spans="1:20" x14ac:dyDescent="0.3">
      <c r="A11" s="3">
        <v>42017</v>
      </c>
      <c r="B11" s="8">
        <v>14.733570391328881</v>
      </c>
      <c r="C11" s="8">
        <v>104.76</v>
      </c>
      <c r="D11" s="8">
        <v>58.84</v>
      </c>
      <c r="E11">
        <v>0</v>
      </c>
      <c r="G11">
        <f t="shared" si="0"/>
        <v>100.08882011623319</v>
      </c>
      <c r="H11">
        <f t="shared" si="1"/>
        <v>5.8625632195359323E-3</v>
      </c>
      <c r="I11">
        <f t="shared" si="3"/>
        <v>5.8625632195359323E-3</v>
      </c>
      <c r="K11">
        <f t="shared" si="4"/>
        <v>-6.5703022339014261E-4</v>
      </c>
      <c r="L11">
        <f t="shared" si="5"/>
        <v>1.7211703958692759E-3</v>
      </c>
      <c r="M11">
        <f t="shared" si="6"/>
        <v>1.6998130205680972E-4</v>
      </c>
      <c r="O11" t="s">
        <v>26</v>
      </c>
      <c r="P11">
        <f>SQRT(P10)</f>
        <v>15.874507866387544</v>
      </c>
    </row>
    <row r="12" spans="1:20" x14ac:dyDescent="0.3">
      <c r="A12" s="3">
        <v>42018</v>
      </c>
      <c r="B12" s="8">
        <v>14.63670273589608</v>
      </c>
      <c r="C12" s="8">
        <v>104</v>
      </c>
      <c r="D12" s="8">
        <v>56.81</v>
      </c>
      <c r="E12">
        <v>0</v>
      </c>
      <c r="G12">
        <f t="shared" si="0"/>
        <v>98.256377298003471</v>
      </c>
      <c r="H12">
        <f t="shared" si="1"/>
        <v>-1.8308166847223362E-2</v>
      </c>
      <c r="I12">
        <f t="shared" si="3"/>
        <v>-1.8308166847223362E-2</v>
      </c>
      <c r="K12">
        <f t="shared" si="4"/>
        <v>-6.5746219592374144E-3</v>
      </c>
      <c r="L12">
        <f t="shared" si="5"/>
        <v>-7.2546773577701895E-3</v>
      </c>
      <c r="M12">
        <f t="shared" si="6"/>
        <v>-3.4500339904826705E-2</v>
      </c>
    </row>
    <row r="13" spans="1:20" x14ac:dyDescent="0.3">
      <c r="A13" s="3">
        <v>42019</v>
      </c>
      <c r="B13" s="8">
        <v>14.394533597314078</v>
      </c>
      <c r="C13" s="8">
        <v>102.49</v>
      </c>
      <c r="D13" s="8">
        <v>54.99</v>
      </c>
      <c r="E13">
        <v>0</v>
      </c>
      <c r="G13">
        <f t="shared" si="0"/>
        <v>97.867645897326355</v>
      </c>
      <c r="H13">
        <f t="shared" si="1"/>
        <v>-3.9562968976367685E-3</v>
      </c>
      <c r="I13">
        <f t="shared" si="3"/>
        <v>-3.9562968976367685E-3</v>
      </c>
      <c r="K13">
        <f t="shared" si="4"/>
        <v>-1.6545334215751217E-2</v>
      </c>
      <c r="L13">
        <f t="shared" si="5"/>
        <v>-1.4519230769230784E-2</v>
      </c>
      <c r="M13">
        <f t="shared" si="6"/>
        <v>-3.2036613272311221E-2</v>
      </c>
      <c r="P13" s="26" t="s">
        <v>2</v>
      </c>
      <c r="Q13" s="27" t="s">
        <v>3</v>
      </c>
      <c r="R13" s="28" t="s">
        <v>4</v>
      </c>
    </row>
    <row r="14" spans="1:20" x14ac:dyDescent="0.3">
      <c r="A14" s="3">
        <v>42020</v>
      </c>
      <c r="B14" s="8">
        <v>14.549521846006559</v>
      </c>
      <c r="C14" s="8">
        <v>104.04</v>
      </c>
      <c r="D14" s="8">
        <v>55.93</v>
      </c>
      <c r="E14">
        <v>0</v>
      </c>
      <c r="G14">
        <f t="shared" si="0"/>
        <v>101.54084331458473</v>
      </c>
      <c r="H14">
        <f t="shared" si="1"/>
        <v>3.7532295618022182E-2</v>
      </c>
      <c r="I14">
        <f t="shared" si="3"/>
        <v>3.7532295618022182E-2</v>
      </c>
      <c r="K14">
        <f t="shared" si="4"/>
        <v>1.0767160161507583E-2</v>
      </c>
      <c r="L14">
        <f t="shared" si="5"/>
        <v>1.5123426675773377E-2</v>
      </c>
      <c r="M14">
        <f t="shared" si="6"/>
        <v>1.7094017094017033E-2</v>
      </c>
      <c r="O14" s="38" t="s">
        <v>49</v>
      </c>
      <c r="P14" s="29">
        <f>AVERAGE(K5:K1723)</f>
        <v>2.9998505841402173E-4</v>
      </c>
      <c r="Q14" s="30">
        <f>AVERAGE(L5:L1723)</f>
        <v>3.2877913821031496E-4</v>
      </c>
      <c r="R14" s="31">
        <f>AVERAGE(M5:M1723)</f>
        <v>7.4332532762024699E-4</v>
      </c>
    </row>
    <row r="15" spans="1:20" x14ac:dyDescent="0.3">
      <c r="A15" s="3">
        <v>42024</v>
      </c>
      <c r="B15" s="8">
        <v>14.539835080463279</v>
      </c>
      <c r="C15" s="8">
        <v>101.29</v>
      </c>
      <c r="D15" s="8">
        <v>55.71</v>
      </c>
      <c r="E15">
        <v>0</v>
      </c>
      <c r="G15">
        <f t="shared" si="0"/>
        <v>98.473470597889474</v>
      </c>
      <c r="H15">
        <f t="shared" si="1"/>
        <v>-3.0208265133195744E-2</v>
      </c>
      <c r="I15">
        <f t="shared" si="3"/>
        <v>-3.0208265133195744E-2</v>
      </c>
      <c r="K15">
        <f t="shared" si="4"/>
        <v>-6.6577896138486636E-4</v>
      </c>
      <c r="L15">
        <f t="shared" si="5"/>
        <v>-2.6432141484044602E-2</v>
      </c>
      <c r="M15">
        <f t="shared" si="6"/>
        <v>-3.9334882889325851E-3</v>
      </c>
      <c r="O15" s="39" t="s">
        <v>48</v>
      </c>
      <c r="P15" s="32">
        <f>STDEV(K5:K1723)</f>
        <v>2.1057919195290375E-2</v>
      </c>
      <c r="Q15" s="33">
        <f>STDEV(L5:L1723)</f>
        <v>1.1873350344847768E-2</v>
      </c>
      <c r="R15" s="34">
        <f>STDEV(M5:M1723)</f>
        <v>1.7989617706592707E-2</v>
      </c>
    </row>
    <row r="16" spans="1:20" x14ac:dyDescent="0.3">
      <c r="A16" s="3">
        <v>42025</v>
      </c>
      <c r="B16" s="8">
        <v>14.50108801829016</v>
      </c>
      <c r="C16" s="8">
        <v>101.9</v>
      </c>
      <c r="D16" s="8">
        <v>55.89</v>
      </c>
      <c r="E16">
        <v>0</v>
      </c>
      <c r="G16">
        <f t="shared" si="0"/>
        <v>100.40614806546205</v>
      </c>
      <c r="H16">
        <f t="shared" si="1"/>
        <v>1.9626377092613501E-2</v>
      </c>
      <c r="I16">
        <f t="shared" si="3"/>
        <v>1.9626377092613501E-2</v>
      </c>
      <c r="K16">
        <f t="shared" si="4"/>
        <v>-2.6648900732844094E-3</v>
      </c>
      <c r="L16">
        <f t="shared" si="5"/>
        <v>6.0223121729687801E-3</v>
      </c>
      <c r="M16">
        <f t="shared" si="6"/>
        <v>3.2310177705976439E-3</v>
      </c>
      <c r="O16" s="39" t="s">
        <v>46</v>
      </c>
      <c r="P16" s="32">
        <f>$P$10*P14</f>
        <v>7.5596234720333472E-2</v>
      </c>
      <c r="Q16" s="33">
        <f t="shared" ref="Q16:R16" si="7">$P$10*Q14</f>
        <v>8.2852342828999365E-2</v>
      </c>
      <c r="R16" s="34">
        <f t="shared" si="7"/>
        <v>0.18731798256030224</v>
      </c>
    </row>
    <row r="17" spans="1:18" x14ac:dyDescent="0.3">
      <c r="A17" s="3">
        <v>42026</v>
      </c>
      <c r="B17" s="8">
        <v>14.55920861154984</v>
      </c>
      <c r="C17" s="8">
        <v>103.76</v>
      </c>
      <c r="D17" s="8">
        <v>57.59</v>
      </c>
      <c r="E17">
        <v>0</v>
      </c>
      <c r="G17">
        <f t="shared" si="0"/>
        <v>102.13375870841762</v>
      </c>
      <c r="H17">
        <f t="shared" si="1"/>
        <v>1.7206223684920197E-2</v>
      </c>
      <c r="I17">
        <f t="shared" si="3"/>
        <v>1.7206223684920197E-2</v>
      </c>
      <c r="K17">
        <f t="shared" si="4"/>
        <v>4.0080160320641323E-3</v>
      </c>
      <c r="L17">
        <f t="shared" si="5"/>
        <v>1.8253189401373993E-2</v>
      </c>
      <c r="M17">
        <f t="shared" si="6"/>
        <v>3.041689032027195E-2</v>
      </c>
      <c r="O17" s="40" t="s">
        <v>47</v>
      </c>
      <c r="P17" s="35">
        <f>$P$11*P15</f>
        <v>0.33428410391539032</v>
      </c>
      <c r="Q17" s="36">
        <f t="shared" ref="Q17:R17" si="8">$P$11*Q15</f>
        <v>0.18848359344966115</v>
      </c>
      <c r="R17" s="37">
        <f t="shared" si="8"/>
        <v>0.28557632779661057</v>
      </c>
    </row>
    <row r="18" spans="1:18" x14ac:dyDescent="0.3">
      <c r="A18" s="3">
        <v>42027</v>
      </c>
      <c r="B18" s="8">
        <v>14.44296742503048</v>
      </c>
      <c r="C18" s="8">
        <v>102.2</v>
      </c>
      <c r="D18" s="8">
        <v>56.68</v>
      </c>
      <c r="E18">
        <v>0</v>
      </c>
      <c r="G18">
        <f t="shared" si="0"/>
        <v>98.541572883514931</v>
      </c>
      <c r="H18">
        <f t="shared" si="1"/>
        <v>-3.5171385742867267E-2</v>
      </c>
      <c r="I18">
        <f t="shared" si="3"/>
        <v>-3.5171385742867267E-2</v>
      </c>
      <c r="K18">
        <f t="shared" si="4"/>
        <v>-7.9840319361277334E-3</v>
      </c>
      <c r="L18">
        <f t="shared" si="5"/>
        <v>-1.5034695451040858E-2</v>
      </c>
      <c r="M18">
        <f t="shared" si="6"/>
        <v>-1.5801354401805967E-2</v>
      </c>
    </row>
    <row r="19" spans="1:18" x14ac:dyDescent="0.3">
      <c r="A19" s="3">
        <v>42030</v>
      </c>
      <c r="B19" s="8">
        <v>14.60764243926624</v>
      </c>
      <c r="C19" s="8">
        <v>102.26</v>
      </c>
      <c r="D19" s="8">
        <v>56.77</v>
      </c>
      <c r="E19">
        <v>0</v>
      </c>
      <c r="G19">
        <f t="shared" si="0"/>
        <v>100.20970883505467</v>
      </c>
      <c r="H19">
        <f t="shared" si="1"/>
        <v>1.6928245640158712E-2</v>
      </c>
      <c r="I19">
        <f t="shared" si="3"/>
        <v>1.6928245640158712E-2</v>
      </c>
      <c r="K19">
        <f t="shared" si="4"/>
        <v>1.1401743796110031E-2</v>
      </c>
      <c r="L19">
        <f t="shared" si="5"/>
        <v>5.8708414872810089E-4</v>
      </c>
      <c r="M19">
        <f t="shared" si="6"/>
        <v>1.5878616796047851E-3</v>
      </c>
      <c r="O19" s="2" t="s">
        <v>30</v>
      </c>
      <c r="P19" s="30">
        <f>AVERAGE(E5:E1723)</f>
        <v>3.0878417684700356E-5</v>
      </c>
    </row>
    <row r="20" spans="1:18" x14ac:dyDescent="0.3">
      <c r="A20" s="3">
        <v>42031</v>
      </c>
      <c r="B20" s="8">
        <v>14.384846831770799</v>
      </c>
      <c r="C20" s="8">
        <v>102.09</v>
      </c>
      <c r="D20" s="8">
        <v>56.2</v>
      </c>
      <c r="E20">
        <v>0</v>
      </c>
      <c r="G20">
        <f t="shared" si="0"/>
        <v>99.376059444526049</v>
      </c>
      <c r="H20">
        <f t="shared" si="1"/>
        <v>-8.3190481263727412E-3</v>
      </c>
      <c r="I20">
        <f t="shared" si="3"/>
        <v>-8.3190481263727412E-3</v>
      </c>
      <c r="K20">
        <f t="shared" si="4"/>
        <v>-1.5251989389920451E-2</v>
      </c>
      <c r="L20">
        <f t="shared" si="5"/>
        <v>-1.6624291022883098E-3</v>
      </c>
      <c r="M20">
        <f t="shared" si="6"/>
        <v>-1.0040514356174035E-2</v>
      </c>
      <c r="O20" s="2" t="s">
        <v>29</v>
      </c>
      <c r="P20" s="16">
        <f>P10*P19</f>
        <v>7.7813612565444893E-3</v>
      </c>
    </row>
    <row r="21" spans="1:18" x14ac:dyDescent="0.3">
      <c r="A21" s="3">
        <v>42032</v>
      </c>
      <c r="B21" s="8">
        <v>14.007062975582881</v>
      </c>
      <c r="C21" s="8">
        <v>101.48</v>
      </c>
      <c r="D21" s="8">
        <v>54.75</v>
      </c>
      <c r="E21">
        <v>0</v>
      </c>
      <c r="G21">
        <f t="shared" si="0"/>
        <v>98.443812969698996</v>
      </c>
      <c r="H21">
        <f t="shared" si="1"/>
        <v>-9.3809965905062853E-3</v>
      </c>
      <c r="I21">
        <f t="shared" si="3"/>
        <v>-9.3809965905062853E-3</v>
      </c>
      <c r="K21">
        <f t="shared" si="4"/>
        <v>-2.6262626262626099E-2</v>
      </c>
      <c r="L21">
        <f t="shared" si="5"/>
        <v>-5.9751199921638243E-3</v>
      </c>
      <c r="M21">
        <f t="shared" si="6"/>
        <v>-2.5800711743772298E-2</v>
      </c>
    </row>
    <row r="22" spans="1:18" x14ac:dyDescent="0.3">
      <c r="A22" s="3">
        <v>42033</v>
      </c>
      <c r="B22" s="8">
        <v>14.384846831770799</v>
      </c>
      <c r="C22" s="8">
        <v>102.38</v>
      </c>
      <c r="D22" s="8">
        <v>55.67</v>
      </c>
      <c r="E22">
        <v>0</v>
      </c>
      <c r="G22">
        <f t="shared" si="0"/>
        <v>101.37518841555205</v>
      </c>
      <c r="H22">
        <f t="shared" si="1"/>
        <v>2.9777142487921848E-2</v>
      </c>
      <c r="I22">
        <f t="shared" si="3"/>
        <v>2.9777142487921848E-2</v>
      </c>
      <c r="K22">
        <f t="shared" si="4"/>
        <v>2.6970954356846377E-2</v>
      </c>
      <c r="L22">
        <f t="shared" si="5"/>
        <v>8.8687426093809751E-3</v>
      </c>
      <c r="M22">
        <f t="shared" si="6"/>
        <v>1.6803652968036653E-2</v>
      </c>
      <c r="O22" s="41" t="s">
        <v>45</v>
      </c>
      <c r="P22" s="42">
        <f>P16-$P$20</f>
        <v>6.7814873463788977E-2</v>
      </c>
      <c r="Q22" s="42">
        <f t="shared" ref="Q22:R22" si="9">Q16-$P$20</f>
        <v>7.507098157245487E-2</v>
      </c>
      <c r="R22" s="43">
        <f t="shared" si="9"/>
        <v>0.17953662130375775</v>
      </c>
    </row>
    <row r="23" spans="1:18" x14ac:dyDescent="0.3">
      <c r="A23" s="3">
        <v>42034</v>
      </c>
      <c r="B23" s="8">
        <v>14.249232114164881</v>
      </c>
      <c r="C23" s="8">
        <v>100.14</v>
      </c>
      <c r="D23" s="8">
        <v>54.38</v>
      </c>
      <c r="E23">
        <v>0</v>
      </c>
      <c r="G23">
        <f t="shared" si="0"/>
        <v>97.893912390564736</v>
      </c>
      <c r="H23">
        <f t="shared" si="1"/>
        <v>-3.434051348656475E-2</v>
      </c>
      <c r="I23">
        <f t="shared" si="3"/>
        <v>-3.434051348656475E-2</v>
      </c>
      <c r="K23">
        <f t="shared" si="4"/>
        <v>-9.4276094276093403E-3</v>
      </c>
      <c r="L23">
        <f t="shared" si="5"/>
        <v>-2.1879273295565493E-2</v>
      </c>
      <c r="M23">
        <f t="shared" si="6"/>
        <v>-2.317226513382431E-2</v>
      </c>
    </row>
    <row r="24" spans="1:18" x14ac:dyDescent="0.3">
      <c r="A24" s="3">
        <v>42037</v>
      </c>
      <c r="B24" s="8">
        <v>14.791690984588561</v>
      </c>
      <c r="C24" s="8">
        <v>100.83</v>
      </c>
      <c r="D24" s="8">
        <v>55.47</v>
      </c>
      <c r="E24">
        <v>0</v>
      </c>
      <c r="G24">
        <f t="shared" si="0"/>
        <v>101.51078854938316</v>
      </c>
      <c r="H24">
        <f t="shared" si="1"/>
        <v>3.6946895578024108E-2</v>
      </c>
      <c r="I24">
        <f t="shared" si="3"/>
        <v>3.6946895578024108E-2</v>
      </c>
      <c r="K24">
        <f t="shared" si="4"/>
        <v>3.806934058463618E-2</v>
      </c>
      <c r="L24">
        <f t="shared" si="5"/>
        <v>6.8903535050928166E-3</v>
      </c>
      <c r="M24">
        <f t="shared" si="6"/>
        <v>2.0044133872747283E-2</v>
      </c>
      <c r="O24" s="2" t="s">
        <v>27</v>
      </c>
      <c r="P24" s="25">
        <f>CORREL(K5:K1723,$K5:$K1723)</f>
        <v>0.99999999999999989</v>
      </c>
      <c r="Q24" s="19">
        <f>CORREL(L5:L1723,$K5:$K1723)</f>
        <v>0.2930136037929062</v>
      </c>
      <c r="R24" s="20">
        <f>CORREL(M5:M1723,$K5:$K1723)</f>
        <v>0.59552637305788836</v>
      </c>
    </row>
    <row r="25" spans="1:18" x14ac:dyDescent="0.3">
      <c r="A25" s="3">
        <v>42038</v>
      </c>
      <c r="B25" s="8">
        <v>15.1597880752332</v>
      </c>
      <c r="C25" s="8">
        <v>102.46</v>
      </c>
      <c r="D25" s="8">
        <v>56.72</v>
      </c>
      <c r="E25">
        <v>0</v>
      </c>
      <c r="G25">
        <f t="shared" si="0"/>
        <v>101.94763295746965</v>
      </c>
      <c r="H25">
        <f t="shared" si="1"/>
        <v>4.3034283777036997E-3</v>
      </c>
      <c r="I25">
        <f t="shared" si="3"/>
        <v>4.3034283777036997E-3</v>
      </c>
      <c r="K25">
        <f t="shared" si="4"/>
        <v>2.4885396201702603E-2</v>
      </c>
      <c r="L25">
        <f t="shared" si="5"/>
        <v>1.6165823663592205E-2</v>
      </c>
      <c r="M25">
        <f t="shared" si="6"/>
        <v>2.2534703443302773E-2</v>
      </c>
      <c r="P25" s="21">
        <f>CORREL(K$5:K$1723,$L$5:$L$1723)</f>
        <v>0.2930136037929062</v>
      </c>
      <c r="Q25">
        <f>CORREL(L$5:L$1723,$L$5:$L$1723)</f>
        <v>1</v>
      </c>
      <c r="R25" s="14">
        <f>CORREL(M$5:M$1723,$L$5:$L$1723)</f>
        <v>0.44458255954578135</v>
      </c>
    </row>
    <row r="26" spans="1:18" x14ac:dyDescent="0.3">
      <c r="A26" s="3">
        <v>42039</v>
      </c>
      <c r="B26" s="8">
        <v>15.37289691718536</v>
      </c>
      <c r="C26" s="8">
        <v>101.36</v>
      </c>
      <c r="D26" s="8">
        <v>56.38</v>
      </c>
      <c r="E26">
        <v>0</v>
      </c>
      <c r="G26">
        <f t="shared" si="0"/>
        <v>99.364679879313172</v>
      </c>
      <c r="H26">
        <f t="shared" si="1"/>
        <v>-2.5336076995863488E-2</v>
      </c>
      <c r="I26">
        <f t="shared" si="3"/>
        <v>-2.5336076995863488E-2</v>
      </c>
      <c r="K26">
        <f t="shared" si="4"/>
        <v>1.4057507987220497E-2</v>
      </c>
      <c r="L26">
        <f t="shared" si="5"/>
        <v>-1.0735896935389344E-2</v>
      </c>
      <c r="M26">
        <f t="shared" si="6"/>
        <v>-5.9943582510577631E-3</v>
      </c>
      <c r="P26" s="23">
        <f>CORREL(K$5:K$1723,$M$5:$M$1723)</f>
        <v>0.59552637305788836</v>
      </c>
      <c r="Q26" s="7">
        <f t="shared" ref="Q26:R26" si="10">CORREL(L$5:L$1723,$M$5:$M$1723)</f>
        <v>0.44458255954578135</v>
      </c>
      <c r="R26" s="15">
        <f t="shared" si="10"/>
        <v>1</v>
      </c>
    </row>
    <row r="27" spans="1:18" x14ac:dyDescent="0.3">
      <c r="A27" s="3">
        <v>42040</v>
      </c>
      <c r="B27" s="8">
        <v>15.3535233860988</v>
      </c>
      <c r="C27" s="8">
        <v>102.46</v>
      </c>
      <c r="D27" s="8">
        <v>56.77</v>
      </c>
      <c r="E27">
        <v>0</v>
      </c>
      <c r="G27">
        <f t="shared" si="0"/>
        <v>100.81021702920891</v>
      </c>
      <c r="H27">
        <f t="shared" si="1"/>
        <v>1.4547796577732308E-2</v>
      </c>
      <c r="I27">
        <f t="shared" si="3"/>
        <v>1.4547796577732308E-2</v>
      </c>
      <c r="K27">
        <f t="shared" si="4"/>
        <v>-1.260239445494582E-3</v>
      </c>
      <c r="L27">
        <f t="shared" si="5"/>
        <v>1.0852407261247032E-2</v>
      </c>
      <c r="M27">
        <f t="shared" si="6"/>
        <v>6.9173465768002096E-3</v>
      </c>
    </row>
    <row r="28" spans="1:18" x14ac:dyDescent="0.3">
      <c r="A28" s="3">
        <v>42041</v>
      </c>
      <c r="B28" s="8">
        <v>15.363210151642079</v>
      </c>
      <c r="C28" s="8">
        <v>101.1</v>
      </c>
      <c r="D28" s="8">
        <v>57.89</v>
      </c>
      <c r="E28">
        <v>0</v>
      </c>
      <c r="G28">
        <f t="shared" si="0"/>
        <v>100.0602805279869</v>
      </c>
      <c r="H28">
        <f t="shared" si="1"/>
        <v>-7.439092220233201E-3</v>
      </c>
      <c r="I28">
        <f t="shared" si="3"/>
        <v>-7.439092220233201E-3</v>
      </c>
      <c r="K28">
        <f t="shared" si="4"/>
        <v>6.3091482649824115E-4</v>
      </c>
      <c r="L28">
        <f t="shared" si="5"/>
        <v>-1.327347257466327E-2</v>
      </c>
      <c r="M28">
        <f t="shared" si="6"/>
        <v>1.9728729963008673E-2</v>
      </c>
      <c r="O28" s="2" t="s">
        <v>28</v>
      </c>
      <c r="P28" s="18">
        <f>P17</f>
        <v>0.33428410391539032</v>
      </c>
      <c r="Q28" s="19">
        <v>0</v>
      </c>
      <c r="R28" s="20">
        <v>0</v>
      </c>
    </row>
    <row r="29" spans="1:18" x14ac:dyDescent="0.3">
      <c r="A29" s="3">
        <v>42044</v>
      </c>
      <c r="B29" s="8">
        <v>15.421330744901759</v>
      </c>
      <c r="C29" s="8">
        <v>99.78</v>
      </c>
      <c r="D29" s="8">
        <v>57.82</v>
      </c>
      <c r="E29">
        <v>0</v>
      </c>
      <c r="G29">
        <f t="shared" si="0"/>
        <v>99.316665548898527</v>
      </c>
      <c r="H29">
        <f t="shared" si="1"/>
        <v>-7.4316699410050813E-3</v>
      </c>
      <c r="I29">
        <f t="shared" si="3"/>
        <v>-7.4316699410050813E-3</v>
      </c>
      <c r="K29">
        <f t="shared" si="4"/>
        <v>3.7831021437579881E-3</v>
      </c>
      <c r="L29">
        <f t="shared" si="5"/>
        <v>-1.3056379821958397E-2</v>
      </c>
      <c r="M29">
        <f t="shared" si="6"/>
        <v>-1.2091898428053804E-3</v>
      </c>
      <c r="P29" s="21">
        <v>0</v>
      </c>
      <c r="Q29" s="22">
        <f>Q17</f>
        <v>0.18848359344966115</v>
      </c>
      <c r="R29" s="14">
        <v>0</v>
      </c>
    </row>
    <row r="30" spans="1:18" x14ac:dyDescent="0.3">
      <c r="A30" s="3">
        <v>42045</v>
      </c>
      <c r="B30" s="8">
        <v>15.586005759137519</v>
      </c>
      <c r="C30" s="8">
        <v>100.35</v>
      </c>
      <c r="D30" s="8">
        <v>58.46</v>
      </c>
      <c r="E30">
        <v>0</v>
      </c>
      <c r="G30">
        <f t="shared" si="0"/>
        <v>100.82486153894629</v>
      </c>
      <c r="H30">
        <f t="shared" si="1"/>
        <v>1.5185729219888255E-2</v>
      </c>
      <c r="I30">
        <f t="shared" si="3"/>
        <v>1.5185729219888255E-2</v>
      </c>
      <c r="K30">
        <f t="shared" si="4"/>
        <v>1.0678391959799027E-2</v>
      </c>
      <c r="L30">
        <f t="shared" si="5"/>
        <v>5.7125676488274379E-3</v>
      </c>
      <c r="M30">
        <f t="shared" si="6"/>
        <v>1.1068834313386455E-2</v>
      </c>
      <c r="P30" s="23">
        <v>0</v>
      </c>
      <c r="Q30" s="7">
        <v>0</v>
      </c>
      <c r="R30" s="24">
        <f>R17</f>
        <v>0.28557632779661057</v>
      </c>
    </row>
    <row r="31" spans="1:18" x14ac:dyDescent="0.3">
      <c r="A31" s="3">
        <v>42046</v>
      </c>
      <c r="B31" s="8">
        <v>15.74099400783</v>
      </c>
      <c r="C31" s="8">
        <v>100.38</v>
      </c>
      <c r="D31" s="8">
        <v>58.37</v>
      </c>
      <c r="E31">
        <v>0</v>
      </c>
      <c r="G31">
        <f t="shared" si="0"/>
        <v>100.06179494178693</v>
      </c>
      <c r="H31">
        <f t="shared" si="1"/>
        <v>-7.568238483170231E-3</v>
      </c>
      <c r="I31">
        <f t="shared" si="3"/>
        <v>-7.568238483170231E-3</v>
      </c>
      <c r="K31">
        <f t="shared" si="4"/>
        <v>9.944064636420169E-3</v>
      </c>
      <c r="L31">
        <f t="shared" si="5"/>
        <v>2.9895366218246622E-4</v>
      </c>
      <c r="M31">
        <f t="shared" si="6"/>
        <v>-1.5395141977421201E-3</v>
      </c>
    </row>
    <row r="32" spans="1:18" x14ac:dyDescent="0.3">
      <c r="A32" s="3">
        <v>42047</v>
      </c>
      <c r="B32" s="8">
        <v>15.847548428806078</v>
      </c>
      <c r="C32" s="8">
        <v>98.44</v>
      </c>
      <c r="D32" s="8">
        <v>59.57</v>
      </c>
      <c r="E32">
        <v>0</v>
      </c>
      <c r="G32">
        <f t="shared" si="0"/>
        <v>99.84174975026005</v>
      </c>
      <c r="H32">
        <f t="shared" si="1"/>
        <v>-2.1990929870375764E-3</v>
      </c>
      <c r="I32">
        <f t="shared" si="3"/>
        <v>-2.1990929870375764E-3</v>
      </c>
      <c r="K32">
        <f t="shared" si="4"/>
        <v>6.7692307692306386E-3</v>
      </c>
      <c r="L32">
        <f t="shared" si="5"/>
        <v>-1.9326559075513061E-2</v>
      </c>
      <c r="M32">
        <f t="shared" si="6"/>
        <v>2.0558506081891359E-2</v>
      </c>
      <c r="O32" s="2" t="s">
        <v>31</v>
      </c>
      <c r="P32" s="25" cm="1">
        <f t="array" ref="P32:R34">MMULT(MMULT(P28:R30,P24:R26),P28:R30)</f>
        <v>0.11174586213051546</v>
      </c>
      <c r="Q32" s="19">
        <v>1.8461928392868497E-2</v>
      </c>
      <c r="R32" s="20">
        <v>5.6851107449153226E-2</v>
      </c>
    </row>
    <row r="33" spans="1:20" x14ac:dyDescent="0.3">
      <c r="A33" s="3">
        <v>42048</v>
      </c>
      <c r="B33" s="8">
        <v>15.7894278355464</v>
      </c>
      <c r="C33" s="8">
        <v>99.62</v>
      </c>
      <c r="D33" s="8">
        <v>59.67</v>
      </c>
      <c r="E33">
        <v>0</v>
      </c>
      <c r="G33">
        <f t="shared" si="0"/>
        <v>100.64672530010989</v>
      </c>
      <c r="H33">
        <f t="shared" si="1"/>
        <v>8.0625144477473043E-3</v>
      </c>
      <c r="I33">
        <f t="shared" si="3"/>
        <v>8.0625144477473043E-3</v>
      </c>
      <c r="K33">
        <f t="shared" si="4"/>
        <v>-3.6674816625915652E-3</v>
      </c>
      <c r="L33">
        <f t="shared" si="5"/>
        <v>1.1986997155627899E-2</v>
      </c>
      <c r="M33">
        <f t="shared" si="6"/>
        <v>1.6786973308713371E-3</v>
      </c>
      <c r="P33" s="21">
        <v>1.8461928392868497E-2</v>
      </c>
      <c r="Q33">
        <v>3.5526064999697148E-2</v>
      </c>
      <c r="R33" s="14">
        <v>2.393030200916535E-2</v>
      </c>
    </row>
    <row r="34" spans="1:20" x14ac:dyDescent="0.3">
      <c r="A34" s="3">
        <v>42052</v>
      </c>
      <c r="B34" s="8">
        <v>15.60537929022408</v>
      </c>
      <c r="C34" s="8">
        <v>100.44</v>
      </c>
      <c r="D34" s="8">
        <v>60.1</v>
      </c>
      <c r="E34">
        <v>0</v>
      </c>
      <c r="G34">
        <f t="shared" si="0"/>
        <v>100.57612901339472</v>
      </c>
      <c r="H34">
        <f t="shared" si="1"/>
        <v>-7.0142656409999393E-4</v>
      </c>
      <c r="I34">
        <f t="shared" si="3"/>
        <v>-7.0142656409999393E-4</v>
      </c>
      <c r="K34">
        <f t="shared" si="4"/>
        <v>-1.1656441717791344E-2</v>
      </c>
      <c r="L34">
        <f t="shared" si="5"/>
        <v>8.2312788596665687E-3</v>
      </c>
      <c r="M34">
        <f t="shared" si="6"/>
        <v>7.2063013239482832E-3</v>
      </c>
      <c r="P34" s="23">
        <v>5.6851107449153226E-2</v>
      </c>
      <c r="Q34" s="7">
        <v>2.393030200916535E-2</v>
      </c>
      <c r="R34" s="15">
        <v>8.1553838997797168E-2</v>
      </c>
    </row>
    <row r="35" spans="1:20" x14ac:dyDescent="0.3">
      <c r="A35" s="3">
        <v>42053</v>
      </c>
      <c r="B35" s="8">
        <v>15.702246945656883</v>
      </c>
      <c r="C35" s="8">
        <v>99.96</v>
      </c>
      <c r="D35" s="8">
        <v>59.37</v>
      </c>
      <c r="E35">
        <v>0</v>
      </c>
      <c r="G35">
        <f t="shared" si="0"/>
        <v>99.359997017513251</v>
      </c>
      <c r="H35">
        <f t="shared" si="1"/>
        <v>-1.2091656417990593E-2</v>
      </c>
      <c r="I35">
        <f t="shared" si="3"/>
        <v>-1.2091656417990593E-2</v>
      </c>
      <c r="K35">
        <f t="shared" si="4"/>
        <v>6.2073246430789375E-3</v>
      </c>
      <c r="L35">
        <f t="shared" si="5"/>
        <v>-4.7789725209080869E-3</v>
      </c>
      <c r="M35">
        <f t="shared" si="6"/>
        <v>-1.2146422628951825E-2</v>
      </c>
    </row>
    <row r="36" spans="1:20" x14ac:dyDescent="0.3">
      <c r="A36" s="3">
        <v>42054</v>
      </c>
      <c r="B36" s="8">
        <v>15.915355787609039</v>
      </c>
      <c r="C36" s="8">
        <v>100.7</v>
      </c>
      <c r="D36" s="8">
        <v>59.23</v>
      </c>
      <c r="E36">
        <v>0</v>
      </c>
      <c r="G36">
        <f t="shared" si="0"/>
        <v>100.43762925589365</v>
      </c>
      <c r="H36">
        <f t="shared" si="1"/>
        <v>1.084573541392575E-2</v>
      </c>
      <c r="I36">
        <f t="shared" si="3"/>
        <v>1.084573541392575E-2</v>
      </c>
      <c r="K36">
        <f t="shared" si="4"/>
        <v>1.357186921653275E-2</v>
      </c>
      <c r="L36">
        <f t="shared" si="5"/>
        <v>7.4029611844739218E-3</v>
      </c>
      <c r="M36">
        <f t="shared" si="6"/>
        <v>-2.3580933131210902E-3</v>
      </c>
      <c r="O36" s="2" t="s">
        <v>32</v>
      </c>
      <c r="P36" s="25" cm="1">
        <f t="array" ref="P36:R38">MINVERSE(P32:R34)</f>
        <v>13.888149354271304</v>
      </c>
      <c r="Q36" s="19">
        <v>-0.86733864161902785</v>
      </c>
      <c r="R36" s="20">
        <v>-9.4269136195068519</v>
      </c>
    </row>
    <row r="37" spans="1:20" x14ac:dyDescent="0.3">
      <c r="A37" s="3">
        <v>42055</v>
      </c>
      <c r="B37" s="8">
        <v>15.886295490979199</v>
      </c>
      <c r="C37" s="8">
        <v>100.26</v>
      </c>
      <c r="D37" s="8">
        <v>59.8</v>
      </c>
      <c r="E37">
        <v>0</v>
      </c>
      <c r="G37">
        <f t="shared" si="0"/>
        <v>100.11628261914889</v>
      </c>
      <c r="H37">
        <f t="shared" si="1"/>
        <v>-3.1994645744379824E-3</v>
      </c>
      <c r="I37">
        <f t="shared" si="3"/>
        <v>-3.1994645744379824E-3</v>
      </c>
      <c r="K37">
        <f t="shared" si="4"/>
        <v>-1.8259281801582539E-3</v>
      </c>
      <c r="L37">
        <f t="shared" si="5"/>
        <v>-4.3694141012909915E-3</v>
      </c>
      <c r="M37">
        <f t="shared" si="6"/>
        <v>9.6235016039170063E-3</v>
      </c>
      <c r="P37" s="21">
        <v>-0.86733864161902763</v>
      </c>
      <c r="Q37">
        <v>35.136705552964223</v>
      </c>
      <c r="R37" s="14">
        <v>-9.705524876657794</v>
      </c>
    </row>
    <row r="38" spans="1:20" x14ac:dyDescent="0.3">
      <c r="A38" s="3">
        <v>42058</v>
      </c>
      <c r="B38" s="8">
        <v>15.86692195989264</v>
      </c>
      <c r="C38" s="8">
        <v>100.18</v>
      </c>
      <c r="D38" s="8">
        <v>59.35</v>
      </c>
      <c r="E38">
        <v>0</v>
      </c>
      <c r="G38">
        <f t="shared" si="0"/>
        <v>99.662639299814387</v>
      </c>
      <c r="H38">
        <f t="shared" si="1"/>
        <v>-4.531164236892482E-3</v>
      </c>
      <c r="I38">
        <f t="shared" si="3"/>
        <v>-4.531164236892482E-3</v>
      </c>
      <c r="K38">
        <f t="shared" si="4"/>
        <v>-1.2195121951219523E-3</v>
      </c>
      <c r="L38">
        <f t="shared" si="5"/>
        <v>-7.9792539397560702E-4</v>
      </c>
      <c r="M38">
        <f t="shared" si="6"/>
        <v>-7.5250836120400733E-3</v>
      </c>
      <c r="P38" s="23">
        <v>-9.4269136195068537</v>
      </c>
      <c r="Q38" s="7">
        <v>-9.705524876657794</v>
      </c>
      <c r="R38" s="15">
        <v>21.681218717369251</v>
      </c>
    </row>
    <row r="39" spans="1:20" x14ac:dyDescent="0.3">
      <c r="A39" s="3">
        <v>42059</v>
      </c>
      <c r="B39" s="8">
        <v>15.847548428806078</v>
      </c>
      <c r="C39" s="8">
        <v>100.7</v>
      </c>
      <c r="D39" s="8">
        <v>60.82</v>
      </c>
      <c r="E39">
        <v>0</v>
      </c>
      <c r="G39">
        <f t="shared" si="0"/>
        <v>101.18859760922109</v>
      </c>
      <c r="H39">
        <f t="shared" si="1"/>
        <v>1.5311237191061977E-2</v>
      </c>
      <c r="I39">
        <f t="shared" si="3"/>
        <v>1.5311237191061977E-2</v>
      </c>
      <c r="K39">
        <f t="shared" si="4"/>
        <v>-1.2210012210013277E-3</v>
      </c>
      <c r="L39">
        <f t="shared" si="5"/>
        <v>5.1906568177280121E-3</v>
      </c>
      <c r="M39">
        <f t="shared" si="6"/>
        <v>2.4768323504633427E-2</v>
      </c>
      <c r="T39" s="59" t="s">
        <v>36</v>
      </c>
    </row>
    <row r="40" spans="1:20" x14ac:dyDescent="0.3">
      <c r="A40" s="3">
        <v>42060</v>
      </c>
      <c r="B40" s="8">
        <v>15.992849911955281</v>
      </c>
      <c r="C40" s="8">
        <v>101.21</v>
      </c>
      <c r="D40" s="8">
        <v>61.14</v>
      </c>
      <c r="E40">
        <v>0</v>
      </c>
      <c r="G40">
        <f t="shared" si="0"/>
        <v>100.55687608014898</v>
      </c>
      <c r="H40">
        <f t="shared" si="1"/>
        <v>-6.2430110110998083E-3</v>
      </c>
      <c r="I40">
        <f t="shared" si="3"/>
        <v>-6.2430110110998083E-3</v>
      </c>
      <c r="K40">
        <f t="shared" si="4"/>
        <v>9.1687041564794125E-3</v>
      </c>
      <c r="L40">
        <f t="shared" si="5"/>
        <v>5.0645481628599498E-3</v>
      </c>
      <c r="M40">
        <f t="shared" si="6"/>
        <v>5.2614271621176378E-3</v>
      </c>
      <c r="O40" s="2" t="s">
        <v>35</v>
      </c>
      <c r="P40" s="46" cm="1">
        <f t="array" ref="P40:P42">MMULT(P36:R38,TRANSPOSE(P22:R22))</f>
        <v>-0.81576509264458696</v>
      </c>
      <c r="T40" s="59">
        <v>1</v>
      </c>
    </row>
    <row r="41" spans="1:20" x14ac:dyDescent="0.3">
      <c r="A41" s="3">
        <v>42061</v>
      </c>
      <c r="B41" s="8">
        <v>15.86692195989264</v>
      </c>
      <c r="C41" s="8">
        <v>102.8</v>
      </c>
      <c r="D41" s="8">
        <v>61.58</v>
      </c>
      <c r="E41">
        <v>0</v>
      </c>
      <c r="G41">
        <f t="shared" si="0"/>
        <v>101.00346137119935</v>
      </c>
      <c r="H41">
        <f t="shared" si="1"/>
        <v>4.4411213679154127E-3</v>
      </c>
      <c r="I41">
        <f t="shared" si="3"/>
        <v>4.4411213679154127E-3</v>
      </c>
      <c r="K41">
        <f t="shared" si="4"/>
        <v>-7.8740157480315931E-3</v>
      </c>
      <c r="L41">
        <f t="shared" si="5"/>
        <v>1.5709910087936096E-2</v>
      </c>
      <c r="M41">
        <f t="shared" si="6"/>
        <v>7.1965979718677797E-3</v>
      </c>
      <c r="O41" s="2"/>
      <c r="P41" s="44">
        <v>0.83643137051699057</v>
      </c>
      <c r="T41" s="44">
        <v>1</v>
      </c>
    </row>
    <row r="42" spans="1:20" x14ac:dyDescent="0.3">
      <c r="A42" s="3">
        <v>42062</v>
      </c>
      <c r="B42" s="8">
        <v>15.828174897719521</v>
      </c>
      <c r="C42" s="8">
        <v>102.51</v>
      </c>
      <c r="D42" s="8">
        <v>61.28</v>
      </c>
      <c r="E42">
        <v>0</v>
      </c>
      <c r="G42">
        <f t="shared" si="0"/>
        <v>99.644701005089587</v>
      </c>
      <c r="H42">
        <f t="shared" si="1"/>
        <v>-1.3452611897290967E-2</v>
      </c>
      <c r="I42">
        <f t="shared" si="3"/>
        <v>-1.3452611897290967E-2</v>
      </c>
      <c r="K42">
        <f t="shared" si="4"/>
        <v>-2.4420024420023223E-3</v>
      </c>
      <c r="L42">
        <f t="shared" si="5"/>
        <v>-2.8210116731516299E-3</v>
      </c>
      <c r="M42">
        <f t="shared" si="6"/>
        <v>-4.8717115946735889E-3</v>
      </c>
      <c r="P42" s="45">
        <v>2.5246845208367614</v>
      </c>
      <c r="T42" s="45">
        <v>1</v>
      </c>
    </row>
    <row r="43" spans="1:20" x14ac:dyDescent="0.3">
      <c r="A43" s="3">
        <v>42065</v>
      </c>
      <c r="B43" s="8">
        <v>16.050970505214959</v>
      </c>
      <c r="C43" s="8">
        <v>103.22</v>
      </c>
      <c r="D43" s="8">
        <v>61.77</v>
      </c>
      <c r="E43">
        <v>0</v>
      </c>
      <c r="G43">
        <f t="shared" si="0"/>
        <v>100.80780878115377</v>
      </c>
      <c r="H43">
        <f t="shared" si="1"/>
        <v>1.1672550214233413E-2</v>
      </c>
      <c r="I43">
        <f t="shared" si="3"/>
        <v>1.1672550214233413E-2</v>
      </c>
      <c r="K43">
        <f t="shared" si="4"/>
        <v>1.4075887392900777E-2</v>
      </c>
      <c r="L43">
        <f t="shared" si="5"/>
        <v>6.9261535459954615E-3</v>
      </c>
      <c r="M43">
        <f t="shared" si="6"/>
        <v>7.9960835509138573E-3</v>
      </c>
      <c r="O43" s="2"/>
    </row>
    <row r="44" spans="1:20" x14ac:dyDescent="0.3">
      <c r="A44" s="3">
        <v>42066</v>
      </c>
      <c r="B44" s="8">
        <v>15.663499883483761</v>
      </c>
      <c r="C44" s="8">
        <v>102.34</v>
      </c>
      <c r="D44" s="8">
        <v>61.97</v>
      </c>
      <c r="E44">
        <v>0</v>
      </c>
      <c r="G44">
        <f t="shared" si="0"/>
        <v>99.426473013028186</v>
      </c>
      <c r="H44">
        <f t="shared" si="1"/>
        <v>-1.3702666339314606E-2</v>
      </c>
      <c r="I44">
        <f t="shared" si="3"/>
        <v>-1.3702666339314606E-2</v>
      </c>
      <c r="K44">
        <f t="shared" si="4"/>
        <v>-2.4140012070005934E-2</v>
      </c>
      <c r="L44">
        <f t="shared" si="5"/>
        <v>-8.5254795582251353E-3</v>
      </c>
      <c r="M44">
        <f t="shared" si="6"/>
        <v>3.2378177108627337E-3</v>
      </c>
      <c r="O44" s="2" t="s">
        <v>53</v>
      </c>
      <c r="P44" s="51" cm="1">
        <f t="array" ref="P44">MMULT(TRANSPOSE(T40:T42),P40:P42)</f>
        <v>2.545350798709165</v>
      </c>
      <c r="T44" s="17"/>
    </row>
    <row r="45" spans="1:20" x14ac:dyDescent="0.3">
      <c r="A45" s="3">
        <v>42067</v>
      </c>
      <c r="B45" s="8">
        <v>15.527885165877841</v>
      </c>
      <c r="C45" s="8">
        <v>101.65</v>
      </c>
      <c r="D45" s="8">
        <v>62.13</v>
      </c>
      <c r="E45">
        <v>0</v>
      </c>
      <c r="G45">
        <f t="shared" si="0"/>
        <v>99.656575428695376</v>
      </c>
      <c r="H45">
        <f t="shared" si="1"/>
        <v>2.3142972761092118E-3</v>
      </c>
      <c r="I45">
        <f t="shared" si="3"/>
        <v>2.3142972761092118E-3</v>
      </c>
      <c r="K45">
        <f t="shared" si="4"/>
        <v>-8.6580086580086979E-3</v>
      </c>
      <c r="L45">
        <f t="shared" si="5"/>
        <v>-6.7422317764315176E-3</v>
      </c>
      <c r="M45">
        <f t="shared" si="6"/>
        <v>2.5818944650637388E-3</v>
      </c>
      <c r="O45" s="2"/>
    </row>
    <row r="46" spans="1:20" x14ac:dyDescent="0.3">
      <c r="A46" s="3">
        <v>42068</v>
      </c>
      <c r="B46" s="8">
        <v>15.60537929022408</v>
      </c>
      <c r="C46" s="8">
        <v>102.52</v>
      </c>
      <c r="D46" s="8">
        <v>62</v>
      </c>
      <c r="E46">
        <v>0</v>
      </c>
      <c r="G46">
        <f t="shared" si="0"/>
        <v>100.41766881071268</v>
      </c>
      <c r="H46">
        <f t="shared" si="1"/>
        <v>7.6371617100357003E-3</v>
      </c>
      <c r="I46">
        <f t="shared" si="3"/>
        <v>7.6371617100357003E-3</v>
      </c>
      <c r="K46">
        <f t="shared" si="4"/>
        <v>4.9906425452277414E-3</v>
      </c>
      <c r="L46">
        <f t="shared" si="5"/>
        <v>8.5587801278896869E-3</v>
      </c>
      <c r="M46">
        <f t="shared" si="6"/>
        <v>-2.0923869306294085E-3</v>
      </c>
      <c r="O46" s="2" t="s">
        <v>37</v>
      </c>
      <c r="P46" s="50">
        <f>P40/P44</f>
        <v>-0.32049220604809736</v>
      </c>
      <c r="Q46" s="48">
        <f>P41/P44</f>
        <v>0.32861143184710478</v>
      </c>
      <c r="R46" s="49">
        <f>P42/P44</f>
        <v>0.99188077420099252</v>
      </c>
    </row>
    <row r="47" spans="1:20" x14ac:dyDescent="0.3">
      <c r="A47" s="3">
        <v>42069</v>
      </c>
      <c r="B47" s="8">
        <v>15.43101751044504</v>
      </c>
      <c r="C47" s="8">
        <v>100.11</v>
      </c>
      <c r="D47" s="8">
        <v>60.89</v>
      </c>
      <c r="E47">
        <v>0</v>
      </c>
      <c r="G47">
        <f t="shared" si="0"/>
        <v>97.989405429582803</v>
      </c>
      <c r="H47">
        <f t="shared" si="1"/>
        <v>-2.4181634665381035E-2</v>
      </c>
      <c r="I47">
        <f t="shared" si="3"/>
        <v>-2.4181634665381035E-2</v>
      </c>
      <c r="K47">
        <f t="shared" si="4"/>
        <v>-1.1173184357541888E-2</v>
      </c>
      <c r="L47">
        <f t="shared" si="5"/>
        <v>-2.3507608271556735E-2</v>
      </c>
      <c r="M47">
        <f t="shared" si="6"/>
        <v>-1.790322580645165E-2</v>
      </c>
    </row>
    <row r="48" spans="1:20" x14ac:dyDescent="0.3">
      <c r="A48" s="3">
        <v>42072</v>
      </c>
      <c r="B48" s="8">
        <v>15.527885165877841</v>
      </c>
      <c r="C48" s="8">
        <v>100.66</v>
      </c>
      <c r="D48" s="8">
        <v>61.5</v>
      </c>
      <c r="E48">
        <v>0</v>
      </c>
      <c r="G48">
        <f t="shared" si="0"/>
        <v>100.72785383334524</v>
      </c>
      <c r="H48">
        <f t="shared" si="1"/>
        <v>2.7946372281341558E-2</v>
      </c>
      <c r="I48">
        <f t="shared" si="3"/>
        <v>2.7946372281341558E-2</v>
      </c>
      <c r="K48">
        <f t="shared" si="4"/>
        <v>6.2774639045826142E-3</v>
      </c>
      <c r="L48">
        <f t="shared" si="5"/>
        <v>5.4939566476874813E-3</v>
      </c>
      <c r="M48">
        <f t="shared" si="6"/>
        <v>1.0018065363770701E-2</v>
      </c>
      <c r="O48" s="2" t="s">
        <v>34</v>
      </c>
      <c r="P48" s="50">
        <f>P4*B1723/B4</f>
        <v>64.989496910728306</v>
      </c>
      <c r="Q48" s="48">
        <f>Q4*C1723/C4</f>
        <v>436.81341608938732</v>
      </c>
      <c r="R48" s="49">
        <f>R4*D1723/D4</f>
        <v>552.65960287775295</v>
      </c>
    </row>
    <row r="49" spans="1:19" x14ac:dyDescent="0.3">
      <c r="A49" s="3">
        <v>42073</v>
      </c>
      <c r="B49" s="8">
        <v>15.227595434036161</v>
      </c>
      <c r="C49" s="8">
        <v>99.53</v>
      </c>
      <c r="D49" s="8">
        <v>59.96</v>
      </c>
      <c r="E49">
        <v>0</v>
      </c>
      <c r="G49">
        <f t="shared" si="0"/>
        <v>98.272521925652342</v>
      </c>
      <c r="H49">
        <f t="shared" si="1"/>
        <v>-2.4375898167703025E-2</v>
      </c>
      <c r="I49">
        <f t="shared" si="3"/>
        <v>-2.4375898167703025E-2</v>
      </c>
      <c r="K49">
        <f t="shared" si="4"/>
        <v>-1.9338739862757359E-2</v>
      </c>
      <c r="L49">
        <f t="shared" si="5"/>
        <v>-1.1225909000596057E-2</v>
      </c>
      <c r="M49">
        <f t="shared" si="6"/>
        <v>-2.504065040650405E-2</v>
      </c>
      <c r="O49" s="2"/>
    </row>
    <row r="50" spans="1:19" x14ac:dyDescent="0.3">
      <c r="A50" s="3">
        <v>42074</v>
      </c>
      <c r="B50" s="8">
        <v>15.256655730665999</v>
      </c>
      <c r="C50" s="8">
        <v>98.32</v>
      </c>
      <c r="D50" s="8">
        <v>60.24</v>
      </c>
      <c r="E50">
        <v>0</v>
      </c>
      <c r="G50">
        <f t="shared" si="0"/>
        <v>99.564910339898375</v>
      </c>
      <c r="H50">
        <f t="shared" si="1"/>
        <v>1.3151065922820004E-2</v>
      </c>
      <c r="I50">
        <f t="shared" si="3"/>
        <v>1.3151065922820004E-2</v>
      </c>
      <c r="K50">
        <f t="shared" si="4"/>
        <v>1.9083969465647499E-3</v>
      </c>
      <c r="L50">
        <f t="shared" si="5"/>
        <v>-1.2157138551190716E-2</v>
      </c>
      <c r="M50">
        <f t="shared" si="6"/>
        <v>4.6697798532355783E-3</v>
      </c>
      <c r="O50" s="2" t="s">
        <v>33</v>
      </c>
      <c r="P50" s="50">
        <f>P48/SUM($P$48:$R$48)</f>
        <v>6.1632818551755529E-2</v>
      </c>
      <c r="Q50" s="48">
        <f>Q48/SUM($P$48:$R$48)</f>
        <v>0.41425219911750805</v>
      </c>
      <c r="R50" s="49">
        <f>R48/SUM($P$48:$R$48)</f>
        <v>0.52411498233073639</v>
      </c>
    </row>
    <row r="51" spans="1:19" x14ac:dyDescent="0.3">
      <c r="A51" s="3">
        <v>42075</v>
      </c>
      <c r="B51" s="8">
        <v>15.663499883483761</v>
      </c>
      <c r="C51" s="8">
        <v>99.83</v>
      </c>
      <c r="D51" s="8">
        <v>61.37</v>
      </c>
      <c r="E51">
        <v>0</v>
      </c>
      <c r="G51">
        <f t="shared" si="0"/>
        <v>101.78227497406911</v>
      </c>
      <c r="H51">
        <f t="shared" si="1"/>
        <v>2.2270543172298485E-2</v>
      </c>
      <c r="I51">
        <f t="shared" si="3"/>
        <v>2.2270543172298485E-2</v>
      </c>
      <c r="K51">
        <f t="shared" si="4"/>
        <v>2.6666666666666838E-2</v>
      </c>
      <c r="L51">
        <f t="shared" si="5"/>
        <v>1.5358014646053686E-2</v>
      </c>
      <c r="M51">
        <f t="shared" si="6"/>
        <v>1.8758300132801997E-2</v>
      </c>
    </row>
    <row r="52" spans="1:19" x14ac:dyDescent="0.3">
      <c r="A52" s="3">
        <v>42076</v>
      </c>
      <c r="B52" s="8">
        <v>15.692560180113601</v>
      </c>
      <c r="C52" s="8">
        <v>99.21</v>
      </c>
      <c r="D52" s="8">
        <v>61</v>
      </c>
      <c r="E52">
        <v>0</v>
      </c>
      <c r="G52">
        <f t="shared" si="0"/>
        <v>99.47030818112151</v>
      </c>
      <c r="H52">
        <f t="shared" si="1"/>
        <v>-2.2714827248031311E-2</v>
      </c>
      <c r="I52">
        <f t="shared" si="3"/>
        <v>-2.2714827248031311E-2</v>
      </c>
      <c r="K52">
        <f t="shared" si="4"/>
        <v>1.8552875695732052E-3</v>
      </c>
      <c r="L52">
        <f t="shared" si="5"/>
        <v>-6.2105579485125517E-3</v>
      </c>
      <c r="M52">
        <f t="shared" si="6"/>
        <v>-6.0290043995436804E-3</v>
      </c>
    </row>
    <row r="53" spans="1:19" x14ac:dyDescent="0.3">
      <c r="A53" s="3">
        <v>42079</v>
      </c>
      <c r="B53" s="8">
        <v>15.973476380868719</v>
      </c>
      <c r="C53" s="8">
        <v>101.06</v>
      </c>
      <c r="D53" s="8">
        <v>61.85</v>
      </c>
      <c r="E53">
        <v>0</v>
      </c>
      <c r="G53">
        <f t="shared" si="0"/>
        <v>101.6795615236322</v>
      </c>
      <c r="H53">
        <f t="shared" si="1"/>
        <v>2.2210178925835322E-2</v>
      </c>
      <c r="I53">
        <f t="shared" si="3"/>
        <v>2.2210178925835322E-2</v>
      </c>
      <c r="K53">
        <f t="shared" si="4"/>
        <v>1.7901234567901048E-2</v>
      </c>
      <c r="L53">
        <f t="shared" si="5"/>
        <v>1.8647313778852981E-2</v>
      </c>
      <c r="M53">
        <f t="shared" si="6"/>
        <v>1.3934426229508245E-2</v>
      </c>
      <c r="O53" s="52" t="s">
        <v>38</v>
      </c>
      <c r="P53" s="25" t="s">
        <v>12</v>
      </c>
      <c r="Q53" s="19" t="s">
        <v>11</v>
      </c>
      <c r="R53" s="19" t="s">
        <v>39</v>
      </c>
      <c r="S53" s="20" t="s">
        <v>40</v>
      </c>
    </row>
    <row r="54" spans="1:19" x14ac:dyDescent="0.3">
      <c r="A54" s="3">
        <v>42080</v>
      </c>
      <c r="B54" s="8">
        <v>15.87660872543592</v>
      </c>
      <c r="C54" s="8">
        <v>99.89</v>
      </c>
      <c r="D54" s="8">
        <v>61.61</v>
      </c>
      <c r="E54">
        <v>0</v>
      </c>
      <c r="G54">
        <f t="shared" si="0"/>
        <v>99.18969258198527</v>
      </c>
      <c r="H54">
        <f t="shared" si="1"/>
        <v>-2.4487408328056626E-2</v>
      </c>
      <c r="I54">
        <f t="shared" si="3"/>
        <v>-2.4487408328056626E-2</v>
      </c>
      <c r="K54">
        <f t="shared" si="4"/>
        <v>-6.0642813826561337E-3</v>
      </c>
      <c r="L54">
        <f t="shared" si="5"/>
        <v>-1.1577280823273361E-2</v>
      </c>
      <c r="M54">
        <f t="shared" si="6"/>
        <v>-3.8803556992724753E-3</v>
      </c>
      <c r="O54" s="38" t="s">
        <v>41</v>
      </c>
      <c r="P54" s="53">
        <f t="array" ref="P54:S58">LINEST(I5:I1723,'Factors Data'!B5:D1723,TRUE,TRUE)</f>
        <v>0.43877870564378962</v>
      </c>
      <c r="Q54" s="54">
        <v>-0.2909954929945463</v>
      </c>
      <c r="R54" s="54">
        <v>1.0956904099929818</v>
      </c>
      <c r="S54" s="55">
        <v>-4.2026476991674955E-4</v>
      </c>
    </row>
    <row r="55" spans="1:19" x14ac:dyDescent="0.3">
      <c r="A55" s="3">
        <v>42081</v>
      </c>
      <c r="B55" s="8">
        <v>15.944416084238881</v>
      </c>
      <c r="C55" s="8">
        <v>101.46</v>
      </c>
      <c r="D55" s="8">
        <v>61.75</v>
      </c>
      <c r="E55">
        <v>0</v>
      </c>
      <c r="G55">
        <f t="shared" si="0"/>
        <v>100.94582158974137</v>
      </c>
      <c r="H55">
        <f t="shared" si="1"/>
        <v>1.7704753004497586E-2</v>
      </c>
      <c r="I55">
        <f t="shared" si="3"/>
        <v>1.7704753004497586E-2</v>
      </c>
      <c r="K55">
        <f t="shared" si="4"/>
        <v>4.270896888346698E-3</v>
      </c>
      <c r="L55">
        <f t="shared" si="5"/>
        <v>1.5717289017919578E-2</v>
      </c>
      <c r="M55">
        <f t="shared" si="6"/>
        <v>2.2723583833792471E-3</v>
      </c>
      <c r="O55" s="40" t="s">
        <v>42</v>
      </c>
      <c r="P55" s="56">
        <v>3.9849625246382657E-2</v>
      </c>
      <c r="Q55" s="57">
        <v>5.2533274315500048E-2</v>
      </c>
      <c r="R55" s="57">
        <v>2.880008965366165E-2</v>
      </c>
      <c r="S55" s="58">
        <v>3.2708605497556293E-4</v>
      </c>
    </row>
    <row r="56" spans="1:19" x14ac:dyDescent="0.3">
      <c r="A56" s="3">
        <v>42082</v>
      </c>
      <c r="B56" s="8">
        <v>15.828174897719521</v>
      </c>
      <c r="C56" s="8">
        <v>101.69</v>
      </c>
      <c r="D56" s="8">
        <v>61.2</v>
      </c>
      <c r="E56">
        <v>0</v>
      </c>
      <c r="G56">
        <f t="shared" si="0"/>
        <v>99.706046587985512</v>
      </c>
      <c r="H56">
        <f t="shared" si="1"/>
        <v>-1.2281588105691799E-2</v>
      </c>
      <c r="I56">
        <f t="shared" si="3"/>
        <v>-1.2281588105691799E-2</v>
      </c>
      <c r="K56">
        <f t="shared" si="4"/>
        <v>-7.2904009720534679E-3</v>
      </c>
      <c r="L56">
        <f t="shared" si="5"/>
        <v>2.2669032130888667E-3</v>
      </c>
      <c r="M56">
        <f t="shared" si="6"/>
        <v>-8.9068825910930682E-3</v>
      </c>
      <c r="O56" s="2"/>
      <c r="P56" s="47">
        <v>0.48727669054343126</v>
      </c>
      <c r="Q56" s="47">
        <v>1.3537770538462449E-2</v>
      </c>
      <c r="R56" s="47" t="e">
        <v>#N/A</v>
      </c>
      <c r="S56" s="47" t="e">
        <v>#N/A</v>
      </c>
    </row>
    <row r="57" spans="1:19" x14ac:dyDescent="0.3">
      <c r="A57" s="3">
        <v>42083</v>
      </c>
      <c r="B57" s="8">
        <v>15.963789615325442</v>
      </c>
      <c r="C57" s="8">
        <v>102.4</v>
      </c>
      <c r="D57" s="8">
        <v>61.75</v>
      </c>
      <c r="E57">
        <v>0</v>
      </c>
      <c r="G57">
        <f t="shared" si="0"/>
        <v>100.7902686355328</v>
      </c>
      <c r="H57">
        <f t="shared" si="1"/>
        <v>1.0874185514822443E-2</v>
      </c>
      <c r="I57">
        <f t="shared" si="3"/>
        <v>1.0874185514822443E-2</v>
      </c>
      <c r="K57">
        <f t="shared" si="4"/>
        <v>8.5679314565485498E-3</v>
      </c>
      <c r="L57">
        <f t="shared" si="5"/>
        <v>6.9820041301997815E-3</v>
      </c>
      <c r="M57">
        <f t="shared" si="6"/>
        <v>8.9869281045751315E-3</v>
      </c>
      <c r="O57" s="2"/>
      <c r="P57" s="47">
        <v>543.29467041896635</v>
      </c>
      <c r="Q57" s="47">
        <v>1715</v>
      </c>
      <c r="R57" s="47" t="e">
        <v>#N/A</v>
      </c>
      <c r="S57" s="47" t="e">
        <v>#N/A</v>
      </c>
    </row>
    <row r="58" spans="1:19" x14ac:dyDescent="0.3">
      <c r="A58" s="3">
        <v>42086</v>
      </c>
      <c r="B58" s="8">
        <v>16.050970505214959</v>
      </c>
      <c r="C58" s="8">
        <v>102.98</v>
      </c>
      <c r="D58" s="8">
        <v>61.14</v>
      </c>
      <c r="E58">
        <v>0</v>
      </c>
      <c r="G58">
        <f t="shared" si="0"/>
        <v>99.979395739325938</v>
      </c>
      <c r="H58">
        <f t="shared" si="1"/>
        <v>-8.0451506597234435E-3</v>
      </c>
      <c r="I58">
        <f t="shared" si="3"/>
        <v>-8.0451506597234435E-3</v>
      </c>
      <c r="K58">
        <f t="shared" si="4"/>
        <v>5.4611650485434371E-3</v>
      </c>
      <c r="L58">
        <f t="shared" si="5"/>
        <v>5.6640624999999556E-3</v>
      </c>
      <c r="M58">
        <f t="shared" si="6"/>
        <v>-9.8785425101214352E-3</v>
      </c>
      <c r="O58" s="2"/>
      <c r="P58" s="47">
        <v>0.29871084937811293</v>
      </c>
      <c r="Q58" s="47">
        <v>0.31431016142578611</v>
      </c>
      <c r="R58" s="47" t="e">
        <v>#N/A</v>
      </c>
      <c r="S58" s="47" t="e">
        <v>#N/A</v>
      </c>
    </row>
    <row r="59" spans="1:19" x14ac:dyDescent="0.3">
      <c r="A59" s="3">
        <v>42087</v>
      </c>
      <c r="B59" s="8">
        <v>16.04128373967168</v>
      </c>
      <c r="C59" s="8">
        <v>101.96</v>
      </c>
      <c r="D59" s="8">
        <v>60.46</v>
      </c>
      <c r="E59">
        <v>0</v>
      </c>
      <c r="G59">
        <f t="shared" si="0"/>
        <v>99.0611928691429</v>
      </c>
      <c r="H59">
        <f t="shared" si="1"/>
        <v>-9.1839209808494138E-3</v>
      </c>
      <c r="I59">
        <f t="shared" si="3"/>
        <v>-9.1839209808494138E-3</v>
      </c>
      <c r="K59">
        <f t="shared" si="4"/>
        <v>-6.0350030175004843E-4</v>
      </c>
      <c r="L59">
        <f t="shared" si="5"/>
        <v>-9.9048358904643141E-3</v>
      </c>
      <c r="M59">
        <f t="shared" si="6"/>
        <v>-1.1122015047432154E-2</v>
      </c>
      <c r="O59" s="2"/>
    </row>
    <row r="60" spans="1:19" x14ac:dyDescent="0.3">
      <c r="A60" s="3">
        <v>42088</v>
      </c>
      <c r="B60" s="8">
        <v>15.67318664902704</v>
      </c>
      <c r="C60" s="8">
        <v>100.34</v>
      </c>
      <c r="D60" s="8">
        <v>59.61</v>
      </c>
      <c r="E60">
        <v>0</v>
      </c>
      <c r="G60">
        <f t="shared" si="0"/>
        <v>98.406022803388126</v>
      </c>
      <c r="H60">
        <f t="shared" si="1"/>
        <v>-6.6137914028577827E-3</v>
      </c>
      <c r="I60">
        <f t="shared" si="3"/>
        <v>-6.6137914028577827E-3</v>
      </c>
      <c r="K60">
        <f t="shared" si="4"/>
        <v>-2.2946859903381744E-2</v>
      </c>
      <c r="L60">
        <f t="shared" si="5"/>
        <v>-1.5888583758336461E-2</v>
      </c>
      <c r="M60">
        <f t="shared" si="6"/>
        <v>-1.4058881905392062E-2</v>
      </c>
      <c r="O60" s="2" t="s">
        <v>43</v>
      </c>
      <c r="P60">
        <f>P54^2/P55^2+Q54^2/Q55^2</f>
        <v>151.92247888468702</v>
      </c>
    </row>
    <row r="61" spans="1:19" x14ac:dyDescent="0.3">
      <c r="A61" s="3">
        <v>42089</v>
      </c>
      <c r="B61" s="8">
        <v>15.508511634791281</v>
      </c>
      <c r="C61" s="8">
        <v>100.14</v>
      </c>
      <c r="D61" s="8">
        <v>59.54</v>
      </c>
      <c r="E61">
        <v>0</v>
      </c>
      <c r="G61">
        <f t="shared" si="0"/>
        <v>99.742270376431421</v>
      </c>
      <c r="H61">
        <f t="shared" si="1"/>
        <v>1.3578920628802171E-2</v>
      </c>
      <c r="I61">
        <f t="shared" si="3"/>
        <v>1.3578920628802171E-2</v>
      </c>
      <c r="K61">
        <f t="shared" si="4"/>
        <v>-1.0506798516687121E-2</v>
      </c>
      <c r="L61">
        <f t="shared" si="5"/>
        <v>-1.9932230416583874E-3</v>
      </c>
      <c r="M61">
        <f t="shared" si="6"/>
        <v>-1.1742996141587136E-3</v>
      </c>
      <c r="O61" s="2"/>
    </row>
    <row r="62" spans="1:19" x14ac:dyDescent="0.3">
      <c r="A62" s="3">
        <v>42090</v>
      </c>
      <c r="B62" s="8">
        <v>15.479451338161441</v>
      </c>
      <c r="C62" s="8">
        <v>100.34</v>
      </c>
      <c r="D62" s="8">
        <v>59.55</v>
      </c>
      <c r="E62">
        <v>0</v>
      </c>
      <c r="G62">
        <f t="shared" si="0"/>
        <v>100.09031454040884</v>
      </c>
      <c r="H62">
        <f t="shared" si="1"/>
        <v>3.4894349473286734E-3</v>
      </c>
      <c r="I62">
        <f t="shared" si="3"/>
        <v>3.4894349473286734E-3</v>
      </c>
      <c r="K62">
        <f t="shared" si="4"/>
        <v>-1.8738288569644101E-3</v>
      </c>
      <c r="L62">
        <f t="shared" si="5"/>
        <v>1.9972039145197407E-3</v>
      </c>
      <c r="M62">
        <f t="shared" si="6"/>
        <v>1.6795431642591119E-4</v>
      </c>
      <c r="O62" s="2" t="s">
        <v>44</v>
      </c>
      <c r="P62">
        <v>5.99</v>
      </c>
    </row>
    <row r="63" spans="1:19" x14ac:dyDescent="0.3">
      <c r="A63" s="3">
        <v>42093</v>
      </c>
      <c r="B63" s="8">
        <v>15.65381311794048</v>
      </c>
      <c r="C63" s="8">
        <v>101.55</v>
      </c>
      <c r="D63" s="8">
        <v>60.96</v>
      </c>
      <c r="E63">
        <v>0</v>
      </c>
      <c r="G63">
        <f t="shared" si="0"/>
        <v>101.63478812440081</v>
      </c>
      <c r="H63">
        <f t="shared" si="1"/>
        <v>1.5430799584193799E-2</v>
      </c>
      <c r="I63">
        <f t="shared" si="3"/>
        <v>1.5430799584193799E-2</v>
      </c>
      <c r="K63">
        <f t="shared" si="4"/>
        <v>1.126408010012514E-2</v>
      </c>
      <c r="L63">
        <f t="shared" si="5"/>
        <v>1.2058999402033033E-2</v>
      </c>
      <c r="M63">
        <f t="shared" si="6"/>
        <v>2.3677581863979835E-2</v>
      </c>
      <c r="O63" s="2"/>
    </row>
    <row r="64" spans="1:19" ht="15" thickBot="1" x14ac:dyDescent="0.35">
      <c r="A64" s="3">
        <v>42094</v>
      </c>
      <c r="B64" s="8">
        <v>15.634439586853921</v>
      </c>
      <c r="C64" s="8">
        <v>100.6</v>
      </c>
      <c r="D64" s="8">
        <v>60.58</v>
      </c>
      <c r="E64">
        <v>0</v>
      </c>
      <c r="G64">
        <f t="shared" si="0"/>
        <v>99.2670337396995</v>
      </c>
      <c r="H64">
        <f t="shared" si="1"/>
        <v>-2.3296692288108933E-2</v>
      </c>
      <c r="I64">
        <f t="shared" si="3"/>
        <v>-2.3296692288108933E-2</v>
      </c>
      <c r="K64">
        <f t="shared" si="4"/>
        <v>-1.2376237623762387E-3</v>
      </c>
      <c r="L64">
        <f t="shared" si="5"/>
        <v>-9.3549975381586048E-3</v>
      </c>
      <c r="M64">
        <f t="shared" si="6"/>
        <v>-6.2335958005249603E-3</v>
      </c>
      <c r="O64" s="2"/>
    </row>
    <row r="65" spans="1:19" ht="15" thickBot="1" x14ac:dyDescent="0.35">
      <c r="A65" s="3">
        <v>42095</v>
      </c>
      <c r="B65" s="8">
        <v>15.41164397935848</v>
      </c>
      <c r="C65" s="8">
        <v>99.15</v>
      </c>
      <c r="D65" s="8">
        <v>59.95</v>
      </c>
      <c r="E65">
        <v>0</v>
      </c>
      <c r="G65">
        <f t="shared" si="0"/>
        <v>98.711411272465185</v>
      </c>
      <c r="H65">
        <f t="shared" si="1"/>
        <v>-5.5972506309726056E-3</v>
      </c>
      <c r="I65">
        <f t="shared" si="3"/>
        <v>-5.5972506309726056E-3</v>
      </c>
      <c r="K65">
        <f t="shared" si="4"/>
        <v>-1.4250309789343274E-2</v>
      </c>
      <c r="L65">
        <f t="shared" si="5"/>
        <v>-1.4413518886679855E-2</v>
      </c>
      <c r="M65">
        <f t="shared" si="6"/>
        <v>-1.0399471772862268E-2</v>
      </c>
      <c r="O65" s="60" t="s">
        <v>50</v>
      </c>
      <c r="P65" s="61"/>
      <c r="Q65" s="61"/>
      <c r="R65" s="61"/>
      <c r="S65" s="62"/>
    </row>
    <row r="66" spans="1:19" x14ac:dyDescent="0.3">
      <c r="A66" s="3">
        <v>42096</v>
      </c>
      <c r="B66" s="8">
        <v>15.527885165877841</v>
      </c>
      <c r="C66" s="8">
        <v>99.64</v>
      </c>
      <c r="D66" s="8">
        <v>60.52</v>
      </c>
      <c r="E66">
        <v>0</v>
      </c>
      <c r="G66">
        <f t="shared" si="0"/>
        <v>100.69327379034618</v>
      </c>
      <c r="H66">
        <f t="shared" si="1"/>
        <v>2.0077339512557746E-2</v>
      </c>
      <c r="I66">
        <f t="shared" si="3"/>
        <v>2.0077339512557746E-2</v>
      </c>
      <c r="K66">
        <f t="shared" si="4"/>
        <v>7.5424261470773413E-3</v>
      </c>
      <c r="L66">
        <f t="shared" si="5"/>
        <v>4.942007060010134E-3</v>
      </c>
      <c r="M66">
        <f t="shared" si="6"/>
        <v>9.5079232693910942E-3</v>
      </c>
      <c r="O66" s="2" t="s">
        <v>52</v>
      </c>
      <c r="P66" s="45">
        <f>P44</f>
        <v>2.545350798709165</v>
      </c>
    </row>
    <row r="67" spans="1:19" x14ac:dyDescent="0.3">
      <c r="A67" s="3">
        <v>42100</v>
      </c>
      <c r="B67" s="8">
        <v>15.498824869248001</v>
      </c>
      <c r="C67" s="8">
        <v>99.16</v>
      </c>
      <c r="D67" s="8">
        <v>60.47</v>
      </c>
      <c r="E67">
        <v>0</v>
      </c>
      <c r="G67">
        <f t="shared" si="0"/>
        <v>99.699330738225498</v>
      </c>
      <c r="H67">
        <f t="shared" si="1"/>
        <v>-9.8709974828127267E-3</v>
      </c>
      <c r="I67">
        <f t="shared" si="3"/>
        <v>-9.8709974828127267E-3</v>
      </c>
      <c r="K67">
        <f t="shared" si="4"/>
        <v>-1.8714909544603753E-3</v>
      </c>
      <c r="L67">
        <f t="shared" si="5"/>
        <v>-4.8173424327579983E-3</v>
      </c>
      <c r="M67">
        <f t="shared" si="6"/>
        <v>-8.2617316589561618E-4</v>
      </c>
      <c r="O67" s="2" t="s">
        <v>51</v>
      </c>
      <c r="P67" s="63" cm="1">
        <f t="array" ref="P67:P69">P66*MMULT(_xlfn.ANCHORARRAY(P32),TRANSPOSE(P50:R50))</f>
        <v>0.11283953470280922</v>
      </c>
    </row>
    <row r="68" spans="1:19" x14ac:dyDescent="0.3">
      <c r="A68" s="3">
        <v>42101</v>
      </c>
      <c r="B68" s="8">
        <v>15.401957213815201</v>
      </c>
      <c r="C68" s="8">
        <v>100.1</v>
      </c>
      <c r="D68" s="8">
        <v>60.85</v>
      </c>
      <c r="E68">
        <v>0</v>
      </c>
      <c r="G68">
        <f t="shared" si="0"/>
        <v>100.66286201105221</v>
      </c>
      <c r="H68">
        <f t="shared" si="1"/>
        <v>9.6643705197640983E-3</v>
      </c>
      <c r="I68">
        <f t="shared" si="3"/>
        <v>9.6643705197640983E-3</v>
      </c>
      <c r="K68">
        <f t="shared" si="4"/>
        <v>-6.2499999999999778E-3</v>
      </c>
      <c r="L68">
        <f t="shared" si="5"/>
        <v>9.4796288826139996E-3</v>
      </c>
      <c r="M68">
        <f t="shared" si="6"/>
        <v>6.2841078220605695E-3</v>
      </c>
      <c r="O68" s="2"/>
      <c r="P68" s="64">
        <v>7.2279922046345618E-2</v>
      </c>
    </row>
    <row r="69" spans="1:19" x14ac:dyDescent="0.3">
      <c r="A69" s="3">
        <v>42102</v>
      </c>
      <c r="B69" s="8">
        <v>15.479451338161441</v>
      </c>
      <c r="C69" s="8">
        <v>100.16</v>
      </c>
      <c r="D69" s="8">
        <v>61.05</v>
      </c>
      <c r="E69">
        <v>0</v>
      </c>
      <c r="G69">
        <f t="shared" ref="G69:G132" si="11">$G$4*(B69*$P$8/B68 + C69*$Q$8/C68 + D69*$R$8/D68)</f>
        <v>100.2075174116388</v>
      </c>
      <c r="H69">
        <f t="shared" ref="H69:H132" si="12">G69/G68-1</f>
        <v>-4.523461685039476E-3</v>
      </c>
      <c r="I69">
        <f t="shared" si="3"/>
        <v>-4.523461685039476E-3</v>
      </c>
      <c r="K69">
        <f t="shared" si="4"/>
        <v>5.031446540880502E-3</v>
      </c>
      <c r="L69">
        <f t="shared" si="5"/>
        <v>5.994005994005569E-4</v>
      </c>
      <c r="M69">
        <f t="shared" si="6"/>
        <v>3.2867707477401975E-3</v>
      </c>
      <c r="O69" s="2"/>
      <c r="P69" s="65">
        <v>0.14294858869812938</v>
      </c>
    </row>
    <row r="70" spans="1:19" x14ac:dyDescent="0.3">
      <c r="A70" s="3">
        <v>42103</v>
      </c>
      <c r="B70" s="8">
        <v>15.450391041531599</v>
      </c>
      <c r="C70" s="8">
        <v>101.33</v>
      </c>
      <c r="D70" s="8">
        <v>61.47</v>
      </c>
      <c r="E70">
        <v>0</v>
      </c>
      <c r="G70">
        <f t="shared" si="11"/>
        <v>100.84534013853663</v>
      </c>
      <c r="H70">
        <f t="shared" si="12"/>
        <v>6.3650187468244912E-3</v>
      </c>
      <c r="I70">
        <f t="shared" ref="I70:I133" si="13">H70-E70</f>
        <v>6.3650187468244912E-3</v>
      </c>
      <c r="K70">
        <f t="shared" ref="K70:K133" si="14">B70/B69-1</f>
        <v>-1.877346683354264E-3</v>
      </c>
      <c r="L70">
        <f t="shared" ref="L70:L133" si="15">C70/C69-1</f>
        <v>1.1681309904153281E-2</v>
      </c>
      <c r="M70">
        <f t="shared" ref="M70:M133" si="16">D70/D69-1</f>
        <v>6.8796068796068699E-3</v>
      </c>
      <c r="O70" s="2"/>
    </row>
    <row r="71" spans="1:19" x14ac:dyDescent="0.3">
      <c r="A71" s="3">
        <v>42104</v>
      </c>
      <c r="B71" s="8">
        <v>15.527885165877841</v>
      </c>
      <c r="C71" s="8">
        <v>102.06</v>
      </c>
      <c r="D71" s="8">
        <v>61.7</v>
      </c>
      <c r="E71">
        <v>0</v>
      </c>
      <c r="G71">
        <f t="shared" si="11"/>
        <v>100.56718410965844</v>
      </c>
      <c r="H71">
        <f t="shared" si="12"/>
        <v>-2.7582437472675192E-3</v>
      </c>
      <c r="I71">
        <f t="shared" si="13"/>
        <v>-2.7582437472675192E-3</v>
      </c>
      <c r="K71">
        <f t="shared" si="14"/>
        <v>5.0156739811912932E-3</v>
      </c>
      <c r="L71">
        <f t="shared" si="15"/>
        <v>7.2041843481693846E-3</v>
      </c>
      <c r="M71">
        <f t="shared" si="16"/>
        <v>3.7416625996422592E-3</v>
      </c>
      <c r="O71" s="66" t="s">
        <v>54</v>
      </c>
      <c r="P71" s="51">
        <v>1719</v>
      </c>
    </row>
    <row r="72" spans="1:19" x14ac:dyDescent="0.3">
      <c r="A72" s="3">
        <v>42107</v>
      </c>
      <c r="B72" s="8">
        <v>15.37289691718536</v>
      </c>
      <c r="C72" s="8">
        <v>100.55</v>
      </c>
      <c r="D72" s="8">
        <v>62.07</v>
      </c>
      <c r="E72">
        <v>0</v>
      </c>
      <c r="G72">
        <f t="shared" si="11"/>
        <v>99.353352615191028</v>
      </c>
      <c r="H72">
        <f t="shared" si="12"/>
        <v>-1.2069856635777421E-2</v>
      </c>
      <c r="I72">
        <f t="shared" si="13"/>
        <v>-1.2069856635777421E-2</v>
      </c>
      <c r="K72">
        <f t="shared" si="14"/>
        <v>-9.9812850904554828E-3</v>
      </c>
      <c r="L72">
        <f t="shared" si="15"/>
        <v>-1.4795218498922291E-2</v>
      </c>
      <c r="M72">
        <f t="shared" si="16"/>
        <v>5.996758508914013E-3</v>
      </c>
      <c r="O72" s="66" t="s">
        <v>55</v>
      </c>
      <c r="P72" s="51">
        <f>1/P71</f>
        <v>5.8173356602675972E-4</v>
      </c>
    </row>
    <row r="73" spans="1:19" x14ac:dyDescent="0.3">
      <c r="A73" s="3">
        <v>42108</v>
      </c>
      <c r="B73" s="8">
        <v>15.469764572618161</v>
      </c>
      <c r="C73" s="8">
        <v>100.52</v>
      </c>
      <c r="D73" s="8">
        <v>63.04</v>
      </c>
      <c r="E73">
        <v>0</v>
      </c>
      <c r="G73">
        <f t="shared" si="11"/>
        <v>100.63863596669276</v>
      </c>
      <c r="H73">
        <f t="shared" si="12"/>
        <v>1.2936486969693073E-2</v>
      </c>
      <c r="I73">
        <f t="shared" si="13"/>
        <v>1.2936486969693073E-2</v>
      </c>
      <c r="K73">
        <f t="shared" si="14"/>
        <v>6.3011972274733541E-3</v>
      </c>
      <c r="L73">
        <f t="shared" si="15"/>
        <v>-2.9835902536057279E-4</v>
      </c>
      <c r="M73">
        <f t="shared" si="16"/>
        <v>1.5627517319155793E-2</v>
      </c>
      <c r="O73" s="40" t="s">
        <v>56</v>
      </c>
      <c r="P73" s="45">
        <v>10</v>
      </c>
    </row>
    <row r="74" spans="1:19" x14ac:dyDescent="0.3">
      <c r="A74" s="3">
        <v>42109</v>
      </c>
      <c r="B74" s="8">
        <v>15.56663222805096</v>
      </c>
      <c r="C74" s="8">
        <v>100.6</v>
      </c>
      <c r="D74" s="8">
        <v>64.209999999999994</v>
      </c>
      <c r="E74">
        <v>0</v>
      </c>
      <c r="G74">
        <f t="shared" si="11"/>
        <v>100.80533913334671</v>
      </c>
      <c r="H74">
        <f t="shared" si="12"/>
        <v>1.6564529621518886E-3</v>
      </c>
      <c r="I74">
        <f t="shared" si="13"/>
        <v>1.6564529621518886E-3</v>
      </c>
      <c r="K74">
        <f t="shared" si="14"/>
        <v>6.2617407639322664E-3</v>
      </c>
      <c r="L74">
        <f t="shared" si="15"/>
        <v>7.9586152009558653E-4</v>
      </c>
      <c r="M74">
        <f t="shared" si="16"/>
        <v>1.8559644670050668E-2</v>
      </c>
      <c r="O74" s="2"/>
    </row>
    <row r="75" spans="1:19" x14ac:dyDescent="0.3">
      <c r="A75" s="3">
        <v>42110</v>
      </c>
      <c r="B75" s="8">
        <v>15.44070427598832</v>
      </c>
      <c r="C75" s="8">
        <v>99.79</v>
      </c>
      <c r="D75" s="8">
        <v>63.81</v>
      </c>
      <c r="E75">
        <v>0</v>
      </c>
      <c r="G75">
        <f t="shared" si="11"/>
        <v>99.263002258680146</v>
      </c>
      <c r="H75">
        <f t="shared" si="12"/>
        <v>-1.5300150646051947E-2</v>
      </c>
      <c r="I75">
        <f t="shared" si="13"/>
        <v>-1.5300150646051947E-2</v>
      </c>
      <c r="K75">
        <f t="shared" si="14"/>
        <v>-8.0896079651524566E-3</v>
      </c>
      <c r="L75">
        <f t="shared" si="15"/>
        <v>-8.0516898608348209E-3</v>
      </c>
      <c r="M75">
        <f t="shared" si="16"/>
        <v>-6.2295592586822934E-3</v>
      </c>
      <c r="O75" s="2" t="s">
        <v>57</v>
      </c>
      <c r="P75" s="25">
        <v>1</v>
      </c>
      <c r="Q75" s="19">
        <v>0</v>
      </c>
      <c r="R75" s="20">
        <v>-1</v>
      </c>
    </row>
    <row r="76" spans="1:19" x14ac:dyDescent="0.3">
      <c r="A76" s="3">
        <v>42111</v>
      </c>
      <c r="B76" s="8">
        <v>15.26634249620928</v>
      </c>
      <c r="C76" s="8">
        <v>99.58</v>
      </c>
      <c r="D76" s="8">
        <v>62.84</v>
      </c>
      <c r="E76">
        <v>0</v>
      </c>
      <c r="G76">
        <f t="shared" si="11"/>
        <v>99.200414495063754</v>
      </c>
      <c r="H76">
        <f t="shared" si="12"/>
        <v>-6.3052458813694923E-4</v>
      </c>
      <c r="I76">
        <f t="shared" si="13"/>
        <v>-6.3052458813694923E-4</v>
      </c>
      <c r="K76">
        <f t="shared" si="14"/>
        <v>-1.129234629861986E-2</v>
      </c>
      <c r="L76">
        <f t="shared" si="15"/>
        <v>-2.1044192804891004E-3</v>
      </c>
      <c r="M76">
        <f t="shared" si="16"/>
        <v>-1.5201379094185841E-2</v>
      </c>
      <c r="O76" s="2"/>
      <c r="P76" s="23">
        <v>0</v>
      </c>
      <c r="Q76" s="7">
        <v>1</v>
      </c>
      <c r="R76" s="15">
        <v>0</v>
      </c>
    </row>
    <row r="77" spans="1:19" x14ac:dyDescent="0.3">
      <c r="A77" s="3">
        <v>42114</v>
      </c>
      <c r="B77" s="8">
        <v>15.41164397935848</v>
      </c>
      <c r="C77" s="8">
        <v>100.21</v>
      </c>
      <c r="D77" s="8">
        <v>63.24</v>
      </c>
      <c r="E77">
        <v>0</v>
      </c>
      <c r="G77">
        <f t="shared" si="11"/>
        <v>100.66756173497491</v>
      </c>
      <c r="H77">
        <f t="shared" si="12"/>
        <v>1.4789728927838031E-2</v>
      </c>
      <c r="I77">
        <f t="shared" si="13"/>
        <v>1.4789728927838031E-2</v>
      </c>
      <c r="K77">
        <f t="shared" si="14"/>
        <v>9.5177664974619436E-3</v>
      </c>
      <c r="L77">
        <f t="shared" si="15"/>
        <v>6.3265716007230299E-3</v>
      </c>
      <c r="M77">
        <f t="shared" si="16"/>
        <v>6.3653723742838064E-3</v>
      </c>
      <c r="O77" s="2"/>
    </row>
    <row r="78" spans="1:19" x14ac:dyDescent="0.3">
      <c r="A78" s="3">
        <v>42115</v>
      </c>
      <c r="B78" s="8">
        <v>15.32446308946896</v>
      </c>
      <c r="C78" s="8">
        <v>100.3</v>
      </c>
      <c r="D78" s="8">
        <v>62.31</v>
      </c>
      <c r="E78">
        <v>0</v>
      </c>
      <c r="G78">
        <f t="shared" si="11"/>
        <v>99.433919857148283</v>
      </c>
      <c r="H78">
        <f t="shared" si="12"/>
        <v>-1.2254611679921368E-2</v>
      </c>
      <c r="I78">
        <f t="shared" si="13"/>
        <v>-1.2254611679921368E-2</v>
      </c>
      <c r="K78">
        <f t="shared" si="14"/>
        <v>-5.6568196103079504E-3</v>
      </c>
      <c r="L78">
        <f t="shared" si="15"/>
        <v>8.981139606825117E-4</v>
      </c>
      <c r="M78">
        <f t="shared" si="16"/>
        <v>-1.4705882352941124E-2</v>
      </c>
      <c r="O78" s="2" t="s">
        <v>58</v>
      </c>
      <c r="P78" s="59">
        <v>0.1</v>
      </c>
    </row>
    <row r="79" spans="1:19" x14ac:dyDescent="0.3">
      <c r="A79" s="3">
        <v>42116</v>
      </c>
      <c r="B79" s="8">
        <v>15.41164397935848</v>
      </c>
      <c r="C79" s="8">
        <v>100.43</v>
      </c>
      <c r="D79" s="8">
        <v>62.94</v>
      </c>
      <c r="E79">
        <v>0</v>
      </c>
      <c r="G79">
        <f t="shared" si="11"/>
        <v>100.50735300680134</v>
      </c>
      <c r="H79">
        <f t="shared" si="12"/>
        <v>1.0795442352018236E-2</v>
      </c>
      <c r="I79">
        <f t="shared" si="13"/>
        <v>1.0795442352018236E-2</v>
      </c>
      <c r="K79">
        <f t="shared" si="14"/>
        <v>5.6890012642225596E-3</v>
      </c>
      <c r="L79">
        <f t="shared" si="15"/>
        <v>1.2961116650049842E-3</v>
      </c>
      <c r="M79">
        <f t="shared" si="16"/>
        <v>1.0110736639383555E-2</v>
      </c>
      <c r="O79" s="2"/>
      <c r="P79" s="45">
        <v>-0.05</v>
      </c>
    </row>
    <row r="80" spans="1:19" x14ac:dyDescent="0.3">
      <c r="A80" s="3">
        <v>42117</v>
      </c>
      <c r="B80" s="8">
        <v>15.26634249620928</v>
      </c>
      <c r="C80" s="8">
        <v>100.46</v>
      </c>
      <c r="D80" s="8">
        <v>62.8</v>
      </c>
      <c r="E80">
        <v>0</v>
      </c>
      <c r="G80">
        <f t="shared" si="11"/>
        <v>99.832987796662565</v>
      </c>
      <c r="H80">
        <f t="shared" si="12"/>
        <v>-6.7096106898083541E-3</v>
      </c>
      <c r="I80">
        <f t="shared" si="13"/>
        <v>-6.7096106898083541E-3</v>
      </c>
      <c r="K80">
        <f t="shared" si="14"/>
        <v>-9.4280326838466211E-3</v>
      </c>
      <c r="L80">
        <f t="shared" si="15"/>
        <v>2.9871552324989281E-4</v>
      </c>
      <c r="M80">
        <f t="shared" si="16"/>
        <v>-2.2243406418811507E-3</v>
      </c>
      <c r="O80" s="2"/>
    </row>
    <row r="81" spans="1:18" x14ac:dyDescent="0.3">
      <c r="A81" s="3">
        <v>42118</v>
      </c>
      <c r="B81" s="8">
        <v>15.27602926175256</v>
      </c>
      <c r="C81" s="8">
        <v>101.08</v>
      </c>
      <c r="D81" s="8">
        <v>62.6</v>
      </c>
      <c r="E81">
        <v>0</v>
      </c>
      <c r="G81">
        <f t="shared" si="11"/>
        <v>100.20704301755228</v>
      </c>
      <c r="H81">
        <f t="shared" si="12"/>
        <v>3.7468098385633475E-3</v>
      </c>
      <c r="I81">
        <f t="shared" si="13"/>
        <v>3.7468098385633475E-3</v>
      </c>
      <c r="K81">
        <f t="shared" si="14"/>
        <v>6.3451776649747771E-4</v>
      </c>
      <c r="L81">
        <f t="shared" si="15"/>
        <v>6.17161059128013E-3</v>
      </c>
      <c r="M81">
        <f t="shared" si="16"/>
        <v>-3.1847133757960666E-3</v>
      </c>
      <c r="O81" s="2" t="s">
        <v>63</v>
      </c>
      <c r="P81" s="25" cm="1">
        <f t="array" ref="P81:R83">_xlfn.ANCHORARRAY(P32)</f>
        <v>0.11174586213051546</v>
      </c>
      <c r="Q81" s="19">
        <v>1.8461928392868497E-2</v>
      </c>
      <c r="R81" s="20">
        <v>5.6851107449153226E-2</v>
      </c>
    </row>
    <row r="82" spans="1:18" x14ac:dyDescent="0.3">
      <c r="A82" s="3">
        <v>42121</v>
      </c>
      <c r="B82" s="8">
        <v>15.401957213815201</v>
      </c>
      <c r="C82" s="8">
        <v>100.58</v>
      </c>
      <c r="D82" s="8">
        <v>62.34</v>
      </c>
      <c r="E82">
        <v>0</v>
      </c>
      <c r="G82">
        <f t="shared" si="11"/>
        <v>99.673427136802275</v>
      </c>
      <c r="H82">
        <f t="shared" si="12"/>
        <v>-5.3251334904327319E-3</v>
      </c>
      <c r="I82">
        <f t="shared" si="13"/>
        <v>-5.3251334904327319E-3</v>
      </c>
      <c r="K82">
        <f t="shared" si="14"/>
        <v>8.2435003170577836E-3</v>
      </c>
      <c r="L82">
        <f t="shared" si="15"/>
        <v>-4.9465769687376815E-3</v>
      </c>
      <c r="M82">
        <f t="shared" si="16"/>
        <v>-4.1533546325878135E-3</v>
      </c>
      <c r="P82" s="21">
        <v>1.8461928392868497E-2</v>
      </c>
      <c r="Q82">
        <v>3.5526064999697148E-2</v>
      </c>
      <c r="R82" s="14">
        <v>2.393030200916535E-2</v>
      </c>
    </row>
    <row r="83" spans="1:18" x14ac:dyDescent="0.3">
      <c r="A83" s="3">
        <v>42122</v>
      </c>
      <c r="B83" s="8">
        <v>15.556945462507679</v>
      </c>
      <c r="C83" s="8">
        <v>100.74</v>
      </c>
      <c r="D83" s="8">
        <v>62.76</v>
      </c>
      <c r="E83">
        <v>0</v>
      </c>
      <c r="G83">
        <f t="shared" si="11"/>
        <v>100.44153419416789</v>
      </c>
      <c r="H83">
        <f t="shared" si="12"/>
        <v>7.7062370526437274E-3</v>
      </c>
      <c r="I83">
        <f t="shared" si="13"/>
        <v>7.7062370526437274E-3</v>
      </c>
      <c r="K83">
        <f t="shared" si="14"/>
        <v>1.0062893081760782E-2</v>
      </c>
      <c r="L83">
        <f t="shared" si="15"/>
        <v>1.5907735136209133E-3</v>
      </c>
      <c r="M83">
        <f t="shared" si="16"/>
        <v>6.7372473532241184E-3</v>
      </c>
      <c r="P83" s="23">
        <v>5.6851107449153226E-2</v>
      </c>
      <c r="Q83" s="7">
        <v>2.393030200916535E-2</v>
      </c>
      <c r="R83" s="15">
        <v>8.1553838997797168E-2</v>
      </c>
    </row>
    <row r="84" spans="1:18" x14ac:dyDescent="0.3">
      <c r="A84" s="3">
        <v>42123</v>
      </c>
      <c r="B84" s="8">
        <v>15.518198400334558</v>
      </c>
      <c r="C84" s="8">
        <v>100.39</v>
      </c>
      <c r="D84" s="8">
        <v>63.6</v>
      </c>
      <c r="E84">
        <v>0</v>
      </c>
      <c r="G84">
        <f t="shared" si="11"/>
        <v>100.29728641309535</v>
      </c>
      <c r="H84">
        <f t="shared" si="12"/>
        <v>-1.4361367757852461E-3</v>
      </c>
      <c r="I84">
        <f t="shared" si="13"/>
        <v>-1.4361367757852461E-3</v>
      </c>
      <c r="K84">
        <f t="shared" si="14"/>
        <v>-2.4906600249066102E-3</v>
      </c>
      <c r="L84">
        <f t="shared" si="15"/>
        <v>-3.4742902521341934E-3</v>
      </c>
      <c r="M84">
        <f t="shared" si="16"/>
        <v>1.3384321223709472E-2</v>
      </c>
    </row>
    <row r="85" spans="1:18" x14ac:dyDescent="0.3">
      <c r="A85" s="3">
        <v>42124</v>
      </c>
      <c r="B85" s="8">
        <v>15.3050895583824</v>
      </c>
      <c r="C85" s="8">
        <v>99.2</v>
      </c>
      <c r="D85" s="8">
        <v>63.26</v>
      </c>
      <c r="E85">
        <v>0</v>
      </c>
      <c r="G85">
        <f t="shared" si="11"/>
        <v>99.039827302984719</v>
      </c>
      <c r="H85">
        <f t="shared" si="12"/>
        <v>-1.2537319354100185E-2</v>
      </c>
      <c r="I85">
        <f t="shared" si="13"/>
        <v>-1.2537319354100185E-2</v>
      </c>
      <c r="K85">
        <f t="shared" si="14"/>
        <v>-1.373283395755287E-2</v>
      </c>
      <c r="L85">
        <f t="shared" si="15"/>
        <v>-1.1853770295846222E-2</v>
      </c>
      <c r="M85">
        <f t="shared" si="16"/>
        <v>-5.3459119496855889E-3</v>
      </c>
      <c r="O85" s="2" t="s">
        <v>61</v>
      </c>
      <c r="P85" s="25" cm="1">
        <f t="array" ref="P85:Q86">(1/P73)*MMULT(P75:R76,MMULT(_xlfn.ANCHORARRAY(P32),TRANSPOSE(P75:R76)))</f>
        <v>7.9597486230006172E-3</v>
      </c>
      <c r="Q85" s="20">
        <v>-5.4683736162968529E-4</v>
      </c>
    </row>
    <row r="86" spans="1:18" x14ac:dyDescent="0.3">
      <c r="A86" s="3">
        <v>42125</v>
      </c>
      <c r="B86" s="8">
        <v>15.314776323925679</v>
      </c>
      <c r="C86" s="8">
        <v>100.13</v>
      </c>
      <c r="D86" s="8">
        <v>63.61</v>
      </c>
      <c r="E86">
        <v>0</v>
      </c>
      <c r="G86">
        <f t="shared" si="11"/>
        <v>100.70129204408846</v>
      </c>
      <c r="H86">
        <f t="shared" si="12"/>
        <v>1.6775723326141856E-2</v>
      </c>
      <c r="I86">
        <f t="shared" si="13"/>
        <v>1.6775723326141856E-2</v>
      </c>
      <c r="K86">
        <f t="shared" si="14"/>
        <v>6.3291139240506666E-4</v>
      </c>
      <c r="L86">
        <f t="shared" si="15"/>
        <v>9.3749999999999112E-3</v>
      </c>
      <c r="M86">
        <f t="shared" si="16"/>
        <v>5.5327220992729131E-3</v>
      </c>
      <c r="O86" s="2"/>
      <c r="P86" s="23">
        <v>-5.4683736162968529E-4</v>
      </c>
      <c r="Q86" s="15">
        <v>3.5526064999697148E-3</v>
      </c>
    </row>
    <row r="87" spans="1:18" x14ac:dyDescent="0.3">
      <c r="A87" s="3">
        <v>42128</v>
      </c>
      <c r="B87" s="8">
        <v>15.285716027295839</v>
      </c>
      <c r="C87" s="8">
        <v>100.35</v>
      </c>
      <c r="D87" s="8">
        <v>64.72</v>
      </c>
      <c r="E87">
        <v>0</v>
      </c>
      <c r="G87">
        <f t="shared" si="11"/>
        <v>100.75078501988921</v>
      </c>
      <c r="H87">
        <f t="shared" si="12"/>
        <v>4.91483026643591E-4</v>
      </c>
      <c r="I87">
        <f t="shared" si="13"/>
        <v>4.91483026643591E-4</v>
      </c>
      <c r="K87">
        <f t="shared" si="14"/>
        <v>-1.8975332068311701E-3</v>
      </c>
      <c r="L87">
        <f t="shared" si="15"/>
        <v>2.1971437131729221E-3</v>
      </c>
      <c r="M87">
        <f t="shared" si="16"/>
        <v>1.7450086464392278E-2</v>
      </c>
      <c r="O87" s="2"/>
    </row>
    <row r="88" spans="1:18" x14ac:dyDescent="0.3">
      <c r="A88" s="3">
        <v>42129</v>
      </c>
      <c r="B88" s="8">
        <v>15.043546888713839</v>
      </c>
      <c r="C88" s="8">
        <v>99.5</v>
      </c>
      <c r="D88" s="8">
        <v>64.400000000000006</v>
      </c>
      <c r="E88">
        <v>0</v>
      </c>
      <c r="G88">
        <f t="shared" si="11"/>
        <v>99.208385421746456</v>
      </c>
      <c r="H88">
        <f t="shared" si="12"/>
        <v>-1.5309057868266418E-2</v>
      </c>
      <c r="I88">
        <f t="shared" si="13"/>
        <v>-1.5309057868266418E-2</v>
      </c>
      <c r="K88">
        <f t="shared" si="14"/>
        <v>-1.5842839036755318E-2</v>
      </c>
      <c r="L88">
        <f t="shared" si="15"/>
        <v>-8.4703537618334712E-3</v>
      </c>
      <c r="M88">
        <f t="shared" si="16"/>
        <v>-4.9443757725585735E-3</v>
      </c>
      <c r="O88" s="2" t="s">
        <v>62</v>
      </c>
      <c r="P88" s="25" cm="1">
        <f t="array" ref="P88:Q89">P72*MMULT(P75:R76,MMULT(_xlfn.ANCHORARRAY(P32),TRANSPOSE(P75:R76)))+_xlfn.ANCHORARRAY(P85)</f>
        <v>8.0060531525119639E-3</v>
      </c>
      <c r="Q88" s="20">
        <v>-5.5001849811386026E-4</v>
      </c>
    </row>
    <row r="89" spans="1:18" x14ac:dyDescent="0.3">
      <c r="A89" s="3">
        <v>42130</v>
      </c>
      <c r="B89" s="8">
        <v>14.995113060997442</v>
      </c>
      <c r="C89" s="8">
        <v>99.17</v>
      </c>
      <c r="D89" s="8">
        <v>63.92</v>
      </c>
      <c r="E89">
        <v>0</v>
      </c>
      <c r="G89">
        <f t="shared" si="11"/>
        <v>99.513685114730507</v>
      </c>
      <c r="H89">
        <f t="shared" si="12"/>
        <v>3.0773577423539589E-3</v>
      </c>
      <c r="I89">
        <f t="shared" si="13"/>
        <v>3.0773577423539589E-3</v>
      </c>
      <c r="K89">
        <f t="shared" si="14"/>
        <v>-3.2195750160977088E-3</v>
      </c>
      <c r="L89">
        <f t="shared" si="15"/>
        <v>-3.3165829145728187E-3</v>
      </c>
      <c r="M89">
        <f t="shared" si="16"/>
        <v>-7.4534161490683593E-3</v>
      </c>
      <c r="P89" s="23">
        <v>-5.5001849811386026E-4</v>
      </c>
      <c r="Q89" s="15">
        <v>3.5732732044488871E-3</v>
      </c>
    </row>
    <row r="90" spans="1:18" x14ac:dyDescent="0.3">
      <c r="A90" s="3">
        <v>42131</v>
      </c>
      <c r="B90" s="8">
        <v>15.02417335762728</v>
      </c>
      <c r="C90" s="8">
        <v>99.66</v>
      </c>
      <c r="D90" s="8">
        <v>64.5</v>
      </c>
      <c r="E90">
        <v>0</v>
      </c>
      <c r="G90">
        <f t="shared" si="11"/>
        <v>100.61815131665004</v>
      </c>
      <c r="H90">
        <f t="shared" si="12"/>
        <v>1.109863633977759E-2</v>
      </c>
      <c r="I90">
        <f t="shared" si="13"/>
        <v>1.109863633977759E-2</v>
      </c>
      <c r="K90">
        <f t="shared" si="14"/>
        <v>1.9379844961238124E-3</v>
      </c>
      <c r="L90">
        <f t="shared" si="15"/>
        <v>4.9410103862055355E-3</v>
      </c>
      <c r="M90">
        <f t="shared" si="16"/>
        <v>9.0738423028786652E-3</v>
      </c>
      <c r="O90" s="2"/>
    </row>
    <row r="91" spans="1:18" x14ac:dyDescent="0.3">
      <c r="A91" s="3">
        <v>42132</v>
      </c>
      <c r="B91" s="8">
        <v>15.179161606319759</v>
      </c>
      <c r="C91" s="8">
        <v>101.47</v>
      </c>
      <c r="D91" s="8">
        <v>65.489999999999995</v>
      </c>
      <c r="E91">
        <v>0</v>
      </c>
      <c r="G91">
        <f t="shared" si="11"/>
        <v>101.62809615428347</v>
      </c>
      <c r="H91">
        <f t="shared" si="12"/>
        <v>1.0037402043445276E-2</v>
      </c>
      <c r="I91">
        <f t="shared" si="13"/>
        <v>1.0037402043445276E-2</v>
      </c>
      <c r="K91">
        <f t="shared" si="14"/>
        <v>1.0315925209542165E-2</v>
      </c>
      <c r="L91">
        <f t="shared" si="15"/>
        <v>1.8161749949829442E-2</v>
      </c>
      <c r="M91">
        <f t="shared" si="16"/>
        <v>1.5348837209302246E-2</v>
      </c>
      <c r="O91" s="2" t="s">
        <v>60</v>
      </c>
      <c r="P91" s="25" cm="1">
        <f t="array" ref="P91:Q92">MINVERSE(_xlfn.ANCHORARRAY(P88))</f>
        <v>126.24045157466533</v>
      </c>
      <c r="Q91" s="20">
        <v>19.431647009208177</v>
      </c>
    </row>
    <row r="92" spans="1:18" x14ac:dyDescent="0.3">
      <c r="A92" s="3">
        <v>42135</v>
      </c>
      <c r="B92" s="8">
        <v>15.1597880752332</v>
      </c>
      <c r="C92" s="8">
        <v>101.03</v>
      </c>
      <c r="D92" s="8">
        <v>65.45</v>
      </c>
      <c r="E92">
        <v>0</v>
      </c>
      <c r="G92">
        <f t="shared" si="11"/>
        <v>99.73863659765729</v>
      </c>
      <c r="H92">
        <f t="shared" si="12"/>
        <v>-1.8591901532404531E-2</v>
      </c>
      <c r="I92">
        <f t="shared" si="13"/>
        <v>-1.8591901532404531E-2</v>
      </c>
      <c r="K92">
        <f t="shared" si="14"/>
        <v>-1.2763241863432695E-3</v>
      </c>
      <c r="L92">
        <f t="shared" si="15"/>
        <v>-4.3362570217798657E-3</v>
      </c>
      <c r="M92">
        <f t="shared" si="16"/>
        <v>-6.1078027179706229E-4</v>
      </c>
      <c r="P92" s="23">
        <v>19.431647009208177</v>
      </c>
      <c r="Q92" s="15">
        <v>282.84648485470723</v>
      </c>
    </row>
    <row r="93" spans="1:18" x14ac:dyDescent="0.3">
      <c r="A93" s="3">
        <v>42136</v>
      </c>
      <c r="B93" s="8">
        <v>15.072607185343681</v>
      </c>
      <c r="C93" s="8">
        <v>100.47</v>
      </c>
      <c r="D93" s="8">
        <v>65.36</v>
      </c>
      <c r="E93">
        <v>0</v>
      </c>
      <c r="G93">
        <f t="shared" si="11"/>
        <v>99.600369495345603</v>
      </c>
      <c r="H93">
        <f t="shared" si="12"/>
        <v>-1.3862942890371377E-3</v>
      </c>
      <c r="I93">
        <f t="shared" si="13"/>
        <v>-1.3862942890371377E-3</v>
      </c>
      <c r="K93">
        <f t="shared" si="14"/>
        <v>-5.7507987220446477E-3</v>
      </c>
      <c r="L93">
        <f t="shared" si="15"/>
        <v>-5.5429080471147696E-3</v>
      </c>
      <c r="M93">
        <f t="shared" si="16"/>
        <v>-1.3750954927426173E-3</v>
      </c>
      <c r="O93" s="2"/>
    </row>
    <row r="94" spans="1:18" x14ac:dyDescent="0.3">
      <c r="A94" s="3">
        <v>42137</v>
      </c>
      <c r="B94" s="8">
        <v>14.927305702194481</v>
      </c>
      <c r="C94" s="8">
        <v>100.55</v>
      </c>
      <c r="D94" s="8">
        <v>65.52</v>
      </c>
      <c r="E94">
        <v>0</v>
      </c>
      <c r="G94">
        <f t="shared" si="11"/>
        <v>100.03240629951181</v>
      </c>
      <c r="H94">
        <f t="shared" si="12"/>
        <v>4.3377028253532846E-3</v>
      </c>
      <c r="I94">
        <f t="shared" si="13"/>
        <v>4.3377028253532846E-3</v>
      </c>
      <c r="K94">
        <f t="shared" si="14"/>
        <v>-9.6401028277635081E-3</v>
      </c>
      <c r="L94">
        <f t="shared" si="15"/>
        <v>7.9625758933010715E-4</v>
      </c>
      <c r="M94">
        <f t="shared" si="16"/>
        <v>2.4479804161565699E-3</v>
      </c>
      <c r="O94" s="2" t="s">
        <v>59</v>
      </c>
      <c r="P94" s="67" cm="1">
        <f t="array" ref="P94:P96">_xlfn.ANCHORARRAY(P67)+P72*MMULT(_xlfn.ANCHORARRAY(P81),MMULT(TRANSPOSE(P75:R76),MMULT(_xlfn.ANCHORARRAY(P91),(P78:P79-MMULT(P75:R76,_xlfn.ANCHORARRAY(P67))))))</f>
        <v>0.11294387204132944</v>
      </c>
    </row>
    <row r="95" spans="1:18" x14ac:dyDescent="0.3">
      <c r="A95" s="3">
        <v>42138</v>
      </c>
      <c r="B95" s="8">
        <v>14.791690984588561</v>
      </c>
      <c r="C95" s="8">
        <v>101.83</v>
      </c>
      <c r="D95" s="8">
        <v>66.05</v>
      </c>
      <c r="E95">
        <v>0</v>
      </c>
      <c r="G95">
        <f t="shared" si="11"/>
        <v>100.86973230662149</v>
      </c>
      <c r="H95">
        <f t="shared" si="12"/>
        <v>8.3705474864075313E-3</v>
      </c>
      <c r="I95">
        <f t="shared" si="13"/>
        <v>8.3705474864075313E-3</v>
      </c>
      <c r="K95">
        <f t="shared" si="14"/>
        <v>-9.0850097339389979E-3</v>
      </c>
      <c r="L95">
        <f t="shared" si="15"/>
        <v>1.2729985082048811E-2</v>
      </c>
      <c r="M95">
        <f t="shared" si="16"/>
        <v>8.0891330891330604E-3</v>
      </c>
      <c r="P95" s="68">
        <v>7.1572692884712616E-2</v>
      </c>
    </row>
    <row r="96" spans="1:18" x14ac:dyDescent="0.3">
      <c r="A96" s="3">
        <v>42139</v>
      </c>
      <c r="B96" s="8">
        <v>14.995113060997442</v>
      </c>
      <c r="C96" s="8">
        <v>102.3</v>
      </c>
      <c r="D96" s="8">
        <v>65.88</v>
      </c>
      <c r="E96">
        <v>0</v>
      </c>
      <c r="G96">
        <f t="shared" si="11"/>
        <v>100.28676827560896</v>
      </c>
      <c r="H96">
        <f t="shared" si="12"/>
        <v>-5.7793752167443202E-3</v>
      </c>
      <c r="I96">
        <f t="shared" si="13"/>
        <v>-5.7793752167443202E-3</v>
      </c>
      <c r="K96">
        <f t="shared" si="14"/>
        <v>1.3752455795677854E-2</v>
      </c>
      <c r="L96">
        <f t="shared" si="15"/>
        <v>4.6155356967494399E-3</v>
      </c>
      <c r="M96">
        <f t="shared" si="16"/>
        <v>-2.573807721423238E-3</v>
      </c>
      <c r="O96" s="2"/>
      <c r="P96" s="69">
        <v>0.14230041560289991</v>
      </c>
    </row>
    <row r="97" spans="1:18" x14ac:dyDescent="0.3">
      <c r="A97" s="3">
        <v>42142</v>
      </c>
      <c r="B97" s="8">
        <v>15.091980716430241</v>
      </c>
      <c r="C97" s="8">
        <v>103.42</v>
      </c>
      <c r="D97" s="8">
        <v>66.42</v>
      </c>
      <c r="E97">
        <v>0</v>
      </c>
      <c r="G97">
        <f t="shared" si="11"/>
        <v>100.94424069309456</v>
      </c>
      <c r="H97">
        <f t="shared" si="12"/>
        <v>6.5559238650378937E-3</v>
      </c>
      <c r="I97">
        <f t="shared" si="13"/>
        <v>6.5559238650378937E-3</v>
      </c>
      <c r="K97">
        <f t="shared" si="14"/>
        <v>6.4599483204133001E-3</v>
      </c>
      <c r="L97">
        <f t="shared" si="15"/>
        <v>1.0948191593352918E-2</v>
      </c>
      <c r="M97">
        <f t="shared" si="16"/>
        <v>8.19672131147553E-3</v>
      </c>
    </row>
    <row r="98" spans="1:18" x14ac:dyDescent="0.3">
      <c r="A98" s="3">
        <v>42143</v>
      </c>
      <c r="B98" s="8">
        <v>15.014486592083999</v>
      </c>
      <c r="C98" s="8">
        <v>103.96</v>
      </c>
      <c r="D98" s="8">
        <v>67.010000000000005</v>
      </c>
      <c r="E98">
        <v>0</v>
      </c>
      <c r="G98">
        <f t="shared" si="11"/>
        <v>100.55139088570195</v>
      </c>
      <c r="H98">
        <f t="shared" si="12"/>
        <v>-3.8917505812640085E-3</v>
      </c>
      <c r="I98">
        <f t="shared" si="13"/>
        <v>-3.8917505812640085E-3</v>
      </c>
      <c r="K98">
        <f t="shared" si="14"/>
        <v>-5.1347881899872494E-3</v>
      </c>
      <c r="L98">
        <f t="shared" si="15"/>
        <v>5.2214271900985487E-3</v>
      </c>
      <c r="M98">
        <f t="shared" si="16"/>
        <v>8.8828666064439954E-3</v>
      </c>
      <c r="O98" s="2" t="s">
        <v>64</v>
      </c>
      <c r="P98" s="25" cm="1">
        <f t="array" ref="P98:R100">(1+P72)*_xlfn.ANCHORARRAY(P81)-P72^2*MMULT(_xlfn.ANCHORARRAY(P81),MMULT(TRANSPOSE(P75:R76),MMULT(_xlfn.ANCHORARRAY(P91),MMULT(P75:R76,_xlfn.ANCHORARRAY(P81)))))</f>
        <v>0.1118106937567272</v>
      </c>
      <c r="Q98" s="19">
        <v>1.8472606199920472E-2</v>
      </c>
      <c r="R98" s="20">
        <v>5.6884189651026415E-2</v>
      </c>
    </row>
    <row r="99" spans="1:18" x14ac:dyDescent="0.3">
      <c r="A99" s="3">
        <v>42144</v>
      </c>
      <c r="B99" s="8">
        <v>14.820751281218401</v>
      </c>
      <c r="C99" s="8">
        <v>103.6</v>
      </c>
      <c r="D99" s="8">
        <v>66.48</v>
      </c>
      <c r="E99">
        <v>0</v>
      </c>
      <c r="G99">
        <f t="shared" si="11"/>
        <v>99.38745339571642</v>
      </c>
      <c r="H99">
        <f t="shared" si="12"/>
        <v>-1.1575548381111855E-2</v>
      </c>
      <c r="I99">
        <f t="shared" si="13"/>
        <v>-1.1575548381111855E-2</v>
      </c>
      <c r="K99">
        <f t="shared" si="14"/>
        <v>-1.2903225806451535E-2</v>
      </c>
      <c r="L99">
        <f t="shared" si="15"/>
        <v>-3.4628703347441281E-3</v>
      </c>
      <c r="M99">
        <f t="shared" si="16"/>
        <v>-7.9092672735412428E-3</v>
      </c>
      <c r="O99" s="2"/>
      <c r="P99" s="21">
        <v>1.8472606199920472E-2</v>
      </c>
      <c r="Q99">
        <v>3.554661217436441E-2</v>
      </c>
      <c r="R99" s="14">
        <v>2.3944142553994248E-2</v>
      </c>
    </row>
    <row r="100" spans="1:18" x14ac:dyDescent="0.3">
      <c r="A100" s="3">
        <v>42145</v>
      </c>
      <c r="B100" s="8">
        <v>15.02417335762728</v>
      </c>
      <c r="C100" s="8">
        <v>102.42</v>
      </c>
      <c r="D100" s="8">
        <v>66.650000000000006</v>
      </c>
      <c r="E100">
        <v>0</v>
      </c>
      <c r="G100">
        <f t="shared" si="11"/>
        <v>99.649064037129705</v>
      </c>
      <c r="H100">
        <f t="shared" si="12"/>
        <v>2.6322300499206364E-3</v>
      </c>
      <c r="I100">
        <f t="shared" si="13"/>
        <v>2.6322300499206364E-3</v>
      </c>
      <c r="K100">
        <f t="shared" si="14"/>
        <v>1.3725490196078383E-2</v>
      </c>
      <c r="L100">
        <f t="shared" si="15"/>
        <v>-1.1389961389961289E-2</v>
      </c>
      <c r="M100">
        <f t="shared" si="16"/>
        <v>2.5571600481348877E-3</v>
      </c>
      <c r="O100" s="2"/>
      <c r="P100" s="23">
        <v>5.6884189651026415E-2</v>
      </c>
      <c r="Q100" s="7">
        <v>2.3944142553994248E-2</v>
      </c>
      <c r="R100" s="15">
        <v>8.1601208493799121E-2</v>
      </c>
    </row>
    <row r="101" spans="1:18" x14ac:dyDescent="0.3">
      <c r="A101" s="3">
        <v>42146</v>
      </c>
      <c r="B101" s="8">
        <v>14.791690984588561</v>
      </c>
      <c r="C101" s="8">
        <v>101.35</v>
      </c>
      <c r="D101" s="8">
        <v>66.47</v>
      </c>
      <c r="E101">
        <v>0</v>
      </c>
      <c r="G101">
        <f t="shared" si="11"/>
        <v>99.19410991337034</v>
      </c>
      <c r="H101">
        <f t="shared" si="12"/>
        <v>-4.5655634416179591E-3</v>
      </c>
      <c r="I101">
        <f t="shared" si="13"/>
        <v>-4.5655634416179591E-3</v>
      </c>
      <c r="K101">
        <f t="shared" si="14"/>
        <v>-1.5473887814313247E-2</v>
      </c>
      <c r="L101">
        <f t="shared" si="15"/>
        <v>-1.0447178285491132E-2</v>
      </c>
      <c r="M101">
        <f t="shared" si="16"/>
        <v>-2.7006751687923547E-3</v>
      </c>
      <c r="O101" s="2"/>
    </row>
    <row r="102" spans="1:18" x14ac:dyDescent="0.3">
      <c r="A102" s="3">
        <v>42150</v>
      </c>
      <c r="B102" s="8">
        <v>14.714196860242319</v>
      </c>
      <c r="C102" s="8">
        <v>100.82</v>
      </c>
      <c r="D102" s="8">
        <v>65.73</v>
      </c>
      <c r="E102">
        <v>0</v>
      </c>
      <c r="G102">
        <f t="shared" si="11"/>
        <v>99.25480636192286</v>
      </c>
      <c r="H102">
        <f t="shared" si="12"/>
        <v>6.1189569224961993E-4</v>
      </c>
      <c r="I102">
        <f t="shared" si="13"/>
        <v>6.1189569224961993E-4</v>
      </c>
      <c r="K102">
        <f t="shared" si="14"/>
        <v>-5.2390307793058755E-3</v>
      </c>
      <c r="L102">
        <f t="shared" si="15"/>
        <v>-5.2294030587074491E-3</v>
      </c>
      <c r="M102">
        <f t="shared" si="16"/>
        <v>-1.1132841883556455E-2</v>
      </c>
      <c r="O102" s="2" t="s">
        <v>65</v>
      </c>
      <c r="P102" s="63" cm="1">
        <f t="array" ref="P102:P104">(1/P66)*MMULT(MINVERSE(_xlfn.ANCHORARRAY(P98)),_xlfn.ANCHORARRAY(P94))</f>
        <v>6.4805658100572039E-2</v>
      </c>
    </row>
    <row r="103" spans="1:18" x14ac:dyDescent="0.3">
      <c r="A103" s="3">
        <v>42151</v>
      </c>
      <c r="B103" s="8">
        <v>14.84012481230496</v>
      </c>
      <c r="C103" s="8">
        <v>101.13</v>
      </c>
      <c r="D103" s="8">
        <v>66.47</v>
      </c>
      <c r="E103">
        <v>0</v>
      </c>
      <c r="G103">
        <f t="shared" si="11"/>
        <v>100.67289611325982</v>
      </c>
      <c r="H103">
        <f t="shared" si="12"/>
        <v>1.4287366056269679E-2</v>
      </c>
      <c r="I103">
        <f t="shared" si="13"/>
        <v>1.4287366056269679E-2</v>
      </c>
      <c r="K103">
        <f t="shared" si="14"/>
        <v>8.5582620144832866E-3</v>
      </c>
      <c r="L103">
        <f t="shared" si="15"/>
        <v>3.0747867486609071E-3</v>
      </c>
      <c r="M103">
        <f t="shared" si="16"/>
        <v>1.1258177392362567E-2</v>
      </c>
      <c r="O103" s="2"/>
      <c r="P103" s="64">
        <v>0.40669140277987342</v>
      </c>
    </row>
    <row r="104" spans="1:18" x14ac:dyDescent="0.3">
      <c r="A104" s="3">
        <v>42152</v>
      </c>
      <c r="B104" s="8">
        <v>14.811064515675119</v>
      </c>
      <c r="C104" s="8">
        <v>101.15</v>
      </c>
      <c r="D104" s="8">
        <v>66.2</v>
      </c>
      <c r="E104">
        <v>0</v>
      </c>
      <c r="G104">
        <f t="shared" si="11"/>
        <v>99.836882581434253</v>
      </c>
      <c r="H104">
        <f t="shared" si="12"/>
        <v>-8.3042563003753456E-3</v>
      </c>
      <c r="I104">
        <f t="shared" si="13"/>
        <v>-8.3042563003753456E-3</v>
      </c>
      <c r="K104">
        <f t="shared" si="14"/>
        <v>-1.958224543081033E-3</v>
      </c>
      <c r="L104">
        <f t="shared" si="15"/>
        <v>1.9776525264525446E-4</v>
      </c>
      <c r="M104">
        <f t="shared" si="16"/>
        <v>-4.061982849405732E-3</v>
      </c>
      <c r="O104" s="2"/>
      <c r="P104" s="65">
        <v>0.52060159173489495</v>
      </c>
    </row>
    <row r="105" spans="1:18" x14ac:dyDescent="0.3">
      <c r="A105" s="3">
        <v>42153</v>
      </c>
      <c r="B105" s="8">
        <v>14.69482332915576</v>
      </c>
      <c r="C105" s="8">
        <v>100.14</v>
      </c>
      <c r="D105" s="8">
        <v>65.78</v>
      </c>
      <c r="E105">
        <v>0</v>
      </c>
      <c r="G105">
        <f t="shared" si="11"/>
        <v>99.160883696145575</v>
      </c>
      <c r="H105">
        <f t="shared" si="12"/>
        <v>-6.7710335880858397E-3</v>
      </c>
      <c r="I105">
        <f t="shared" si="13"/>
        <v>-6.7710335880858397E-3</v>
      </c>
      <c r="K105">
        <f t="shared" si="14"/>
        <v>-7.8482668410725376E-3</v>
      </c>
      <c r="L105">
        <f t="shared" si="15"/>
        <v>-9.985170538803767E-3</v>
      </c>
      <c r="M105">
        <f t="shared" si="16"/>
        <v>-6.344410876132911E-3</v>
      </c>
      <c r="O105" s="2"/>
    </row>
    <row r="106" spans="1:18" x14ac:dyDescent="0.3">
      <c r="A106" s="3">
        <v>42156</v>
      </c>
      <c r="B106" s="8">
        <v>14.878871874478079</v>
      </c>
      <c r="C106" s="8">
        <v>100.04</v>
      </c>
      <c r="D106" s="8">
        <v>66.08</v>
      </c>
      <c r="E106">
        <v>0</v>
      </c>
      <c r="G106">
        <f t="shared" si="11"/>
        <v>100.25106793274172</v>
      </c>
      <c r="H106">
        <f t="shared" si="12"/>
        <v>1.0994095614725863E-2</v>
      </c>
      <c r="I106">
        <f t="shared" si="13"/>
        <v>1.0994095614725863E-2</v>
      </c>
      <c r="K106">
        <f t="shared" si="14"/>
        <v>1.2524719841793042E-2</v>
      </c>
      <c r="L106">
        <f t="shared" si="15"/>
        <v>-9.9860195725975931E-4</v>
      </c>
      <c r="M106">
        <f t="shared" si="16"/>
        <v>4.5606567345697346E-3</v>
      </c>
      <c r="O106" s="2"/>
    </row>
    <row r="107" spans="1:18" x14ac:dyDescent="0.3">
      <c r="A107" s="3">
        <v>42157</v>
      </c>
      <c r="B107" s="8">
        <v>14.78200421904528</v>
      </c>
      <c r="C107" s="8">
        <v>99.98</v>
      </c>
      <c r="D107" s="8">
        <v>66.02</v>
      </c>
      <c r="E107">
        <v>0</v>
      </c>
      <c r="G107">
        <f t="shared" si="11"/>
        <v>99.866479921681943</v>
      </c>
      <c r="H107">
        <f t="shared" si="12"/>
        <v>-3.8362485207419361E-3</v>
      </c>
      <c r="I107">
        <f t="shared" si="13"/>
        <v>-3.8362485207419361E-3</v>
      </c>
      <c r="K107">
        <f t="shared" si="14"/>
        <v>-6.5104166666666297E-3</v>
      </c>
      <c r="L107">
        <f t="shared" si="15"/>
        <v>-5.9976009596163227E-4</v>
      </c>
      <c r="M107">
        <f t="shared" si="16"/>
        <v>-9.0799031476995751E-4</v>
      </c>
      <c r="O107" s="2"/>
    </row>
    <row r="108" spans="1:18" x14ac:dyDescent="0.3">
      <c r="A108" s="3">
        <v>42158</v>
      </c>
      <c r="B108" s="8">
        <v>14.7238836257856</v>
      </c>
      <c r="C108" s="8">
        <v>100.09</v>
      </c>
      <c r="D108" s="8">
        <v>66.7</v>
      </c>
      <c r="E108">
        <v>0</v>
      </c>
      <c r="G108">
        <f t="shared" si="11"/>
        <v>100.40347845972563</v>
      </c>
      <c r="H108">
        <f t="shared" si="12"/>
        <v>5.3771649753231454E-3</v>
      </c>
      <c r="I108">
        <f t="shared" si="13"/>
        <v>5.3771649753231454E-3</v>
      </c>
      <c r="K108">
        <f t="shared" si="14"/>
        <v>-3.9318479685451768E-3</v>
      </c>
      <c r="L108">
        <f t="shared" si="15"/>
        <v>1.1002200440088927E-3</v>
      </c>
      <c r="M108">
        <f t="shared" si="16"/>
        <v>1.0299909118449024E-2</v>
      </c>
      <c r="O108" s="2"/>
    </row>
    <row r="109" spans="1:18" x14ac:dyDescent="0.3">
      <c r="A109" s="3">
        <v>42159</v>
      </c>
      <c r="B109" s="8">
        <v>14.578582142636401</v>
      </c>
      <c r="C109" s="8">
        <v>99.23</v>
      </c>
      <c r="D109" s="8">
        <v>66.33</v>
      </c>
      <c r="E109">
        <v>0</v>
      </c>
      <c r="G109">
        <f t="shared" si="11"/>
        <v>99.241986899645866</v>
      </c>
      <c r="H109">
        <f t="shared" si="12"/>
        <v>-1.1568240243246874E-2</v>
      </c>
      <c r="I109">
        <f t="shared" si="13"/>
        <v>-1.1568240243246874E-2</v>
      </c>
      <c r="K109">
        <f t="shared" si="14"/>
        <v>-9.8684210526315264E-3</v>
      </c>
      <c r="L109">
        <f t="shared" si="15"/>
        <v>-8.59226695973625E-3</v>
      </c>
      <c r="M109">
        <f t="shared" si="16"/>
        <v>-5.547226386806714E-3</v>
      </c>
      <c r="O109" s="2"/>
    </row>
    <row r="110" spans="1:18" x14ac:dyDescent="0.3">
      <c r="A110" s="3">
        <v>42160</v>
      </c>
      <c r="B110" s="8">
        <v>14.31703947296784</v>
      </c>
      <c r="C110" s="8">
        <v>98.59</v>
      </c>
      <c r="D110" s="8">
        <v>67.42</v>
      </c>
      <c r="E110">
        <v>0</v>
      </c>
      <c r="G110">
        <f t="shared" si="11"/>
        <v>100.09570771816638</v>
      </c>
      <c r="H110">
        <f t="shared" si="12"/>
        <v>8.6024156225712467E-3</v>
      </c>
      <c r="I110">
        <f t="shared" si="13"/>
        <v>8.6024156225712467E-3</v>
      </c>
      <c r="K110">
        <f t="shared" si="14"/>
        <v>-1.7940199335548246E-2</v>
      </c>
      <c r="L110">
        <f t="shared" si="15"/>
        <v>-6.4496624004837244E-3</v>
      </c>
      <c r="M110">
        <f t="shared" si="16"/>
        <v>1.643298658224035E-2</v>
      </c>
      <c r="O110" s="2"/>
    </row>
    <row r="111" spans="1:18" x14ac:dyDescent="0.3">
      <c r="A111" s="3">
        <v>42163</v>
      </c>
      <c r="B111" s="8">
        <v>14.433280659487201</v>
      </c>
      <c r="C111" s="8">
        <v>97.96</v>
      </c>
      <c r="D111" s="8">
        <v>66.89</v>
      </c>
      <c r="E111">
        <v>0</v>
      </c>
      <c r="G111">
        <f t="shared" si="11"/>
        <v>99.457691725151975</v>
      </c>
      <c r="H111">
        <f t="shared" si="12"/>
        <v>-6.3740594632771819E-3</v>
      </c>
      <c r="I111">
        <f t="shared" si="13"/>
        <v>-6.3740594632771819E-3</v>
      </c>
      <c r="K111">
        <f t="shared" si="14"/>
        <v>8.1190798376185036E-3</v>
      </c>
      <c r="L111">
        <f t="shared" si="15"/>
        <v>-6.390100415863742E-3</v>
      </c>
      <c r="M111">
        <f t="shared" si="16"/>
        <v>-7.8611687926432028E-3</v>
      </c>
      <c r="O111" s="2"/>
    </row>
    <row r="112" spans="1:18" x14ac:dyDescent="0.3">
      <c r="A112" s="3">
        <v>42164</v>
      </c>
      <c r="B112" s="8">
        <v>14.413907128400641</v>
      </c>
      <c r="C112" s="8">
        <v>98.21</v>
      </c>
      <c r="D112" s="8">
        <v>67.180000000000007</v>
      </c>
      <c r="E112">
        <v>0</v>
      </c>
      <c r="G112">
        <f t="shared" si="11"/>
        <v>100.28150427278817</v>
      </c>
      <c r="H112">
        <f t="shared" si="12"/>
        <v>8.2830451154323192E-3</v>
      </c>
      <c r="I112">
        <f t="shared" si="13"/>
        <v>8.2830451154323192E-3</v>
      </c>
      <c r="K112">
        <f t="shared" si="14"/>
        <v>-1.3422818791946067E-3</v>
      </c>
      <c r="L112">
        <f t="shared" si="15"/>
        <v>2.5520620661494409E-3</v>
      </c>
      <c r="M112">
        <f t="shared" si="16"/>
        <v>4.3354761548812792E-3</v>
      </c>
      <c r="O112" s="2"/>
    </row>
    <row r="113" spans="1:15" x14ac:dyDescent="0.3">
      <c r="A113" s="3">
        <v>42165</v>
      </c>
      <c r="B113" s="8">
        <v>14.55920861154984</v>
      </c>
      <c r="C113" s="8">
        <v>98.88</v>
      </c>
      <c r="D113" s="8">
        <v>68.260000000000005</v>
      </c>
      <c r="E113">
        <v>0</v>
      </c>
      <c r="G113">
        <f t="shared" si="11"/>
        <v>101.06460286053584</v>
      </c>
      <c r="H113">
        <f t="shared" si="12"/>
        <v>7.8090031998070408E-3</v>
      </c>
      <c r="I113">
        <f t="shared" si="13"/>
        <v>7.8090031998070408E-3</v>
      </c>
      <c r="K113">
        <f t="shared" si="14"/>
        <v>1.0080645161290258E-2</v>
      </c>
      <c r="L113">
        <f t="shared" si="15"/>
        <v>6.8221158741472721E-3</v>
      </c>
      <c r="M113">
        <f t="shared" si="16"/>
        <v>1.6076213158678243E-2</v>
      </c>
      <c r="O113" s="2"/>
    </row>
    <row r="114" spans="1:15" x14ac:dyDescent="0.3">
      <c r="A114" s="3">
        <v>42166</v>
      </c>
      <c r="B114" s="8">
        <v>14.801377750131838</v>
      </c>
      <c r="C114" s="8">
        <v>99.24</v>
      </c>
      <c r="D114" s="8">
        <v>68.52</v>
      </c>
      <c r="E114">
        <v>0</v>
      </c>
      <c r="G114">
        <f t="shared" si="11"/>
        <v>100.50657249670883</v>
      </c>
      <c r="H114">
        <f t="shared" si="12"/>
        <v>-5.5215213638851735E-3</v>
      </c>
      <c r="I114">
        <f t="shared" si="13"/>
        <v>-5.5215213638851735E-3</v>
      </c>
      <c r="K114">
        <f t="shared" si="14"/>
        <v>1.6633399866932574E-2</v>
      </c>
      <c r="L114">
        <f t="shared" si="15"/>
        <v>3.6407766990291801E-3</v>
      </c>
      <c r="M114">
        <f t="shared" si="16"/>
        <v>3.8089657193083326E-3</v>
      </c>
      <c r="O114" s="2"/>
    </row>
    <row r="115" spans="1:15" x14ac:dyDescent="0.3">
      <c r="A115" s="3">
        <v>42167</v>
      </c>
      <c r="B115" s="8">
        <v>14.75294392241544</v>
      </c>
      <c r="C115" s="8">
        <v>98.35</v>
      </c>
      <c r="D115" s="8">
        <v>68.25</v>
      </c>
      <c r="E115">
        <v>0</v>
      </c>
      <c r="G115">
        <f t="shared" si="11"/>
        <v>99.352076207511672</v>
      </c>
      <c r="H115">
        <f t="shared" si="12"/>
        <v>-1.1486774053855675E-2</v>
      </c>
      <c r="I115">
        <f t="shared" si="13"/>
        <v>-1.1486774053855675E-2</v>
      </c>
      <c r="K115">
        <f t="shared" si="14"/>
        <v>-3.2722513089004091E-3</v>
      </c>
      <c r="L115">
        <f t="shared" si="15"/>
        <v>-8.9681580008060813E-3</v>
      </c>
      <c r="M115">
        <f t="shared" si="16"/>
        <v>-3.9404553415061105E-3</v>
      </c>
      <c r="O115" s="2"/>
    </row>
    <row r="116" spans="1:15" x14ac:dyDescent="0.3">
      <c r="A116" s="3">
        <v>42170</v>
      </c>
      <c r="B116" s="8">
        <v>14.578582142636401</v>
      </c>
      <c r="C116" s="8">
        <v>97.49</v>
      </c>
      <c r="D116" s="8">
        <v>67.989999999999995</v>
      </c>
      <c r="E116">
        <v>0</v>
      </c>
      <c r="G116">
        <f t="shared" si="11"/>
        <v>99.279050422763959</v>
      </c>
      <c r="H116">
        <f t="shared" si="12"/>
        <v>-7.3502021835147868E-4</v>
      </c>
      <c r="I116">
        <f t="shared" si="13"/>
        <v>-7.3502021835147868E-4</v>
      </c>
      <c r="K116">
        <f t="shared" si="14"/>
        <v>-1.1818778726198187E-2</v>
      </c>
      <c r="L116">
        <f t="shared" si="15"/>
        <v>-8.7442806304016685E-3</v>
      </c>
      <c r="M116">
        <f t="shared" si="16"/>
        <v>-3.8095238095239292E-3</v>
      </c>
      <c r="O116" s="2"/>
    </row>
    <row r="117" spans="1:15" x14ac:dyDescent="0.3">
      <c r="A117" s="3">
        <v>42171</v>
      </c>
      <c r="B117" s="8">
        <v>14.53014831492</v>
      </c>
      <c r="C117" s="8">
        <v>98.36</v>
      </c>
      <c r="D117" s="8">
        <v>68.37</v>
      </c>
      <c r="E117">
        <v>0</v>
      </c>
      <c r="G117">
        <f t="shared" si="11"/>
        <v>100.6385586587063</v>
      </c>
      <c r="H117">
        <f t="shared" si="12"/>
        <v>1.3693807808929481E-2</v>
      </c>
      <c r="I117">
        <f t="shared" si="13"/>
        <v>1.3693807808929481E-2</v>
      </c>
      <c r="K117">
        <f t="shared" si="14"/>
        <v>-3.3222591362127574E-3</v>
      </c>
      <c r="L117">
        <f t="shared" si="15"/>
        <v>8.9239922043287123E-3</v>
      </c>
      <c r="M117">
        <f t="shared" si="16"/>
        <v>5.5890572142962558E-3</v>
      </c>
      <c r="O117" s="2"/>
    </row>
    <row r="118" spans="1:15" x14ac:dyDescent="0.3">
      <c r="A118" s="3">
        <v>42172</v>
      </c>
      <c r="B118" s="8">
        <v>14.549521846006559</v>
      </c>
      <c r="C118" s="8">
        <v>98.73</v>
      </c>
      <c r="D118" s="8">
        <v>68.14</v>
      </c>
      <c r="E118">
        <v>0</v>
      </c>
      <c r="G118">
        <f t="shared" si="11"/>
        <v>100.08257053115518</v>
      </c>
      <c r="H118">
        <f t="shared" si="12"/>
        <v>-5.5246034418738876E-3</v>
      </c>
      <c r="I118">
        <f t="shared" si="13"/>
        <v>-5.5246034418738876E-3</v>
      </c>
      <c r="K118">
        <f t="shared" si="14"/>
        <v>1.3333333333334085E-3</v>
      </c>
      <c r="L118">
        <f t="shared" si="15"/>
        <v>3.7616917446117171E-3</v>
      </c>
      <c r="M118">
        <f t="shared" si="16"/>
        <v>-3.364048559309718E-3</v>
      </c>
      <c r="O118" s="2"/>
    </row>
    <row r="119" spans="1:15" x14ac:dyDescent="0.3">
      <c r="A119" s="3">
        <v>42173</v>
      </c>
      <c r="B119" s="8">
        <v>14.66576303252592</v>
      </c>
      <c r="C119" s="8">
        <v>100.36</v>
      </c>
      <c r="D119" s="8">
        <v>68.78</v>
      </c>
      <c r="E119">
        <v>0</v>
      </c>
      <c r="G119">
        <f t="shared" si="11"/>
        <v>101.29384308466656</v>
      </c>
      <c r="H119">
        <f t="shared" si="12"/>
        <v>1.210273224481484E-2</v>
      </c>
      <c r="I119">
        <f t="shared" si="13"/>
        <v>1.210273224481484E-2</v>
      </c>
      <c r="K119">
        <f t="shared" si="14"/>
        <v>7.9893475366179523E-3</v>
      </c>
      <c r="L119">
        <f t="shared" si="15"/>
        <v>1.650967284513305E-2</v>
      </c>
      <c r="M119">
        <f t="shared" si="16"/>
        <v>9.3924273554446547E-3</v>
      </c>
      <c r="O119" s="2"/>
    </row>
    <row r="120" spans="1:15" x14ac:dyDescent="0.3">
      <c r="A120" s="3">
        <v>42174</v>
      </c>
      <c r="B120" s="8">
        <v>14.63670273589608</v>
      </c>
      <c r="C120" s="8">
        <v>99.86</v>
      </c>
      <c r="D120" s="8">
        <v>68.08</v>
      </c>
      <c r="E120">
        <v>0</v>
      </c>
      <c r="G120">
        <f t="shared" si="11"/>
        <v>99.337735175451826</v>
      </c>
      <c r="H120">
        <f t="shared" si="12"/>
        <v>-1.9311222179414389E-2</v>
      </c>
      <c r="I120">
        <f t="shared" si="13"/>
        <v>-1.9311222179414389E-2</v>
      </c>
      <c r="K120">
        <f t="shared" si="14"/>
        <v>-1.9815059445178473E-3</v>
      </c>
      <c r="L120">
        <f t="shared" si="15"/>
        <v>-4.9820645675567876E-3</v>
      </c>
      <c r="M120">
        <f t="shared" si="16"/>
        <v>-1.0177377144518829E-2</v>
      </c>
      <c r="O120" s="2"/>
    </row>
    <row r="121" spans="1:15" x14ac:dyDescent="0.3">
      <c r="A121" s="3">
        <v>42177</v>
      </c>
      <c r="B121" s="8">
        <v>14.656076266982641</v>
      </c>
      <c r="C121" s="8">
        <v>100.09</v>
      </c>
      <c r="D121" s="8">
        <v>68.959999999999994</v>
      </c>
      <c r="E121">
        <v>0</v>
      </c>
      <c r="G121">
        <f t="shared" si="11"/>
        <v>100.6198007792745</v>
      </c>
      <c r="H121">
        <f t="shared" si="12"/>
        <v>1.2906128789409888E-2</v>
      </c>
      <c r="I121">
        <f t="shared" si="13"/>
        <v>1.2906128789409888E-2</v>
      </c>
      <c r="K121">
        <f t="shared" si="14"/>
        <v>1.323626737260275E-3</v>
      </c>
      <c r="L121">
        <f t="shared" si="15"/>
        <v>2.3032245143201902E-3</v>
      </c>
      <c r="M121">
        <f t="shared" si="16"/>
        <v>1.2925969447708408E-2</v>
      </c>
      <c r="O121" s="2"/>
    </row>
    <row r="122" spans="1:15" x14ac:dyDescent="0.3">
      <c r="A122" s="3">
        <v>42178</v>
      </c>
      <c r="B122" s="8">
        <v>14.811064515675119</v>
      </c>
      <c r="C122" s="8">
        <v>99.78</v>
      </c>
      <c r="D122" s="8">
        <v>69.75</v>
      </c>
      <c r="E122">
        <v>0</v>
      </c>
      <c r="G122">
        <f t="shared" si="11"/>
        <v>100.38121598330807</v>
      </c>
      <c r="H122">
        <f t="shared" si="12"/>
        <v>-2.3711515439173159E-3</v>
      </c>
      <c r="I122">
        <f t="shared" si="13"/>
        <v>-2.3711515439173159E-3</v>
      </c>
      <c r="K122">
        <f t="shared" si="14"/>
        <v>1.0575016523463265E-2</v>
      </c>
      <c r="L122">
        <f t="shared" si="15"/>
        <v>-3.0972125087421754E-3</v>
      </c>
      <c r="M122">
        <f t="shared" si="16"/>
        <v>1.1455916473317895E-2</v>
      </c>
      <c r="O122" s="2"/>
    </row>
    <row r="123" spans="1:15" x14ac:dyDescent="0.3">
      <c r="A123" s="3">
        <v>42179</v>
      </c>
      <c r="B123" s="8">
        <v>15.014486592083999</v>
      </c>
      <c r="C123" s="8">
        <v>99.33</v>
      </c>
      <c r="D123" s="8">
        <v>69.02</v>
      </c>
      <c r="E123">
        <v>0</v>
      </c>
      <c r="G123">
        <f t="shared" si="11"/>
        <v>99.516081824938283</v>
      </c>
      <c r="H123">
        <f t="shared" si="12"/>
        <v>-8.618486535505232E-3</v>
      </c>
      <c r="I123">
        <f t="shared" si="13"/>
        <v>-8.618486535505232E-3</v>
      </c>
      <c r="K123">
        <f t="shared" si="14"/>
        <v>1.373446697187708E-2</v>
      </c>
      <c r="L123">
        <f t="shared" si="15"/>
        <v>-4.5099218280216791E-3</v>
      </c>
      <c r="M123">
        <f t="shared" si="16"/>
        <v>-1.0465949820788634E-2</v>
      </c>
      <c r="O123" s="2"/>
    </row>
    <row r="124" spans="1:15" x14ac:dyDescent="0.3">
      <c r="A124" s="3">
        <v>42180</v>
      </c>
      <c r="B124" s="8">
        <v>14.956365998824319</v>
      </c>
      <c r="C124" s="8">
        <v>99.12</v>
      </c>
      <c r="D124" s="8">
        <v>68.650000000000006</v>
      </c>
      <c r="E124">
        <v>0</v>
      </c>
      <c r="G124">
        <f t="shared" si="11"/>
        <v>99.647998931805432</v>
      </c>
      <c r="H124">
        <f t="shared" si="12"/>
        <v>1.3255858193774728E-3</v>
      </c>
      <c r="I124">
        <f t="shared" si="13"/>
        <v>1.3255858193774728E-3</v>
      </c>
      <c r="K124">
        <f t="shared" si="14"/>
        <v>-3.870967741935516E-3</v>
      </c>
      <c r="L124">
        <f t="shared" si="15"/>
        <v>-2.1141649048624922E-3</v>
      </c>
      <c r="M124">
        <f t="shared" si="16"/>
        <v>-5.3607649956532999E-3</v>
      </c>
      <c r="O124" s="2"/>
    </row>
    <row r="125" spans="1:15" x14ac:dyDescent="0.3">
      <c r="A125" s="3">
        <v>42181</v>
      </c>
      <c r="B125" s="8">
        <v>14.9176189366512</v>
      </c>
      <c r="C125" s="8">
        <v>99.64</v>
      </c>
      <c r="D125" s="8">
        <v>68.95</v>
      </c>
      <c r="E125">
        <v>0</v>
      </c>
      <c r="G125">
        <f t="shared" si="11"/>
        <v>100.40951342310431</v>
      </c>
      <c r="H125">
        <f t="shared" si="12"/>
        <v>7.6420449929961443E-3</v>
      </c>
      <c r="I125">
        <f t="shared" si="13"/>
        <v>7.6420449929961443E-3</v>
      </c>
      <c r="K125">
        <f t="shared" si="14"/>
        <v>-2.5906735751294319E-3</v>
      </c>
      <c r="L125">
        <f t="shared" si="15"/>
        <v>5.2461662631153594E-3</v>
      </c>
      <c r="M125">
        <f t="shared" si="16"/>
        <v>4.3699927166787056E-3</v>
      </c>
      <c r="O125" s="2"/>
    </row>
    <row r="126" spans="1:15" x14ac:dyDescent="0.3">
      <c r="A126" s="3">
        <v>42184</v>
      </c>
      <c r="B126" s="8">
        <v>14.549521846006559</v>
      </c>
      <c r="C126" s="8">
        <v>97.68</v>
      </c>
      <c r="D126" s="8">
        <v>67.2</v>
      </c>
      <c r="E126">
        <v>0</v>
      </c>
      <c r="G126">
        <f t="shared" si="11"/>
        <v>97.765600877574499</v>
      </c>
      <c r="H126">
        <f t="shared" si="12"/>
        <v>-2.6331295266703747E-2</v>
      </c>
      <c r="I126">
        <f t="shared" si="13"/>
        <v>-2.6331295266703747E-2</v>
      </c>
      <c r="K126">
        <f t="shared" si="14"/>
        <v>-2.4675324675324739E-2</v>
      </c>
      <c r="L126">
        <f t="shared" si="15"/>
        <v>-1.9670814933761438E-2</v>
      </c>
      <c r="M126">
        <f t="shared" si="16"/>
        <v>-2.5380710659898442E-2</v>
      </c>
      <c r="O126" s="2"/>
    </row>
    <row r="127" spans="1:15" x14ac:dyDescent="0.3">
      <c r="A127" s="3">
        <v>42185</v>
      </c>
      <c r="B127" s="8">
        <v>14.539835080463279</v>
      </c>
      <c r="C127" s="8">
        <v>97.46</v>
      </c>
      <c r="D127" s="8">
        <v>67.760000000000005</v>
      </c>
      <c r="E127">
        <v>0</v>
      </c>
      <c r="G127">
        <f t="shared" si="11"/>
        <v>100.18974777796711</v>
      </c>
      <c r="H127">
        <f t="shared" si="12"/>
        <v>2.4795499425490419E-2</v>
      </c>
      <c r="I127">
        <f t="shared" si="13"/>
        <v>2.4795499425490419E-2</v>
      </c>
      <c r="K127">
        <f t="shared" si="14"/>
        <v>-6.6577896138486636E-4</v>
      </c>
      <c r="L127">
        <f t="shared" si="15"/>
        <v>-2.2522522522523403E-3</v>
      </c>
      <c r="M127">
        <f t="shared" si="16"/>
        <v>8.3333333333333037E-3</v>
      </c>
      <c r="O127" s="2"/>
    </row>
    <row r="128" spans="1:15" x14ac:dyDescent="0.3">
      <c r="A128" s="3">
        <v>42186</v>
      </c>
      <c r="B128" s="8">
        <v>14.520461549376721</v>
      </c>
      <c r="C128" s="8">
        <v>98.47</v>
      </c>
      <c r="D128" s="8">
        <v>68.069999999999993</v>
      </c>
      <c r="E128">
        <v>0</v>
      </c>
      <c r="G128">
        <f t="shared" si="11"/>
        <v>100.69593128762229</v>
      </c>
      <c r="H128">
        <f t="shared" si="12"/>
        <v>5.0522485671582462E-3</v>
      </c>
      <c r="I128">
        <f t="shared" si="13"/>
        <v>5.0522485671582462E-3</v>
      </c>
      <c r="K128">
        <f t="shared" si="14"/>
        <v>-1.3324450366420937E-3</v>
      </c>
      <c r="L128">
        <f t="shared" si="15"/>
        <v>1.0363225938846865E-2</v>
      </c>
      <c r="M128">
        <f t="shared" si="16"/>
        <v>4.5749704840611916E-3</v>
      </c>
      <c r="O128" s="2"/>
    </row>
    <row r="129" spans="1:15" x14ac:dyDescent="0.3">
      <c r="A129" s="3">
        <v>42187</v>
      </c>
      <c r="B129" s="8">
        <v>14.404220362857359</v>
      </c>
      <c r="C129" s="8">
        <v>98.44</v>
      </c>
      <c r="D129" s="8">
        <v>67.52</v>
      </c>
      <c r="E129">
        <v>0</v>
      </c>
      <c r="G129">
        <f t="shared" si="11"/>
        <v>99.596238164526824</v>
      </c>
      <c r="H129">
        <f t="shared" si="12"/>
        <v>-1.0920929068666707E-2</v>
      </c>
      <c r="I129">
        <f t="shared" si="13"/>
        <v>-1.0920929068666707E-2</v>
      </c>
      <c r="K129">
        <f t="shared" si="14"/>
        <v>-8.005336891261039E-3</v>
      </c>
      <c r="L129">
        <f t="shared" si="15"/>
        <v>-3.0466131816797581E-4</v>
      </c>
      <c r="M129">
        <f t="shared" si="16"/>
        <v>-8.0799177317466553E-3</v>
      </c>
      <c r="O129" s="2"/>
    </row>
    <row r="130" spans="1:15" x14ac:dyDescent="0.3">
      <c r="A130" s="3">
        <v>42191</v>
      </c>
      <c r="B130" s="8">
        <v>14.326726238511119</v>
      </c>
      <c r="C130" s="8">
        <v>98.2</v>
      </c>
      <c r="D130" s="8">
        <v>67.33</v>
      </c>
      <c r="E130">
        <v>0</v>
      </c>
      <c r="G130">
        <f t="shared" si="11"/>
        <v>99.711217301477234</v>
      </c>
      <c r="H130">
        <f t="shared" si="12"/>
        <v>1.1544526085460749E-3</v>
      </c>
      <c r="I130">
        <f t="shared" si="13"/>
        <v>1.1544526085460749E-3</v>
      </c>
      <c r="K130">
        <f t="shared" si="14"/>
        <v>-5.3799596503025793E-3</v>
      </c>
      <c r="L130">
        <f t="shared" si="15"/>
        <v>-2.4380333197886461E-3</v>
      </c>
      <c r="M130">
        <f t="shared" si="16"/>
        <v>-2.8139810426539569E-3</v>
      </c>
      <c r="O130" s="2"/>
    </row>
    <row r="131" spans="1:15" x14ac:dyDescent="0.3">
      <c r="A131" s="3">
        <v>42192</v>
      </c>
      <c r="B131" s="8">
        <v>14.384846831770799</v>
      </c>
      <c r="C131" s="8">
        <v>98.92</v>
      </c>
      <c r="D131" s="8">
        <v>66.8</v>
      </c>
      <c r="E131">
        <v>0</v>
      </c>
      <c r="G131">
        <f t="shared" si="11"/>
        <v>100.12674394140876</v>
      </c>
      <c r="H131">
        <f t="shared" si="12"/>
        <v>4.1673008431457603E-3</v>
      </c>
      <c r="I131">
        <f t="shared" si="13"/>
        <v>4.1673008431457603E-3</v>
      </c>
      <c r="K131">
        <f t="shared" si="14"/>
        <v>4.0567951318457585E-3</v>
      </c>
      <c r="L131">
        <f t="shared" si="15"/>
        <v>7.3319755600813608E-3</v>
      </c>
      <c r="M131">
        <f t="shared" si="16"/>
        <v>-7.8716768156840144E-3</v>
      </c>
      <c r="O131" s="2"/>
    </row>
    <row r="132" spans="1:15" x14ac:dyDescent="0.3">
      <c r="A132" s="3">
        <v>42193</v>
      </c>
      <c r="B132" s="8">
        <v>13.919882085693359</v>
      </c>
      <c r="C132" s="8">
        <v>97.77</v>
      </c>
      <c r="D132" s="8">
        <v>65.430000000000007</v>
      </c>
      <c r="E132">
        <v>0</v>
      </c>
      <c r="G132">
        <f t="shared" si="11"/>
        <v>98.286235561262529</v>
      </c>
      <c r="H132">
        <f t="shared" si="12"/>
        <v>-1.8381786001382849E-2</v>
      </c>
      <c r="I132">
        <f t="shared" si="13"/>
        <v>-1.8381786001382849E-2</v>
      </c>
      <c r="K132">
        <f t="shared" si="14"/>
        <v>-3.2323232323232309E-2</v>
      </c>
      <c r="L132">
        <f t="shared" si="15"/>
        <v>-1.1625556004852489E-2</v>
      </c>
      <c r="M132">
        <f t="shared" si="16"/>
        <v>-2.0508982035927992E-2</v>
      </c>
      <c r="O132" s="2"/>
    </row>
    <row r="133" spans="1:15" x14ac:dyDescent="0.3">
      <c r="A133" s="3">
        <v>42194</v>
      </c>
      <c r="B133" s="8">
        <v>13.881135023520239</v>
      </c>
      <c r="C133" s="8">
        <v>98.4</v>
      </c>
      <c r="D133" s="8">
        <v>66.11</v>
      </c>
      <c r="E133">
        <v>0</v>
      </c>
      <c r="G133">
        <f t="shared" ref="G133:G196" si="17">$G$4*(B133*$P$8/B132 + C133*$Q$8/C132 + D133*$R$8/D132)</f>
        <v>100.69627385389546</v>
      </c>
      <c r="H133">
        <f t="shared" ref="H133:H196" si="18">G133/G132-1</f>
        <v>2.4520608393132859E-2</v>
      </c>
      <c r="I133">
        <f t="shared" si="13"/>
        <v>2.4520608393132859E-2</v>
      </c>
      <c r="K133">
        <f t="shared" si="14"/>
        <v>-2.7835768963118124E-3</v>
      </c>
      <c r="L133">
        <f t="shared" si="15"/>
        <v>6.4436943847807626E-3</v>
      </c>
      <c r="M133">
        <f t="shared" si="16"/>
        <v>1.0392786183707647E-2</v>
      </c>
      <c r="O133" s="2"/>
    </row>
    <row r="134" spans="1:15" x14ac:dyDescent="0.3">
      <c r="A134" s="3">
        <v>42195</v>
      </c>
      <c r="B134" s="8">
        <v>14.026436506669441</v>
      </c>
      <c r="C134" s="8">
        <v>99.53</v>
      </c>
      <c r="D134" s="8">
        <v>67.05</v>
      </c>
      <c r="E134">
        <v>0</v>
      </c>
      <c r="G134">
        <f t="shared" si="17"/>
        <v>101.24064442088611</v>
      </c>
      <c r="H134">
        <f t="shared" si="18"/>
        <v>5.4060646551876701E-3</v>
      </c>
      <c r="I134">
        <f t="shared" ref="I134:I197" si="19">H134-E134</f>
        <v>5.4060646551876701E-3</v>
      </c>
      <c r="K134">
        <f t="shared" ref="K134:K197" si="20">B134/B133-1</f>
        <v>1.046755059316129E-2</v>
      </c>
      <c r="L134">
        <f t="shared" ref="L134:L197" si="21">C134/C133-1</f>
        <v>1.1483739837398366E-2</v>
      </c>
      <c r="M134">
        <f t="shared" ref="M134:M197" si="22">D134/D133-1</f>
        <v>1.4218726365148981E-2</v>
      </c>
      <c r="O134" s="2"/>
    </row>
    <row r="135" spans="1:15" x14ac:dyDescent="0.3">
      <c r="A135" s="3">
        <v>42198</v>
      </c>
      <c r="B135" s="8">
        <v>14.18142475536192</v>
      </c>
      <c r="C135" s="8">
        <v>100.27</v>
      </c>
      <c r="D135" s="8">
        <v>68.09</v>
      </c>
      <c r="E135">
        <v>0</v>
      </c>
      <c r="G135">
        <f t="shared" si="17"/>
        <v>101.0852813328905</v>
      </c>
      <c r="H135">
        <f t="shared" si="18"/>
        <v>-1.5345920493129439E-3</v>
      </c>
      <c r="I135">
        <f t="shared" si="19"/>
        <v>-1.5345920493129439E-3</v>
      </c>
      <c r="K135">
        <f t="shared" si="20"/>
        <v>1.1049723756906049E-2</v>
      </c>
      <c r="L135">
        <f t="shared" si="21"/>
        <v>7.4349442379182396E-3</v>
      </c>
      <c r="M135">
        <f t="shared" si="22"/>
        <v>1.551081282624911E-2</v>
      </c>
      <c r="O135" s="2"/>
    </row>
    <row r="136" spans="1:15" x14ac:dyDescent="0.3">
      <c r="A136" s="3">
        <v>42199</v>
      </c>
      <c r="B136" s="8">
        <v>14.34609976959768</v>
      </c>
      <c r="C136" s="8">
        <v>99.78</v>
      </c>
      <c r="D136" s="8">
        <v>69.040000000000006</v>
      </c>
      <c r="E136">
        <v>0</v>
      </c>
      <c r="G136">
        <f t="shared" si="17"/>
        <v>100.39315906531149</v>
      </c>
      <c r="H136">
        <f t="shared" si="18"/>
        <v>-6.8469143920145692E-3</v>
      </c>
      <c r="I136">
        <f t="shared" si="19"/>
        <v>-6.8469143920145692E-3</v>
      </c>
      <c r="K136">
        <f t="shared" si="20"/>
        <v>1.1612021857923427E-2</v>
      </c>
      <c r="L136">
        <f t="shared" si="21"/>
        <v>-4.8868056248129177E-3</v>
      </c>
      <c r="M136">
        <f t="shared" si="22"/>
        <v>1.3952122191217553E-2</v>
      </c>
      <c r="O136" s="2"/>
    </row>
    <row r="137" spans="1:15" x14ac:dyDescent="0.3">
      <c r="A137" s="3">
        <v>42200</v>
      </c>
      <c r="B137" s="8">
        <v>14.287979176338</v>
      </c>
      <c r="C137" s="8">
        <v>100.42</v>
      </c>
      <c r="D137" s="8">
        <v>69.19</v>
      </c>
      <c r="E137">
        <v>0</v>
      </c>
      <c r="G137">
        <f t="shared" si="17"/>
        <v>100.37212061882639</v>
      </c>
      <c r="H137">
        <f t="shared" si="18"/>
        <v>-2.0956055851795163E-4</v>
      </c>
      <c r="I137">
        <f t="shared" si="19"/>
        <v>-2.0956055851795163E-4</v>
      </c>
      <c r="K137">
        <f t="shared" si="20"/>
        <v>-4.051316677920358E-3</v>
      </c>
      <c r="L137">
        <f t="shared" si="21"/>
        <v>6.4141110442974547E-3</v>
      </c>
      <c r="M137">
        <f t="shared" si="22"/>
        <v>2.1726535341830555E-3</v>
      </c>
      <c r="O137" s="2"/>
    </row>
    <row r="138" spans="1:15" x14ac:dyDescent="0.3">
      <c r="A138" s="3">
        <v>42201</v>
      </c>
      <c r="B138" s="8">
        <v>14.113617396558961</v>
      </c>
      <c r="C138" s="8">
        <v>101.11</v>
      </c>
      <c r="D138" s="8">
        <v>69.56</v>
      </c>
      <c r="E138">
        <v>0</v>
      </c>
      <c r="G138">
        <f t="shared" si="17"/>
        <v>100.42987596142675</v>
      </c>
      <c r="H138">
        <f t="shared" si="18"/>
        <v>5.7541219856949155E-4</v>
      </c>
      <c r="I138">
        <f t="shared" si="19"/>
        <v>5.7541219856949155E-4</v>
      </c>
      <c r="K138">
        <f t="shared" si="20"/>
        <v>-1.2203389830508393E-2</v>
      </c>
      <c r="L138">
        <f t="shared" si="21"/>
        <v>6.8711412069308864E-3</v>
      </c>
      <c r="M138">
        <f t="shared" si="22"/>
        <v>5.3475935828877219E-3</v>
      </c>
      <c r="O138" s="2"/>
    </row>
    <row r="139" spans="1:15" x14ac:dyDescent="0.3">
      <c r="A139" s="3">
        <v>42202</v>
      </c>
      <c r="B139" s="8">
        <v>14.22985858307832</v>
      </c>
      <c r="C139" s="8">
        <v>100.08</v>
      </c>
      <c r="D139" s="8">
        <v>69.209999999999994</v>
      </c>
      <c r="E139">
        <v>0</v>
      </c>
      <c r="G139">
        <f t="shared" si="17"/>
        <v>99.368384196056198</v>
      </c>
      <c r="H139">
        <f t="shared" si="18"/>
        <v>-1.0569481991377194E-2</v>
      </c>
      <c r="I139">
        <f t="shared" si="19"/>
        <v>-1.0569481991377194E-2</v>
      </c>
      <c r="K139">
        <f t="shared" si="20"/>
        <v>8.2361015785861191E-3</v>
      </c>
      <c r="L139">
        <f t="shared" si="21"/>
        <v>-1.0186925131045355E-2</v>
      </c>
      <c r="M139">
        <f t="shared" si="22"/>
        <v>-5.0316273720529825E-3</v>
      </c>
      <c r="O139" s="2"/>
    </row>
    <row r="140" spans="1:15" x14ac:dyDescent="0.3">
      <c r="A140" s="3">
        <v>42205</v>
      </c>
      <c r="B140" s="8">
        <v>14.113617396558961</v>
      </c>
      <c r="C140" s="8">
        <v>100.37</v>
      </c>
      <c r="D140" s="8">
        <v>69.260000000000005</v>
      </c>
      <c r="E140">
        <v>0</v>
      </c>
      <c r="G140">
        <f t="shared" si="17"/>
        <v>100.09193204496243</v>
      </c>
      <c r="H140">
        <f t="shared" si="18"/>
        <v>7.2814694005556291E-3</v>
      </c>
      <c r="I140">
        <f t="shared" si="19"/>
        <v>7.2814694005556291E-3</v>
      </c>
      <c r="K140">
        <f t="shared" si="20"/>
        <v>-8.1688223281142225E-3</v>
      </c>
      <c r="L140">
        <f t="shared" si="21"/>
        <v>2.8976818545165539E-3</v>
      </c>
      <c r="M140">
        <f t="shared" si="22"/>
        <v>7.2243895390866619E-4</v>
      </c>
      <c r="O140" s="2"/>
    </row>
    <row r="141" spans="1:15" x14ac:dyDescent="0.3">
      <c r="A141" s="3">
        <v>42206</v>
      </c>
      <c r="B141" s="8">
        <v>14.055496803299279</v>
      </c>
      <c r="C141" s="8">
        <v>100.34</v>
      </c>
      <c r="D141" s="8">
        <v>69.099999999999994</v>
      </c>
      <c r="E141">
        <v>0</v>
      </c>
      <c r="G141">
        <f t="shared" si="17"/>
        <v>99.854399867095296</v>
      </c>
      <c r="H141">
        <f t="shared" si="18"/>
        <v>-2.3731401024453813E-3</v>
      </c>
      <c r="I141">
        <f t="shared" si="19"/>
        <v>-2.3731401024453813E-3</v>
      </c>
      <c r="K141">
        <f t="shared" si="20"/>
        <v>-4.1180507892931706E-3</v>
      </c>
      <c r="L141">
        <f t="shared" si="21"/>
        <v>-2.9889409186012461E-4</v>
      </c>
      <c r="M141">
        <f t="shared" si="22"/>
        <v>-2.3101357204737827E-3</v>
      </c>
      <c r="O141" s="2"/>
    </row>
    <row r="142" spans="1:15" x14ac:dyDescent="0.3">
      <c r="A142" s="3">
        <v>42207</v>
      </c>
      <c r="B142" s="8">
        <v>13.968315913409761</v>
      </c>
      <c r="C142" s="8">
        <v>100.18</v>
      </c>
      <c r="D142" s="8">
        <v>70.08</v>
      </c>
      <c r="E142">
        <v>0</v>
      </c>
      <c r="G142">
        <f t="shared" si="17"/>
        <v>100.3859505430917</v>
      </c>
      <c r="H142">
        <f t="shared" si="18"/>
        <v>5.3232574298567314E-3</v>
      </c>
      <c r="I142">
        <f t="shared" si="19"/>
        <v>5.3232574298567314E-3</v>
      </c>
      <c r="K142">
        <f t="shared" si="20"/>
        <v>-6.2026188835284657E-3</v>
      </c>
      <c r="L142">
        <f t="shared" si="21"/>
        <v>-1.5945784333266655E-3</v>
      </c>
      <c r="M142">
        <f t="shared" si="22"/>
        <v>1.4182344428364857E-2</v>
      </c>
      <c r="O142" s="2"/>
    </row>
    <row r="143" spans="1:15" x14ac:dyDescent="0.3">
      <c r="A143" s="3">
        <v>42208</v>
      </c>
      <c r="B143" s="8">
        <v>14.15236445873208</v>
      </c>
      <c r="C143" s="8">
        <v>100.2</v>
      </c>
      <c r="D143" s="8">
        <v>69.64</v>
      </c>
      <c r="E143">
        <v>0</v>
      </c>
      <c r="G143">
        <f t="shared" si="17"/>
        <v>99.912180321604254</v>
      </c>
      <c r="H143">
        <f t="shared" si="18"/>
        <v>-4.7194873279012839E-3</v>
      </c>
      <c r="I143">
        <f t="shared" si="19"/>
        <v>-4.7194873279012839E-3</v>
      </c>
      <c r="K143">
        <f t="shared" si="20"/>
        <v>1.3176144244105403E-2</v>
      </c>
      <c r="L143">
        <f t="shared" si="21"/>
        <v>1.9964064683564153E-4</v>
      </c>
      <c r="M143">
        <f t="shared" si="22"/>
        <v>-6.2785388127853947E-3</v>
      </c>
      <c r="O143" s="2"/>
    </row>
    <row r="144" spans="1:15" x14ac:dyDescent="0.3">
      <c r="A144" s="3">
        <v>42209</v>
      </c>
      <c r="B144" s="8">
        <v>13.939255616779921</v>
      </c>
      <c r="C144" s="8">
        <v>99.15</v>
      </c>
      <c r="D144" s="8">
        <v>68.91</v>
      </c>
      <c r="E144">
        <v>0</v>
      </c>
      <c r="G144">
        <f t="shared" si="17"/>
        <v>98.903975958193541</v>
      </c>
      <c r="H144">
        <f t="shared" si="18"/>
        <v>-1.0090905434807174E-2</v>
      </c>
      <c r="I144">
        <f t="shared" si="19"/>
        <v>-1.0090905434807174E-2</v>
      </c>
      <c r="K144">
        <f t="shared" si="20"/>
        <v>-1.5058179329226484E-2</v>
      </c>
      <c r="L144">
        <f t="shared" si="21"/>
        <v>-1.0479041916167664E-2</v>
      </c>
      <c r="M144">
        <f t="shared" si="22"/>
        <v>-1.0482481332567573E-2</v>
      </c>
      <c r="O144" s="2"/>
    </row>
    <row r="145" spans="1:15" x14ac:dyDescent="0.3">
      <c r="A145" s="3">
        <v>42212</v>
      </c>
      <c r="B145" s="8">
        <v>14.0942438654724</v>
      </c>
      <c r="C145" s="8">
        <v>98.28</v>
      </c>
      <c r="D145" s="8">
        <v>68.010000000000005</v>
      </c>
      <c r="E145">
        <v>0</v>
      </c>
      <c r="G145">
        <f t="shared" si="17"/>
        <v>99.169745306089993</v>
      </c>
      <c r="H145">
        <f t="shared" si="18"/>
        <v>2.6871452367980275E-3</v>
      </c>
      <c r="I145">
        <f t="shared" si="19"/>
        <v>2.6871452367980275E-3</v>
      </c>
      <c r="K145">
        <f t="shared" si="20"/>
        <v>1.1118832522585054E-2</v>
      </c>
      <c r="L145">
        <f t="shared" si="21"/>
        <v>-8.7745839636914624E-3</v>
      </c>
      <c r="M145">
        <f t="shared" si="22"/>
        <v>-1.3060513713539224E-2</v>
      </c>
      <c r="O145" s="2"/>
    </row>
    <row r="146" spans="1:15" x14ac:dyDescent="0.3">
      <c r="A146" s="3">
        <v>42213</v>
      </c>
      <c r="B146" s="8">
        <v>14.36547330068424</v>
      </c>
      <c r="C146" s="8">
        <v>99.02</v>
      </c>
      <c r="D146" s="8">
        <v>68.05</v>
      </c>
      <c r="E146">
        <v>0</v>
      </c>
      <c r="G146">
        <f t="shared" si="17"/>
        <v>100.61451078784245</v>
      </c>
      <c r="H146">
        <f t="shared" si="18"/>
        <v>1.4568611397489661E-2</v>
      </c>
      <c r="I146">
        <f t="shared" si="19"/>
        <v>1.4568611397489661E-2</v>
      </c>
      <c r="K146">
        <f t="shared" si="20"/>
        <v>1.9243986254295464E-2</v>
      </c>
      <c r="L146">
        <f t="shared" si="21"/>
        <v>7.5295075295074287E-3</v>
      </c>
      <c r="M146">
        <f t="shared" si="22"/>
        <v>5.88148801646593E-4</v>
      </c>
      <c r="O146" s="2"/>
    </row>
    <row r="147" spans="1:15" x14ac:dyDescent="0.3">
      <c r="A147" s="3">
        <v>42214</v>
      </c>
      <c r="B147" s="8">
        <v>14.733570391328881</v>
      </c>
      <c r="C147" s="8">
        <v>99.73</v>
      </c>
      <c r="D147" s="8">
        <v>68.94</v>
      </c>
      <c r="E147">
        <v>0</v>
      </c>
      <c r="G147">
        <f t="shared" si="17"/>
        <v>101.13276072008782</v>
      </c>
      <c r="H147">
        <f t="shared" si="18"/>
        <v>5.1508468131218343E-3</v>
      </c>
      <c r="I147">
        <f t="shared" si="19"/>
        <v>5.1508468131218343E-3</v>
      </c>
      <c r="K147">
        <f t="shared" si="20"/>
        <v>2.5623735670937453E-2</v>
      </c>
      <c r="L147">
        <f t="shared" si="21"/>
        <v>7.170268632599619E-3</v>
      </c>
      <c r="M147">
        <f t="shared" si="22"/>
        <v>1.3078618662748065E-2</v>
      </c>
      <c r="O147" s="2"/>
    </row>
    <row r="148" spans="1:15" x14ac:dyDescent="0.3">
      <c r="A148" s="3">
        <v>42215</v>
      </c>
      <c r="B148" s="8">
        <v>14.627015970352801</v>
      </c>
      <c r="C148" s="8">
        <v>99.84</v>
      </c>
      <c r="D148" s="8">
        <v>69.040000000000006</v>
      </c>
      <c r="E148">
        <v>0</v>
      </c>
      <c r="G148">
        <f t="shared" si="17"/>
        <v>100.03602340757922</v>
      </c>
      <c r="H148">
        <f t="shared" si="18"/>
        <v>-1.0844530542818975E-2</v>
      </c>
      <c r="I148">
        <f t="shared" si="19"/>
        <v>-1.0844530542818975E-2</v>
      </c>
      <c r="K148">
        <f t="shared" si="20"/>
        <v>-7.2320841551610782E-3</v>
      </c>
      <c r="L148">
        <f t="shared" si="21"/>
        <v>1.1029780407099121E-3</v>
      </c>
      <c r="M148">
        <f t="shared" si="22"/>
        <v>1.4505366985786416E-3</v>
      </c>
      <c r="O148" s="2"/>
    </row>
    <row r="149" spans="1:15" x14ac:dyDescent="0.3">
      <c r="A149" s="3">
        <v>42216</v>
      </c>
      <c r="B149" s="8">
        <v>14.36547330068424</v>
      </c>
      <c r="C149" s="8">
        <v>100.21</v>
      </c>
      <c r="D149" s="8">
        <v>68.53</v>
      </c>
      <c r="E149">
        <v>0</v>
      </c>
      <c r="G149">
        <f t="shared" si="17"/>
        <v>99.726919982866221</v>
      </c>
      <c r="H149">
        <f t="shared" si="18"/>
        <v>-3.0899211522394943E-3</v>
      </c>
      <c r="I149">
        <f t="shared" si="19"/>
        <v>-3.0899211522394943E-3</v>
      </c>
      <c r="K149">
        <f t="shared" si="20"/>
        <v>-1.788079470198678E-2</v>
      </c>
      <c r="L149">
        <f t="shared" si="21"/>
        <v>3.7059294871792936E-3</v>
      </c>
      <c r="M149">
        <f t="shared" si="22"/>
        <v>-7.3870220162225442E-3</v>
      </c>
      <c r="O149" s="2"/>
    </row>
    <row r="150" spans="1:15" x14ac:dyDescent="0.3">
      <c r="A150" s="3">
        <v>42219</v>
      </c>
      <c r="B150" s="8">
        <v>14.47202772166032</v>
      </c>
      <c r="C150" s="8">
        <v>100.02</v>
      </c>
      <c r="D150" s="8">
        <v>68.53</v>
      </c>
      <c r="E150">
        <v>0</v>
      </c>
      <c r="G150">
        <f t="shared" si="17"/>
        <v>99.979354024381095</v>
      </c>
      <c r="H150">
        <f t="shared" si="18"/>
        <v>2.531252760621161E-3</v>
      </c>
      <c r="I150">
        <f t="shared" si="19"/>
        <v>2.531252760621161E-3</v>
      </c>
      <c r="K150">
        <f t="shared" si="20"/>
        <v>7.417397167902795E-3</v>
      </c>
      <c r="L150">
        <f t="shared" si="21"/>
        <v>-1.8960183614409321E-3</v>
      </c>
      <c r="M150">
        <f t="shared" si="22"/>
        <v>0</v>
      </c>
      <c r="O150" s="2"/>
    </row>
    <row r="151" spans="1:15" x14ac:dyDescent="0.3">
      <c r="A151" s="3">
        <v>42220</v>
      </c>
      <c r="B151" s="8">
        <v>14.44296742503048</v>
      </c>
      <c r="C151" s="8">
        <v>99.8</v>
      </c>
      <c r="D151" s="8">
        <v>68.459999999999994</v>
      </c>
      <c r="E151">
        <v>0</v>
      </c>
      <c r="G151">
        <f t="shared" si="17"/>
        <v>99.826384716987292</v>
      </c>
      <c r="H151">
        <f t="shared" si="18"/>
        <v>-1.5300089592147348E-3</v>
      </c>
      <c r="I151">
        <f t="shared" si="19"/>
        <v>-1.5300089592147348E-3</v>
      </c>
      <c r="K151">
        <f t="shared" si="20"/>
        <v>-2.0080321285140812E-3</v>
      </c>
      <c r="L151">
        <f t="shared" si="21"/>
        <v>-2.1995600879823884E-3</v>
      </c>
      <c r="M151">
        <f t="shared" si="22"/>
        <v>-1.0214504596528506E-3</v>
      </c>
      <c r="O151" s="2"/>
    </row>
    <row r="152" spans="1:15" x14ac:dyDescent="0.3">
      <c r="A152" s="3">
        <v>42221</v>
      </c>
      <c r="B152" s="8">
        <v>14.3364130040544</v>
      </c>
      <c r="C152" s="8">
        <v>100.52</v>
      </c>
      <c r="D152" s="8">
        <v>68.73</v>
      </c>
      <c r="E152">
        <v>0</v>
      </c>
      <c r="G152">
        <f t="shared" si="17"/>
        <v>100.44544204484352</v>
      </c>
      <c r="H152">
        <f t="shared" si="18"/>
        <v>6.201339752123447E-3</v>
      </c>
      <c r="I152">
        <f t="shared" si="19"/>
        <v>6.201339752123447E-3</v>
      </c>
      <c r="K152">
        <f t="shared" si="20"/>
        <v>-7.3775989268947129E-3</v>
      </c>
      <c r="L152">
        <f t="shared" si="21"/>
        <v>7.2144288577153937E-3</v>
      </c>
      <c r="M152">
        <f t="shared" si="22"/>
        <v>3.9439088518844478E-3</v>
      </c>
      <c r="O152" s="2"/>
    </row>
    <row r="153" spans="1:15" x14ac:dyDescent="0.3">
      <c r="A153" s="3">
        <v>42222</v>
      </c>
      <c r="B153" s="8">
        <v>14.36547330068424</v>
      </c>
      <c r="C153" s="8">
        <v>99.07</v>
      </c>
      <c r="D153" s="8">
        <v>68.25</v>
      </c>
      <c r="E153">
        <v>0</v>
      </c>
      <c r="G153">
        <f t="shared" si="17"/>
        <v>99.009939651701899</v>
      </c>
      <c r="H153">
        <f t="shared" si="18"/>
        <v>-1.4291364186547639E-2</v>
      </c>
      <c r="I153">
        <f t="shared" si="19"/>
        <v>-1.4291364186547639E-2</v>
      </c>
      <c r="K153">
        <f t="shared" si="20"/>
        <v>2.0270270270270618E-3</v>
      </c>
      <c r="L153">
        <f t="shared" si="21"/>
        <v>-1.4424990051731035E-2</v>
      </c>
      <c r="M153">
        <f t="shared" si="22"/>
        <v>-6.9838498472283295E-3</v>
      </c>
      <c r="O153" s="2"/>
    </row>
    <row r="154" spans="1:15" x14ac:dyDescent="0.3">
      <c r="A154" s="3">
        <v>42223</v>
      </c>
      <c r="B154" s="8">
        <v>14.3364130040544</v>
      </c>
      <c r="C154" s="8">
        <v>98.85</v>
      </c>
      <c r="D154" s="8">
        <v>68.05</v>
      </c>
      <c r="E154">
        <v>0</v>
      </c>
      <c r="G154">
        <f t="shared" si="17"/>
        <v>99.753298353438296</v>
      </c>
      <c r="H154">
        <f t="shared" si="18"/>
        <v>7.507919955828557E-3</v>
      </c>
      <c r="I154">
        <f t="shared" si="19"/>
        <v>7.507919955828557E-3</v>
      </c>
      <c r="K154">
        <f t="shared" si="20"/>
        <v>-2.0229265003371966E-3</v>
      </c>
      <c r="L154">
        <f t="shared" si="21"/>
        <v>-2.2206520641969707E-3</v>
      </c>
      <c r="M154">
        <f t="shared" si="22"/>
        <v>-2.93040293040292E-3</v>
      </c>
      <c r="O154" s="2"/>
    </row>
    <row r="155" spans="1:15" x14ac:dyDescent="0.3">
      <c r="A155" s="3">
        <v>42226</v>
      </c>
      <c r="B155" s="8">
        <v>14.520461549376721</v>
      </c>
      <c r="C155" s="8">
        <v>99.79</v>
      </c>
      <c r="D155" s="8">
        <v>68.89</v>
      </c>
      <c r="E155">
        <v>0</v>
      </c>
      <c r="G155">
        <f t="shared" si="17"/>
        <v>101.09248440569849</v>
      </c>
      <c r="H155">
        <f t="shared" si="18"/>
        <v>1.342498016973126E-2</v>
      </c>
      <c r="I155">
        <f t="shared" si="19"/>
        <v>1.342498016973126E-2</v>
      </c>
      <c r="K155">
        <f t="shared" si="20"/>
        <v>1.2837837837837984E-2</v>
      </c>
      <c r="L155">
        <f t="shared" si="21"/>
        <v>9.5093576125444557E-3</v>
      </c>
      <c r="M155">
        <f t="shared" si="22"/>
        <v>1.2343864805290261E-2</v>
      </c>
      <c r="O155" s="2"/>
    </row>
    <row r="156" spans="1:15" x14ac:dyDescent="0.3">
      <c r="A156" s="3">
        <v>42227</v>
      </c>
      <c r="B156" s="8">
        <v>14.239545348621599</v>
      </c>
      <c r="C156" s="8">
        <v>99.01</v>
      </c>
      <c r="D156" s="8">
        <v>68.23</v>
      </c>
      <c r="E156">
        <v>0</v>
      </c>
      <c r="G156">
        <f t="shared" si="17"/>
        <v>99.031139417637021</v>
      </c>
      <c r="H156">
        <f t="shared" si="18"/>
        <v>-2.0390684828646588E-2</v>
      </c>
      <c r="I156">
        <f t="shared" si="19"/>
        <v>-2.0390684828646588E-2</v>
      </c>
      <c r="K156">
        <f t="shared" si="20"/>
        <v>-1.9346230820547206E-2</v>
      </c>
      <c r="L156">
        <f t="shared" si="21"/>
        <v>-7.8164144703878335E-3</v>
      </c>
      <c r="M156">
        <f t="shared" si="22"/>
        <v>-9.5804906372477516E-3</v>
      </c>
      <c r="O156" s="2"/>
    </row>
    <row r="157" spans="1:15" x14ac:dyDescent="0.3">
      <c r="A157" s="3">
        <v>42228</v>
      </c>
      <c r="B157" s="8">
        <v>14.220171817535041</v>
      </c>
      <c r="C157" s="8">
        <v>98.71</v>
      </c>
      <c r="D157" s="8">
        <v>67.239999999999995</v>
      </c>
      <c r="E157">
        <v>0</v>
      </c>
      <c r="G157">
        <f t="shared" si="17"/>
        <v>99.282501859102098</v>
      </c>
      <c r="H157">
        <f t="shared" si="18"/>
        <v>2.5382161908187317E-3</v>
      </c>
      <c r="I157">
        <f t="shared" si="19"/>
        <v>2.5382161908187317E-3</v>
      </c>
      <c r="K157">
        <f t="shared" si="20"/>
        <v>-1.3605442176869431E-3</v>
      </c>
      <c r="L157">
        <f t="shared" si="21"/>
        <v>-3.0299969700031681E-3</v>
      </c>
      <c r="M157">
        <f t="shared" si="22"/>
        <v>-1.4509746445845018E-2</v>
      </c>
      <c r="O157" s="2"/>
    </row>
    <row r="158" spans="1:15" x14ac:dyDescent="0.3">
      <c r="A158" s="3">
        <v>42229</v>
      </c>
      <c r="B158" s="8">
        <v>14.249232114164881</v>
      </c>
      <c r="C158" s="8">
        <v>98.48</v>
      </c>
      <c r="D158" s="8">
        <v>67.55</v>
      </c>
      <c r="E158">
        <v>0</v>
      </c>
      <c r="G158">
        <f t="shared" si="17"/>
        <v>100.07400580592711</v>
      </c>
      <c r="H158">
        <f t="shared" si="18"/>
        <v>7.972240143064635E-3</v>
      </c>
      <c r="I158">
        <f t="shared" si="19"/>
        <v>7.972240143064635E-3</v>
      </c>
      <c r="K158">
        <f t="shared" si="20"/>
        <v>2.043596730245234E-3</v>
      </c>
      <c r="L158">
        <f t="shared" si="21"/>
        <v>-2.3300577449092419E-3</v>
      </c>
      <c r="M158">
        <f t="shared" si="22"/>
        <v>4.6103509815587085E-3</v>
      </c>
      <c r="O158" s="2"/>
    </row>
    <row r="159" spans="1:15" x14ac:dyDescent="0.3">
      <c r="A159" s="3">
        <v>42230</v>
      </c>
      <c r="B159" s="8">
        <v>14.31703947296784</v>
      </c>
      <c r="C159" s="8">
        <v>98.81</v>
      </c>
      <c r="D159" s="8">
        <v>67.89</v>
      </c>
      <c r="E159">
        <v>0</v>
      </c>
      <c r="G159">
        <f t="shared" si="17"/>
        <v>100.41315626097432</v>
      </c>
      <c r="H159">
        <f t="shared" si="18"/>
        <v>3.388996496302088E-3</v>
      </c>
      <c r="I159">
        <f t="shared" si="19"/>
        <v>3.388996496302088E-3</v>
      </c>
      <c r="K159">
        <f t="shared" si="20"/>
        <v>4.7586675730795225E-3</v>
      </c>
      <c r="L159">
        <f t="shared" si="21"/>
        <v>3.350934199837452E-3</v>
      </c>
      <c r="M159">
        <f t="shared" si="22"/>
        <v>5.0333086602516453E-3</v>
      </c>
      <c r="O159" s="2"/>
    </row>
    <row r="160" spans="1:15" x14ac:dyDescent="0.3">
      <c r="A160" s="3">
        <v>42233</v>
      </c>
      <c r="B160" s="8">
        <v>14.220171817535041</v>
      </c>
      <c r="C160" s="8">
        <v>99.87</v>
      </c>
      <c r="D160" s="8">
        <v>68.069999999999993</v>
      </c>
      <c r="E160">
        <v>0</v>
      </c>
      <c r="G160">
        <f t="shared" si="17"/>
        <v>100.58550951688994</v>
      </c>
      <c r="H160">
        <f t="shared" si="18"/>
        <v>1.7164409757988164E-3</v>
      </c>
      <c r="I160">
        <f t="shared" si="19"/>
        <v>1.7164409757988164E-3</v>
      </c>
      <c r="K160">
        <f t="shared" si="20"/>
        <v>-6.7658998646819013E-3</v>
      </c>
      <c r="L160">
        <f t="shared" si="21"/>
        <v>1.0727659143811463E-2</v>
      </c>
      <c r="M160">
        <f t="shared" si="22"/>
        <v>2.6513477684488862E-3</v>
      </c>
      <c r="O160" s="2"/>
    </row>
    <row r="161" spans="1:15" x14ac:dyDescent="0.3">
      <c r="A161" s="3">
        <v>42234</v>
      </c>
      <c r="B161" s="8">
        <v>14.36547330068424</v>
      </c>
      <c r="C161" s="8">
        <v>99.37</v>
      </c>
      <c r="D161" s="8">
        <v>68.209999999999994</v>
      </c>
      <c r="E161">
        <v>0</v>
      </c>
      <c r="G161">
        <f t="shared" si="17"/>
        <v>99.924701345434855</v>
      </c>
      <c r="H161">
        <f t="shared" si="18"/>
        <v>-6.5696159877196569E-3</v>
      </c>
      <c r="I161">
        <f t="shared" si="19"/>
        <v>-6.5696159877196569E-3</v>
      </c>
      <c r="K161">
        <f t="shared" si="20"/>
        <v>1.021798365122617E-2</v>
      </c>
      <c r="L161">
        <f t="shared" si="21"/>
        <v>-5.0065084609992594E-3</v>
      </c>
      <c r="M161">
        <f t="shared" si="22"/>
        <v>2.056706331717395E-3</v>
      </c>
      <c r="O161" s="2"/>
    </row>
    <row r="162" spans="1:15" x14ac:dyDescent="0.3">
      <c r="A162" s="3">
        <v>42235</v>
      </c>
      <c r="B162" s="8">
        <v>14.30735270742456</v>
      </c>
      <c r="C162" s="8">
        <v>99.31</v>
      </c>
      <c r="D162" s="8">
        <v>67.599999999999994</v>
      </c>
      <c r="E162">
        <v>0</v>
      </c>
      <c r="G162">
        <f t="shared" si="17"/>
        <v>99.589734789117585</v>
      </c>
      <c r="H162">
        <f t="shared" si="18"/>
        <v>-3.3521897169279669E-3</v>
      </c>
      <c r="I162">
        <f t="shared" si="19"/>
        <v>-3.3521897169279669E-3</v>
      </c>
      <c r="K162">
        <f t="shared" si="20"/>
        <v>-4.0458530006742821E-3</v>
      </c>
      <c r="L162">
        <f t="shared" si="21"/>
        <v>-6.0380396497938804E-4</v>
      </c>
      <c r="M162">
        <f t="shared" si="22"/>
        <v>-8.94297023896784E-3</v>
      </c>
      <c r="O162" s="2"/>
    </row>
    <row r="163" spans="1:15" x14ac:dyDescent="0.3">
      <c r="A163" s="3">
        <v>42236</v>
      </c>
      <c r="B163" s="8">
        <v>13.97800267895304</v>
      </c>
      <c r="C163" s="8">
        <v>98.79</v>
      </c>
      <c r="D163" s="8">
        <v>65.94</v>
      </c>
      <c r="E163">
        <v>0</v>
      </c>
      <c r="G163">
        <f t="shared" si="17"/>
        <v>98.562977335558728</v>
      </c>
      <c r="H163">
        <f t="shared" si="18"/>
        <v>-1.0309872355148131E-2</v>
      </c>
      <c r="I163">
        <f t="shared" si="19"/>
        <v>-1.0309872355148131E-2</v>
      </c>
      <c r="K163">
        <f t="shared" si="20"/>
        <v>-2.3019634394041977E-2</v>
      </c>
      <c r="L163">
        <f t="shared" si="21"/>
        <v>-5.2361292921155878E-3</v>
      </c>
      <c r="M163">
        <f t="shared" si="22"/>
        <v>-2.455621301775146E-2</v>
      </c>
      <c r="O163" s="2"/>
    </row>
    <row r="164" spans="1:15" x14ac:dyDescent="0.3">
      <c r="A164" s="3">
        <v>42237</v>
      </c>
      <c r="B164" s="8">
        <v>13.425857042986079</v>
      </c>
      <c r="C164" s="8">
        <v>95.56</v>
      </c>
      <c r="D164" s="8">
        <v>63.6</v>
      </c>
      <c r="E164">
        <v>0</v>
      </c>
      <c r="G164">
        <f t="shared" si="17"/>
        <v>96.55408059719943</v>
      </c>
      <c r="H164">
        <f t="shared" si="18"/>
        <v>-2.038185932147718E-2</v>
      </c>
      <c r="I164">
        <f t="shared" si="19"/>
        <v>-2.038185932147718E-2</v>
      </c>
      <c r="K164">
        <f t="shared" si="20"/>
        <v>-3.9501039501039559E-2</v>
      </c>
      <c r="L164">
        <f t="shared" si="21"/>
        <v>-3.2695616965279894E-2</v>
      </c>
      <c r="M164">
        <f t="shared" si="22"/>
        <v>-3.5486806187443043E-2</v>
      </c>
      <c r="O164" s="2"/>
    </row>
    <row r="165" spans="1:15" x14ac:dyDescent="0.3">
      <c r="A165" s="3">
        <v>42240</v>
      </c>
      <c r="B165" s="8">
        <v>12.77684375158632</v>
      </c>
      <c r="C165" s="8">
        <v>92.82</v>
      </c>
      <c r="D165" s="8">
        <v>60.25</v>
      </c>
      <c r="E165">
        <v>0</v>
      </c>
      <c r="G165">
        <f t="shared" si="17"/>
        <v>96.023432274077749</v>
      </c>
      <c r="H165">
        <f t="shared" si="18"/>
        <v>-5.4958663563420274E-3</v>
      </c>
      <c r="I165">
        <f t="shared" si="19"/>
        <v>-5.4958663563420274E-3</v>
      </c>
      <c r="K165">
        <f t="shared" si="20"/>
        <v>-4.834054834054835E-2</v>
      </c>
      <c r="L165">
        <f t="shared" si="21"/>
        <v>-2.8673084972792084E-2</v>
      </c>
      <c r="M165">
        <f t="shared" si="22"/>
        <v>-5.2672955974842783E-2</v>
      </c>
      <c r="O165" s="2"/>
    </row>
    <row r="166" spans="1:15" x14ac:dyDescent="0.3">
      <c r="A166" s="3">
        <v>42241</v>
      </c>
      <c r="B166" s="8">
        <v>12.495927550831199</v>
      </c>
      <c r="C166" s="8">
        <v>90.73</v>
      </c>
      <c r="D166" s="8">
        <v>59.91</v>
      </c>
      <c r="E166">
        <v>0</v>
      </c>
      <c r="G166">
        <f t="shared" si="17"/>
        <v>98.388856993646939</v>
      </c>
      <c r="H166">
        <f t="shared" si="18"/>
        <v>2.463382805165315E-2</v>
      </c>
      <c r="I166">
        <f t="shared" si="19"/>
        <v>2.463382805165315E-2</v>
      </c>
      <c r="K166">
        <f t="shared" si="20"/>
        <v>-2.1986353297953065E-2</v>
      </c>
      <c r="L166">
        <f t="shared" si="21"/>
        <v>-2.2516698987287143E-2</v>
      </c>
      <c r="M166">
        <f t="shared" si="22"/>
        <v>-5.6431535269709787E-3</v>
      </c>
      <c r="O166" s="2"/>
    </row>
    <row r="167" spans="1:15" x14ac:dyDescent="0.3">
      <c r="A167" s="3">
        <v>42242</v>
      </c>
      <c r="B167" s="8">
        <v>12.796217282672881</v>
      </c>
      <c r="C167" s="8">
        <v>95.11</v>
      </c>
      <c r="D167" s="8">
        <v>62.91</v>
      </c>
      <c r="E167">
        <v>0</v>
      </c>
      <c r="G167">
        <f t="shared" si="17"/>
        <v>104.64116271006209</v>
      </c>
      <c r="H167">
        <f t="shared" si="18"/>
        <v>6.3546888412565616E-2</v>
      </c>
      <c r="I167">
        <f t="shared" si="19"/>
        <v>6.3546888412565616E-2</v>
      </c>
      <c r="K167">
        <f t="shared" si="20"/>
        <v>2.4031007751938116E-2</v>
      </c>
      <c r="L167">
        <f t="shared" si="21"/>
        <v>4.8275101950843169E-2</v>
      </c>
      <c r="M167">
        <f t="shared" si="22"/>
        <v>5.0075112669003552E-2</v>
      </c>
      <c r="O167" s="2"/>
    </row>
    <row r="168" spans="1:15" x14ac:dyDescent="0.3">
      <c r="A168" s="3">
        <v>42243</v>
      </c>
      <c r="B168" s="8">
        <v>13.13525407668768</v>
      </c>
      <c r="C168" s="8">
        <v>96.22</v>
      </c>
      <c r="D168" s="8">
        <v>64.48</v>
      </c>
      <c r="E168">
        <v>0</v>
      </c>
      <c r="G168">
        <f t="shared" si="17"/>
        <v>101.82238297860313</v>
      </c>
      <c r="H168">
        <f t="shared" si="18"/>
        <v>-2.6937580379044368E-2</v>
      </c>
      <c r="I168">
        <f t="shared" si="19"/>
        <v>-2.6937580379044368E-2</v>
      </c>
      <c r="K168">
        <f t="shared" si="20"/>
        <v>2.6495079485238326E-2</v>
      </c>
      <c r="L168">
        <f t="shared" si="21"/>
        <v>1.1670697087582838E-2</v>
      </c>
      <c r="M168">
        <f t="shared" si="22"/>
        <v>2.4956286758861967E-2</v>
      </c>
      <c r="O168" s="2"/>
    </row>
    <row r="169" spans="1:15" x14ac:dyDescent="0.3">
      <c r="A169" s="3">
        <v>42244</v>
      </c>
      <c r="B169" s="8">
        <v>13.309615856466721</v>
      </c>
      <c r="C169" s="8">
        <v>95.17</v>
      </c>
      <c r="D169" s="8">
        <v>64.13</v>
      </c>
      <c r="E169">
        <v>0</v>
      </c>
      <c r="G169">
        <f t="shared" si="17"/>
        <v>99.368619896346402</v>
      </c>
      <c r="H169">
        <f t="shared" si="18"/>
        <v>-2.4098464507281814E-2</v>
      </c>
      <c r="I169">
        <f t="shared" si="19"/>
        <v>-2.4098464507281814E-2</v>
      </c>
      <c r="K169">
        <f t="shared" si="20"/>
        <v>1.3274336283185972E-2</v>
      </c>
      <c r="L169">
        <f t="shared" si="21"/>
        <v>-1.0912492205362723E-2</v>
      </c>
      <c r="M169">
        <f t="shared" si="22"/>
        <v>-5.4280397022333782E-3</v>
      </c>
      <c r="O169" s="2"/>
    </row>
    <row r="170" spans="1:15" x14ac:dyDescent="0.3">
      <c r="A170" s="3">
        <v>42247</v>
      </c>
      <c r="B170" s="8">
        <v>13.43554380852936</v>
      </c>
      <c r="C170" s="8">
        <v>93.98</v>
      </c>
      <c r="D170" s="8">
        <v>64.099999999999994</v>
      </c>
      <c r="E170">
        <v>0</v>
      </c>
      <c r="G170">
        <f t="shared" si="17"/>
        <v>99.432740362990074</v>
      </c>
      <c r="H170">
        <f t="shared" si="18"/>
        <v>6.4527882857334795E-4</v>
      </c>
      <c r="I170">
        <f t="shared" si="19"/>
        <v>6.4527882857334795E-4</v>
      </c>
      <c r="K170">
        <f t="shared" si="20"/>
        <v>9.4614264919941071E-3</v>
      </c>
      <c r="L170">
        <f t="shared" si="21"/>
        <v>-1.2503940317326823E-2</v>
      </c>
      <c r="M170">
        <f t="shared" si="22"/>
        <v>-4.6779978169342318E-4</v>
      </c>
      <c r="O170" s="2"/>
    </row>
    <row r="171" spans="1:15" x14ac:dyDescent="0.3">
      <c r="A171" s="3">
        <v>42248</v>
      </c>
      <c r="B171" s="8">
        <v>13.290242325380161</v>
      </c>
      <c r="C171" s="8">
        <v>92.09</v>
      </c>
      <c r="D171" s="8">
        <v>61.45</v>
      </c>
      <c r="E171">
        <v>0</v>
      </c>
      <c r="G171">
        <f t="shared" si="17"/>
        <v>97.287413663551064</v>
      </c>
      <c r="H171">
        <f t="shared" si="18"/>
        <v>-2.1575656987902203E-2</v>
      </c>
      <c r="I171">
        <f t="shared" si="19"/>
        <v>-2.1575656987902203E-2</v>
      </c>
      <c r="K171">
        <f t="shared" si="20"/>
        <v>-1.0814708002883866E-2</v>
      </c>
      <c r="L171">
        <f t="shared" si="21"/>
        <v>-2.0110661842945299E-2</v>
      </c>
      <c r="M171">
        <f t="shared" si="22"/>
        <v>-4.1341653666146505E-2</v>
      </c>
      <c r="O171" s="2"/>
    </row>
    <row r="172" spans="1:15" x14ac:dyDescent="0.3">
      <c r="A172" s="3">
        <v>42249</v>
      </c>
      <c r="B172" s="8">
        <v>13.43554380852936</v>
      </c>
      <c r="C172" s="8">
        <v>93.35</v>
      </c>
      <c r="D172" s="8">
        <v>62.57</v>
      </c>
      <c r="E172">
        <v>0</v>
      </c>
      <c r="G172">
        <f t="shared" si="17"/>
        <v>101.51040602718808</v>
      </c>
      <c r="H172">
        <f t="shared" si="18"/>
        <v>4.3407386470786236E-2</v>
      </c>
      <c r="I172">
        <f t="shared" si="19"/>
        <v>4.3407386470786236E-2</v>
      </c>
      <c r="K172">
        <f t="shared" si="20"/>
        <v>1.0932944606413919E-2</v>
      </c>
      <c r="L172">
        <f t="shared" si="21"/>
        <v>1.3682267347160382E-2</v>
      </c>
      <c r="M172">
        <f t="shared" si="22"/>
        <v>1.8226200162733797E-2</v>
      </c>
      <c r="O172" s="2"/>
    </row>
    <row r="173" spans="1:15" x14ac:dyDescent="0.3">
      <c r="A173" s="3">
        <v>42250</v>
      </c>
      <c r="B173" s="8">
        <v>13.40648351189952</v>
      </c>
      <c r="C173" s="8">
        <v>92.64</v>
      </c>
      <c r="D173" s="8">
        <v>62.68</v>
      </c>
      <c r="E173">
        <v>0</v>
      </c>
      <c r="G173">
        <f t="shared" si="17"/>
        <v>99.648833735337618</v>
      </c>
      <c r="H173">
        <f t="shared" si="18"/>
        <v>-1.833873358118443E-2</v>
      </c>
      <c r="I173">
        <f t="shared" si="19"/>
        <v>-1.833873358118443E-2</v>
      </c>
      <c r="K173">
        <f t="shared" si="20"/>
        <v>-2.1629416005768398E-3</v>
      </c>
      <c r="L173">
        <f t="shared" si="21"/>
        <v>-7.6057846813067931E-3</v>
      </c>
      <c r="M173">
        <f t="shared" si="22"/>
        <v>1.7580310052740522E-3</v>
      </c>
      <c r="O173" s="2"/>
    </row>
    <row r="174" spans="1:15" x14ac:dyDescent="0.3">
      <c r="A174" s="3">
        <v>42251</v>
      </c>
      <c r="B174" s="8">
        <v>13.13525407668768</v>
      </c>
      <c r="C174" s="8">
        <v>91.31</v>
      </c>
      <c r="D174" s="8">
        <v>61.5</v>
      </c>
      <c r="E174">
        <v>0</v>
      </c>
      <c r="G174">
        <f t="shared" si="17"/>
        <v>98.334590248882208</v>
      </c>
      <c r="H174">
        <f t="shared" si="18"/>
        <v>-1.3188749302836533E-2</v>
      </c>
      <c r="I174">
        <f t="shared" si="19"/>
        <v>-1.3188749302836533E-2</v>
      </c>
      <c r="K174">
        <f t="shared" si="20"/>
        <v>-2.0231213872832332E-2</v>
      </c>
      <c r="L174">
        <f t="shared" si="21"/>
        <v>-1.4356649395509513E-2</v>
      </c>
      <c r="M174">
        <f t="shared" si="22"/>
        <v>-1.8825781748564085E-2</v>
      </c>
      <c r="O174" s="2"/>
    </row>
    <row r="175" spans="1:15" x14ac:dyDescent="0.3">
      <c r="A175" s="3">
        <v>42255</v>
      </c>
      <c r="B175" s="8">
        <v>13.24180849766376</v>
      </c>
      <c r="C175" s="8">
        <v>93.94</v>
      </c>
      <c r="D175" s="8">
        <v>63.16</v>
      </c>
      <c r="E175">
        <v>0</v>
      </c>
      <c r="G175">
        <f t="shared" si="17"/>
        <v>102.59529874232439</v>
      </c>
      <c r="H175">
        <f t="shared" si="18"/>
        <v>4.3328685080788354E-2</v>
      </c>
      <c r="I175">
        <f t="shared" si="19"/>
        <v>4.3328685080788354E-2</v>
      </c>
      <c r="K175">
        <f t="shared" si="20"/>
        <v>8.1120943952801561E-3</v>
      </c>
      <c r="L175">
        <f t="shared" si="21"/>
        <v>2.8802978863213147E-2</v>
      </c>
      <c r="M175">
        <f t="shared" si="22"/>
        <v>2.6991869918699063E-2</v>
      </c>
      <c r="O175" s="2"/>
    </row>
    <row r="176" spans="1:15" x14ac:dyDescent="0.3">
      <c r="A176" s="3">
        <v>42256</v>
      </c>
      <c r="B176" s="8">
        <v>13.10619378005784</v>
      </c>
      <c r="C176" s="8">
        <v>92.22</v>
      </c>
      <c r="D176" s="8">
        <v>62.18</v>
      </c>
      <c r="E176">
        <v>0</v>
      </c>
      <c r="G176">
        <f t="shared" si="17"/>
        <v>98.358719067113327</v>
      </c>
      <c r="H176">
        <f t="shared" si="18"/>
        <v>-4.1294091709324188E-2</v>
      </c>
      <c r="I176">
        <f t="shared" si="19"/>
        <v>-4.1294091709324188E-2</v>
      </c>
      <c r="K176">
        <f t="shared" si="20"/>
        <v>-1.0241404535479171E-2</v>
      </c>
      <c r="L176">
        <f t="shared" si="21"/>
        <v>-1.83095592931658E-2</v>
      </c>
      <c r="M176">
        <f t="shared" si="22"/>
        <v>-1.5516149461684559E-2</v>
      </c>
      <c r="O176" s="2"/>
    </row>
    <row r="177" spans="1:15" x14ac:dyDescent="0.3">
      <c r="A177" s="3">
        <v>42257</v>
      </c>
      <c r="B177" s="8">
        <v>13.299929090923442</v>
      </c>
      <c r="C177" s="8">
        <v>92.72</v>
      </c>
      <c r="D177" s="8">
        <v>62.66</v>
      </c>
      <c r="E177">
        <v>0</v>
      </c>
      <c r="G177">
        <f t="shared" si="17"/>
        <v>100.72674331080917</v>
      </c>
      <c r="H177">
        <f t="shared" si="18"/>
        <v>2.4075387176200058E-2</v>
      </c>
      <c r="I177">
        <f t="shared" si="19"/>
        <v>2.4075387176200058E-2</v>
      </c>
      <c r="K177">
        <f t="shared" si="20"/>
        <v>1.4781966001478297E-2</v>
      </c>
      <c r="L177">
        <f t="shared" si="21"/>
        <v>5.4218173931901426E-3</v>
      </c>
      <c r="M177">
        <f t="shared" si="22"/>
        <v>7.7195239626888235E-3</v>
      </c>
      <c r="O177" s="2"/>
    </row>
    <row r="178" spans="1:15" x14ac:dyDescent="0.3">
      <c r="A178" s="3">
        <v>42258</v>
      </c>
      <c r="B178" s="8">
        <v>13.280555559836881</v>
      </c>
      <c r="C178" s="8">
        <v>92.93</v>
      </c>
      <c r="D178" s="8">
        <v>62.56</v>
      </c>
      <c r="E178">
        <v>0</v>
      </c>
      <c r="G178">
        <f t="shared" si="17"/>
        <v>100.04219989839764</v>
      </c>
      <c r="H178">
        <f t="shared" si="18"/>
        <v>-6.7960443265723258E-3</v>
      </c>
      <c r="I178">
        <f t="shared" si="19"/>
        <v>-6.7960443265723258E-3</v>
      </c>
      <c r="K178">
        <f t="shared" si="20"/>
        <v>-1.4566642388930129E-3</v>
      </c>
      <c r="L178">
        <f t="shared" si="21"/>
        <v>2.2648835202760953E-3</v>
      </c>
      <c r="M178">
        <f t="shared" si="22"/>
        <v>-1.5959144589848817E-3</v>
      </c>
      <c r="O178" s="2"/>
    </row>
    <row r="179" spans="1:15" x14ac:dyDescent="0.3">
      <c r="A179" s="3">
        <v>42261</v>
      </c>
      <c r="B179" s="8">
        <v>13.34836291863984</v>
      </c>
      <c r="C179" s="8">
        <v>93.32</v>
      </c>
      <c r="D179" s="8">
        <v>62.38</v>
      </c>
      <c r="E179">
        <v>0</v>
      </c>
      <c r="G179">
        <f t="shared" si="17"/>
        <v>100.16299805115088</v>
      </c>
      <c r="H179">
        <f t="shared" si="18"/>
        <v>1.2074719755854613E-3</v>
      </c>
      <c r="I179">
        <f t="shared" si="19"/>
        <v>1.2074719755854613E-3</v>
      </c>
      <c r="K179">
        <f t="shared" si="20"/>
        <v>5.1057622173595885E-3</v>
      </c>
      <c r="L179">
        <f t="shared" si="21"/>
        <v>4.1967071989668092E-3</v>
      </c>
      <c r="M179">
        <f t="shared" si="22"/>
        <v>-2.8772378516623842E-3</v>
      </c>
      <c r="O179" s="2"/>
    </row>
    <row r="180" spans="1:15" x14ac:dyDescent="0.3">
      <c r="A180" s="3">
        <v>42262</v>
      </c>
      <c r="B180" s="8">
        <v>13.861761492433681</v>
      </c>
      <c r="C180" s="8">
        <v>94.4</v>
      </c>
      <c r="D180" s="8">
        <v>63.58</v>
      </c>
      <c r="E180">
        <v>0</v>
      </c>
      <c r="G180">
        <f t="shared" si="17"/>
        <v>101.72750406047935</v>
      </c>
      <c r="H180">
        <f t="shared" si="18"/>
        <v>1.5619600448955273E-2</v>
      </c>
      <c r="I180">
        <f t="shared" si="19"/>
        <v>1.5619600448955273E-2</v>
      </c>
      <c r="K180">
        <f t="shared" si="20"/>
        <v>3.8461538461538547E-2</v>
      </c>
      <c r="L180">
        <f t="shared" si="21"/>
        <v>1.1573081868838431E-2</v>
      </c>
      <c r="M180">
        <f t="shared" si="22"/>
        <v>1.9236934915036752E-2</v>
      </c>
      <c r="O180" s="2"/>
    </row>
    <row r="181" spans="1:15" x14ac:dyDescent="0.3">
      <c r="A181" s="3">
        <v>42263</v>
      </c>
      <c r="B181" s="8">
        <v>14.18142475536192</v>
      </c>
      <c r="C181" s="8">
        <v>94.61</v>
      </c>
      <c r="D181" s="8">
        <v>64.14</v>
      </c>
      <c r="E181">
        <v>0</v>
      </c>
      <c r="G181">
        <f t="shared" si="17"/>
        <v>100.68855952261413</v>
      </c>
      <c r="H181">
        <f t="shared" si="18"/>
        <v>-1.0213015127625069E-2</v>
      </c>
      <c r="I181">
        <f t="shared" si="19"/>
        <v>-1.0213015127625069E-2</v>
      </c>
      <c r="K181">
        <f t="shared" si="20"/>
        <v>2.3060796645702153E-2</v>
      </c>
      <c r="L181">
        <f t="shared" si="21"/>
        <v>2.2245762711863293E-3</v>
      </c>
      <c r="M181">
        <f t="shared" si="22"/>
        <v>8.8078011953445223E-3</v>
      </c>
      <c r="O181" s="2"/>
    </row>
    <row r="182" spans="1:15" x14ac:dyDescent="0.3">
      <c r="A182" s="3">
        <v>42264</v>
      </c>
      <c r="B182" s="8">
        <v>14.1426776931888</v>
      </c>
      <c r="C182" s="8">
        <v>94.84</v>
      </c>
      <c r="D182" s="8">
        <v>62.65</v>
      </c>
      <c r="E182">
        <v>0</v>
      </c>
      <c r="G182">
        <f t="shared" si="17"/>
        <v>99.22332379335235</v>
      </c>
      <c r="H182">
        <f t="shared" si="18"/>
        <v>-1.4552157029644408E-2</v>
      </c>
      <c r="I182">
        <f t="shared" si="19"/>
        <v>-1.4552157029644408E-2</v>
      </c>
      <c r="K182">
        <f t="shared" si="20"/>
        <v>-2.732240437158473E-3</v>
      </c>
      <c r="L182">
        <f t="shared" si="21"/>
        <v>2.4310326603953492E-3</v>
      </c>
      <c r="M182">
        <f t="shared" si="22"/>
        <v>-2.3230433426878694E-2</v>
      </c>
      <c r="O182" s="2"/>
    </row>
    <row r="183" spans="1:15" x14ac:dyDescent="0.3">
      <c r="A183" s="3">
        <v>42265</v>
      </c>
      <c r="B183" s="8">
        <v>13.832701195803839</v>
      </c>
      <c r="C183" s="8">
        <v>93.39</v>
      </c>
      <c r="D183" s="8">
        <v>60.94</v>
      </c>
      <c r="E183">
        <v>0</v>
      </c>
      <c r="G183">
        <f t="shared" si="17"/>
        <v>97.94985437668376</v>
      </c>
      <c r="H183">
        <f t="shared" si="18"/>
        <v>-1.2834375709090184E-2</v>
      </c>
      <c r="I183">
        <f t="shared" si="19"/>
        <v>-1.2834375709090184E-2</v>
      </c>
      <c r="K183">
        <f t="shared" si="20"/>
        <v>-2.1917808219178103E-2</v>
      </c>
      <c r="L183">
        <f t="shared" si="21"/>
        <v>-1.5288907633909776E-2</v>
      </c>
      <c r="M183">
        <f t="shared" si="22"/>
        <v>-2.7294493216280968E-2</v>
      </c>
      <c r="O183" s="2"/>
    </row>
    <row r="184" spans="1:15" x14ac:dyDescent="0.3">
      <c r="A184" s="3">
        <v>42268</v>
      </c>
      <c r="B184" s="8">
        <v>13.871448257976962</v>
      </c>
      <c r="C184" s="8">
        <v>93.13</v>
      </c>
      <c r="D184" s="8">
        <v>61.45</v>
      </c>
      <c r="E184">
        <v>0</v>
      </c>
      <c r="G184">
        <f t="shared" si="17"/>
        <v>100.19982665536385</v>
      </c>
      <c r="H184">
        <f t="shared" si="18"/>
        <v>2.2970654657917366E-2</v>
      </c>
      <c r="I184">
        <f t="shared" si="19"/>
        <v>2.2970654657917366E-2</v>
      </c>
      <c r="K184">
        <f t="shared" si="20"/>
        <v>2.8011204481794838E-3</v>
      </c>
      <c r="L184">
        <f t="shared" si="21"/>
        <v>-2.7840239854374227E-3</v>
      </c>
      <c r="M184">
        <f t="shared" si="22"/>
        <v>8.3688874302594307E-3</v>
      </c>
      <c r="O184" s="2"/>
    </row>
    <row r="185" spans="1:15" x14ac:dyDescent="0.3">
      <c r="A185" s="3">
        <v>42269</v>
      </c>
      <c r="B185" s="8">
        <v>13.48397763624576</v>
      </c>
      <c r="C185" s="8">
        <v>93.24</v>
      </c>
      <c r="D185" s="8">
        <v>60.91</v>
      </c>
      <c r="E185">
        <v>0</v>
      </c>
      <c r="G185">
        <f t="shared" si="17"/>
        <v>99.437856636552624</v>
      </c>
      <c r="H185">
        <f t="shared" si="18"/>
        <v>-7.6045043613899299E-3</v>
      </c>
      <c r="I185">
        <f t="shared" si="19"/>
        <v>-7.6045043613899299E-3</v>
      </c>
      <c r="K185">
        <f t="shared" si="20"/>
        <v>-2.7932960893854886E-2</v>
      </c>
      <c r="L185">
        <f t="shared" si="21"/>
        <v>1.1811446365295186E-3</v>
      </c>
      <c r="M185">
        <f t="shared" si="22"/>
        <v>-8.7876322213182867E-3</v>
      </c>
      <c r="O185" s="2"/>
    </row>
    <row r="186" spans="1:15" x14ac:dyDescent="0.3">
      <c r="A186" s="3">
        <v>42270</v>
      </c>
      <c r="B186" s="8">
        <v>13.25149526320704</v>
      </c>
      <c r="C186" s="8">
        <v>92.99</v>
      </c>
      <c r="D186" s="8">
        <v>60.64</v>
      </c>
      <c r="E186">
        <v>0</v>
      </c>
      <c r="G186">
        <f t="shared" si="17"/>
        <v>99.513369857532084</v>
      </c>
      <c r="H186">
        <f t="shared" si="18"/>
        <v>7.5940113286487865E-4</v>
      </c>
      <c r="I186">
        <f t="shared" si="19"/>
        <v>7.5940113286487865E-4</v>
      </c>
      <c r="K186">
        <f t="shared" si="20"/>
        <v>-1.7241379310344751E-2</v>
      </c>
      <c r="L186">
        <f t="shared" si="21"/>
        <v>-2.6812526812526327E-3</v>
      </c>
      <c r="M186">
        <f t="shared" si="22"/>
        <v>-4.4327696601542677E-3</v>
      </c>
      <c r="O186" s="2"/>
    </row>
    <row r="187" spans="1:15" x14ac:dyDescent="0.3">
      <c r="A187" s="3">
        <v>42271</v>
      </c>
      <c r="B187" s="8">
        <v>13.2224349665772</v>
      </c>
      <c r="C187" s="8">
        <v>92.48</v>
      </c>
      <c r="D187" s="8">
        <v>60.22</v>
      </c>
      <c r="E187">
        <v>0</v>
      </c>
      <c r="G187">
        <f t="shared" si="17"/>
        <v>99.431798221881294</v>
      </c>
      <c r="H187">
        <f t="shared" si="18"/>
        <v>-8.197052895261292E-4</v>
      </c>
      <c r="I187">
        <f t="shared" si="19"/>
        <v>-8.197052895261292E-4</v>
      </c>
      <c r="K187">
        <f t="shared" si="20"/>
        <v>-2.1929824561404132E-3</v>
      </c>
      <c r="L187">
        <f t="shared" si="21"/>
        <v>-5.4844606946982122E-3</v>
      </c>
      <c r="M187">
        <f t="shared" si="22"/>
        <v>-6.926121372031635E-3</v>
      </c>
      <c r="O187" s="2"/>
    </row>
    <row r="188" spans="1:15" x14ac:dyDescent="0.3">
      <c r="A188" s="3">
        <v>42272</v>
      </c>
      <c r="B188" s="8">
        <v>13.10619378005784</v>
      </c>
      <c r="C188" s="8">
        <v>91</v>
      </c>
      <c r="D188" s="8">
        <v>61.47</v>
      </c>
      <c r="E188">
        <v>0</v>
      </c>
      <c r="G188">
        <f t="shared" si="17"/>
        <v>99.858582113508731</v>
      </c>
      <c r="H188">
        <f t="shared" si="18"/>
        <v>4.2922274288459406E-3</v>
      </c>
      <c r="I188">
        <f t="shared" si="19"/>
        <v>4.2922274288459406E-3</v>
      </c>
      <c r="K188">
        <f t="shared" si="20"/>
        <v>-8.791208791208871E-3</v>
      </c>
      <c r="L188">
        <f t="shared" si="21"/>
        <v>-1.6003460207612452E-2</v>
      </c>
      <c r="M188">
        <f t="shared" si="22"/>
        <v>2.075722351378273E-2</v>
      </c>
      <c r="O188" s="2"/>
    </row>
    <row r="189" spans="1:15" x14ac:dyDescent="0.3">
      <c r="A189" s="3">
        <v>42275</v>
      </c>
      <c r="B189" s="8">
        <v>12.709036392783359</v>
      </c>
      <c r="C189" s="8">
        <v>91.37</v>
      </c>
      <c r="D189" s="8">
        <v>59.98</v>
      </c>
      <c r="E189">
        <v>0</v>
      </c>
      <c r="G189">
        <f t="shared" si="17"/>
        <v>98.98123756925952</v>
      </c>
      <c r="H189">
        <f t="shared" si="18"/>
        <v>-8.7858702344876249E-3</v>
      </c>
      <c r="I189">
        <f t="shared" si="19"/>
        <v>-8.7858702344876249E-3</v>
      </c>
      <c r="K189">
        <f t="shared" si="20"/>
        <v>-3.0303030303030387E-2</v>
      </c>
      <c r="L189">
        <f t="shared" si="21"/>
        <v>4.0659340659341403E-3</v>
      </c>
      <c r="M189">
        <f t="shared" si="22"/>
        <v>-2.4239466406377086E-2</v>
      </c>
      <c r="O189" s="2"/>
    </row>
    <row r="190" spans="1:15" x14ac:dyDescent="0.3">
      <c r="A190" s="3">
        <v>42276</v>
      </c>
      <c r="B190" s="8">
        <v>12.738096689413201</v>
      </c>
      <c r="C190" s="8">
        <v>93.04</v>
      </c>
      <c r="D190" s="8">
        <v>59.84</v>
      </c>
      <c r="E190">
        <v>0</v>
      </c>
      <c r="G190">
        <f t="shared" si="17"/>
        <v>100.88451690636234</v>
      </c>
      <c r="H190">
        <f t="shared" si="18"/>
        <v>1.9228688020505258E-2</v>
      </c>
      <c r="I190">
        <f t="shared" si="19"/>
        <v>1.9228688020505258E-2</v>
      </c>
      <c r="K190">
        <f t="shared" si="20"/>
        <v>2.2865853658537993E-3</v>
      </c>
      <c r="L190">
        <f t="shared" si="21"/>
        <v>1.8277333917040561E-2</v>
      </c>
      <c r="M190">
        <f t="shared" si="22"/>
        <v>-2.3341113704566929E-3</v>
      </c>
      <c r="O190" s="2"/>
    </row>
    <row r="191" spans="1:15" x14ac:dyDescent="0.3">
      <c r="A191" s="3">
        <v>42277</v>
      </c>
      <c r="B191" s="8">
        <v>13.144940842230961</v>
      </c>
      <c r="C191" s="8">
        <v>93.35</v>
      </c>
      <c r="D191" s="8">
        <v>60.97</v>
      </c>
      <c r="E191">
        <v>0</v>
      </c>
      <c r="G191">
        <f t="shared" si="17"/>
        <v>101.21823049828458</v>
      </c>
      <c r="H191">
        <f t="shared" si="18"/>
        <v>3.3078771862682377E-3</v>
      </c>
      <c r="I191">
        <f t="shared" si="19"/>
        <v>3.3078771862682377E-3</v>
      </c>
      <c r="K191">
        <f t="shared" si="20"/>
        <v>3.1939163498098777E-2</v>
      </c>
      <c r="L191">
        <f t="shared" si="21"/>
        <v>3.3319002579534907E-3</v>
      </c>
      <c r="M191">
        <f t="shared" si="22"/>
        <v>1.8883689839572115E-2</v>
      </c>
      <c r="O191" s="2"/>
    </row>
    <row r="192" spans="1:15" x14ac:dyDescent="0.3">
      <c r="A192" s="3">
        <v>42278</v>
      </c>
      <c r="B192" s="8">
        <v>13.24180849766376</v>
      </c>
      <c r="C192" s="8">
        <v>93.17</v>
      </c>
      <c r="D192" s="8">
        <v>61.42</v>
      </c>
      <c r="E192">
        <v>0</v>
      </c>
      <c r="G192">
        <f t="shared" si="17"/>
        <v>100.25492009033195</v>
      </c>
      <c r="H192">
        <f t="shared" si="18"/>
        <v>-9.5171630961179421E-3</v>
      </c>
      <c r="I192">
        <f t="shared" si="19"/>
        <v>-9.5171630961179421E-3</v>
      </c>
      <c r="K192">
        <f t="shared" si="20"/>
        <v>7.3691967575533202E-3</v>
      </c>
      <c r="L192">
        <f t="shared" si="21"/>
        <v>-1.928227102303115E-3</v>
      </c>
      <c r="M192">
        <f t="shared" si="22"/>
        <v>7.3806790224701935E-3</v>
      </c>
      <c r="O192" s="2"/>
    </row>
    <row r="193" spans="1:15" x14ac:dyDescent="0.3">
      <c r="A193" s="3">
        <v>42279</v>
      </c>
      <c r="B193" s="8">
        <v>13.55178499504872</v>
      </c>
      <c r="C193" s="8">
        <v>93.93</v>
      </c>
      <c r="D193" s="8">
        <v>60.81</v>
      </c>
      <c r="E193">
        <v>0</v>
      </c>
      <c r="G193">
        <f t="shared" si="17"/>
        <v>100.29485738033708</v>
      </c>
      <c r="H193">
        <f t="shared" si="18"/>
        <v>3.9835740698945798E-4</v>
      </c>
      <c r="I193">
        <f t="shared" si="19"/>
        <v>3.9835740698945798E-4</v>
      </c>
      <c r="K193">
        <f t="shared" si="20"/>
        <v>2.3408924652523755E-2</v>
      </c>
      <c r="L193">
        <f t="shared" si="21"/>
        <v>8.1571321240743178E-3</v>
      </c>
      <c r="M193">
        <f t="shared" si="22"/>
        <v>-9.9316183653532786E-3</v>
      </c>
      <c r="O193" s="2"/>
    </row>
    <row r="194" spans="1:15" x14ac:dyDescent="0.3">
      <c r="A194" s="3">
        <v>42282</v>
      </c>
      <c r="B194" s="8">
        <v>13.745520305914319</v>
      </c>
      <c r="C194" s="8">
        <v>94.76</v>
      </c>
      <c r="D194" s="8">
        <v>62.02</v>
      </c>
      <c r="E194">
        <v>0</v>
      </c>
      <c r="G194">
        <f t="shared" si="17"/>
        <v>101.35711633358795</v>
      </c>
      <c r="H194">
        <f t="shared" si="18"/>
        <v>1.0591360125500549E-2</v>
      </c>
      <c r="I194">
        <f t="shared" si="19"/>
        <v>1.0591360125500549E-2</v>
      </c>
      <c r="K194">
        <f t="shared" si="20"/>
        <v>1.4295925661186537E-2</v>
      </c>
      <c r="L194">
        <f t="shared" si="21"/>
        <v>8.8363675077185455E-3</v>
      </c>
      <c r="M194">
        <f t="shared" si="22"/>
        <v>1.9898043085018857E-2</v>
      </c>
      <c r="O194" s="2"/>
    </row>
    <row r="195" spans="1:15" x14ac:dyDescent="0.3">
      <c r="A195" s="3">
        <v>42283</v>
      </c>
      <c r="B195" s="8">
        <v>13.861761492433681</v>
      </c>
      <c r="C195" s="8">
        <v>93.42</v>
      </c>
      <c r="D195" s="8">
        <v>62.05</v>
      </c>
      <c r="E195">
        <v>0</v>
      </c>
      <c r="G195">
        <f t="shared" si="17"/>
        <v>99.373072303008982</v>
      </c>
      <c r="H195">
        <f t="shared" si="18"/>
        <v>-1.9574787665121218E-2</v>
      </c>
      <c r="I195">
        <f t="shared" si="19"/>
        <v>-1.9574787665121218E-2</v>
      </c>
      <c r="K195">
        <f t="shared" si="20"/>
        <v>8.4566596194504129E-3</v>
      </c>
      <c r="L195">
        <f t="shared" si="21"/>
        <v>-1.4140987758547996E-2</v>
      </c>
      <c r="M195">
        <f t="shared" si="22"/>
        <v>4.8371493066734494E-4</v>
      </c>
      <c r="O195" s="2"/>
    </row>
    <row r="196" spans="1:15" x14ac:dyDescent="0.3">
      <c r="A196" s="3">
        <v>42284</v>
      </c>
      <c r="B196" s="8">
        <v>14.287979176338</v>
      </c>
      <c r="C196" s="8">
        <v>94.98</v>
      </c>
      <c r="D196" s="8">
        <v>62.13</v>
      </c>
      <c r="E196">
        <v>0</v>
      </c>
      <c r="G196">
        <f t="shared" si="17"/>
        <v>101.2372391108261</v>
      </c>
      <c r="H196">
        <f t="shared" si="18"/>
        <v>1.8759275169966338E-2</v>
      </c>
      <c r="I196">
        <f t="shared" si="19"/>
        <v>1.8759275169966338E-2</v>
      </c>
      <c r="K196">
        <f t="shared" si="20"/>
        <v>3.0747728860936352E-2</v>
      </c>
      <c r="L196">
        <f t="shared" si="21"/>
        <v>1.6698779704560129E-2</v>
      </c>
      <c r="M196">
        <f t="shared" si="22"/>
        <v>1.2892828364223785E-3</v>
      </c>
      <c r="O196" s="2"/>
    </row>
    <row r="197" spans="1:15" x14ac:dyDescent="0.3">
      <c r="A197" s="3">
        <v>42285</v>
      </c>
      <c r="B197" s="8">
        <v>14.520461549376721</v>
      </c>
      <c r="C197" s="8">
        <v>95.08</v>
      </c>
      <c r="D197" s="8">
        <v>62.13</v>
      </c>
      <c r="E197">
        <v>0</v>
      </c>
      <c r="G197">
        <f t="shared" ref="G197:G260" si="23">$G$4*(B197*$P$8/B196 + C197*$Q$8/C196 + D197*$R$8/D196)</f>
        <v>100.22515704026098</v>
      </c>
      <c r="H197">
        <f t="shared" ref="H197:H260" si="24">G197/G196-1</f>
        <v>-9.9971322751816194E-3</v>
      </c>
      <c r="I197">
        <f t="shared" si="19"/>
        <v>-9.9971322751816194E-3</v>
      </c>
      <c r="K197">
        <f t="shared" si="20"/>
        <v>1.6271186440677932E-2</v>
      </c>
      <c r="L197">
        <f t="shared" si="21"/>
        <v>1.0528532322593431E-3</v>
      </c>
      <c r="M197">
        <f t="shared" si="22"/>
        <v>0</v>
      </c>
      <c r="O197" s="2"/>
    </row>
    <row r="198" spans="1:15" x14ac:dyDescent="0.3">
      <c r="A198" s="3">
        <v>42286</v>
      </c>
      <c r="B198" s="8">
        <v>14.50108801829016</v>
      </c>
      <c r="C198" s="8">
        <v>95.37</v>
      </c>
      <c r="D198" s="8">
        <v>61.93</v>
      </c>
      <c r="E198">
        <v>0</v>
      </c>
      <c r="G198">
        <f t="shared" si="23"/>
        <v>100.02314459330522</v>
      </c>
      <c r="H198">
        <f t="shared" si="24"/>
        <v>-2.0155862352464471E-3</v>
      </c>
      <c r="I198">
        <f t="shared" ref="I198:I261" si="25">H198-E198</f>
        <v>-2.0155862352464471E-3</v>
      </c>
      <c r="K198">
        <f t="shared" ref="K198:K261" si="26">B198/B197-1</f>
        <v>-1.3342228152102287E-3</v>
      </c>
      <c r="L198">
        <f t="shared" ref="L198:L261" si="27">C198/C197-1</f>
        <v>3.050063104753864E-3</v>
      </c>
      <c r="M198">
        <f t="shared" ref="M198:M261" si="28">D198/D197-1</f>
        <v>-3.2190568163528166E-3</v>
      </c>
      <c r="O198" s="2"/>
    </row>
    <row r="199" spans="1:15" x14ac:dyDescent="0.3">
      <c r="A199" s="3">
        <v>42289</v>
      </c>
      <c r="B199" s="8">
        <v>14.51077478383344</v>
      </c>
      <c r="C199" s="8">
        <v>95.99</v>
      </c>
      <c r="D199" s="8">
        <v>61.72</v>
      </c>
      <c r="E199">
        <v>0</v>
      </c>
      <c r="G199">
        <f t="shared" si="23"/>
        <v>100.21672538655955</v>
      </c>
      <c r="H199">
        <f t="shared" si="24"/>
        <v>1.9353600013418681E-3</v>
      </c>
      <c r="I199">
        <f t="shared" si="25"/>
        <v>1.9353600013418681E-3</v>
      </c>
      <c r="K199">
        <f t="shared" si="26"/>
        <v>6.6800267201072572E-4</v>
      </c>
      <c r="L199">
        <f t="shared" si="27"/>
        <v>6.500996120373248E-3</v>
      </c>
      <c r="M199">
        <f t="shared" si="28"/>
        <v>-3.3909252381721933E-3</v>
      </c>
      <c r="O199" s="2"/>
    </row>
    <row r="200" spans="1:15" x14ac:dyDescent="0.3">
      <c r="A200" s="3">
        <v>42290</v>
      </c>
      <c r="B200" s="8">
        <v>14.47202772166032</v>
      </c>
      <c r="C200" s="8">
        <v>95.45</v>
      </c>
      <c r="D200" s="8">
        <v>61.55</v>
      </c>
      <c r="E200">
        <v>0</v>
      </c>
      <c r="G200">
        <f t="shared" si="23"/>
        <v>99.576460864909549</v>
      </c>
      <c r="H200">
        <f t="shared" si="24"/>
        <v>-6.3887990670253858E-3</v>
      </c>
      <c r="I200">
        <f t="shared" si="25"/>
        <v>-6.3887990670253858E-3</v>
      </c>
      <c r="K200">
        <f t="shared" si="26"/>
        <v>-2.6702269692924219E-3</v>
      </c>
      <c r="L200">
        <f t="shared" si="27"/>
        <v>-5.6255859985414602E-3</v>
      </c>
      <c r="M200">
        <f t="shared" si="28"/>
        <v>-2.754374594944986E-3</v>
      </c>
      <c r="O200" s="2"/>
    </row>
    <row r="201" spans="1:15" x14ac:dyDescent="0.3">
      <c r="A201" s="3">
        <v>42291</v>
      </c>
      <c r="B201" s="8">
        <v>14.539835080463279</v>
      </c>
      <c r="C201" s="8">
        <v>94.53</v>
      </c>
      <c r="D201" s="8">
        <v>59.99</v>
      </c>
      <c r="E201">
        <v>0</v>
      </c>
      <c r="G201">
        <f t="shared" si="23"/>
        <v>98.595204107842989</v>
      </c>
      <c r="H201">
        <f t="shared" si="24"/>
        <v>-9.8543044063172935E-3</v>
      </c>
      <c r="I201">
        <f t="shared" si="25"/>
        <v>-9.8543044063172935E-3</v>
      </c>
      <c r="K201">
        <f t="shared" si="26"/>
        <v>4.6854082998659674E-3</v>
      </c>
      <c r="L201">
        <f t="shared" si="27"/>
        <v>-9.6385542168674343E-3</v>
      </c>
      <c r="M201">
        <f t="shared" si="28"/>
        <v>-2.5345247766043744E-2</v>
      </c>
      <c r="O201" s="2"/>
    </row>
    <row r="202" spans="1:15" x14ac:dyDescent="0.3">
      <c r="A202" s="3">
        <v>42292</v>
      </c>
      <c r="B202" s="8">
        <v>14.74325715687216</v>
      </c>
      <c r="C202" s="8">
        <v>97.15</v>
      </c>
      <c r="D202" s="8">
        <v>61.89</v>
      </c>
      <c r="E202">
        <v>0</v>
      </c>
      <c r="G202">
        <f t="shared" si="23"/>
        <v>102.77662523178725</v>
      </c>
      <c r="H202">
        <f t="shared" si="24"/>
        <v>4.2409984966111036E-2</v>
      </c>
      <c r="I202">
        <f t="shared" si="25"/>
        <v>4.2409984966111036E-2</v>
      </c>
      <c r="K202">
        <f t="shared" si="26"/>
        <v>1.3990672884743649E-2</v>
      </c>
      <c r="L202">
        <f t="shared" si="27"/>
        <v>2.7716068972812868E-2</v>
      </c>
      <c r="M202">
        <f t="shared" si="28"/>
        <v>3.1671945324220685E-2</v>
      </c>
      <c r="O202" s="2"/>
    </row>
    <row r="203" spans="1:15" x14ac:dyDescent="0.3">
      <c r="A203" s="3">
        <v>42293</v>
      </c>
      <c r="B203" s="8">
        <v>14.801377750131838</v>
      </c>
      <c r="C203" s="8">
        <v>98.24</v>
      </c>
      <c r="D203" s="8">
        <v>62.43</v>
      </c>
      <c r="E203">
        <v>0</v>
      </c>
      <c r="G203">
        <f t="shared" si="23"/>
        <v>100.95183101952915</v>
      </c>
      <c r="H203">
        <f t="shared" si="24"/>
        <v>-1.7754953601003431E-2</v>
      </c>
      <c r="I203">
        <f t="shared" si="25"/>
        <v>-1.7754953601003431E-2</v>
      </c>
      <c r="K203">
        <f t="shared" si="26"/>
        <v>3.9421813403415218E-3</v>
      </c>
      <c r="L203">
        <f t="shared" si="27"/>
        <v>1.1219763252701798E-2</v>
      </c>
      <c r="M203">
        <f t="shared" si="28"/>
        <v>8.7251575375666413E-3</v>
      </c>
      <c r="O203" s="2"/>
    </row>
    <row r="204" spans="1:15" x14ac:dyDescent="0.3">
      <c r="A204" s="3">
        <v>42296</v>
      </c>
      <c r="B204" s="8">
        <v>14.878871874478079</v>
      </c>
      <c r="C204" s="8">
        <v>97.94</v>
      </c>
      <c r="D204" s="8">
        <v>62.22</v>
      </c>
      <c r="E204">
        <v>0</v>
      </c>
      <c r="G204">
        <f t="shared" si="23"/>
        <v>99.76983327044131</v>
      </c>
      <c r="H204">
        <f t="shared" si="24"/>
        <v>-1.1708532050886511E-2</v>
      </c>
      <c r="I204">
        <f t="shared" si="25"/>
        <v>-1.1708532050886511E-2</v>
      </c>
      <c r="K204">
        <f t="shared" si="26"/>
        <v>5.2356020942410098E-3</v>
      </c>
      <c r="L204">
        <f t="shared" si="27"/>
        <v>-3.0537459283387358E-3</v>
      </c>
      <c r="M204">
        <f t="shared" si="28"/>
        <v>-3.3637674195098333E-3</v>
      </c>
      <c r="O204" s="2"/>
    </row>
    <row r="205" spans="1:15" x14ac:dyDescent="0.3">
      <c r="A205" s="3">
        <v>42297</v>
      </c>
      <c r="B205" s="8">
        <v>14.898245405564641</v>
      </c>
      <c r="C205" s="8">
        <v>97.59</v>
      </c>
      <c r="D205" s="8">
        <v>62.52</v>
      </c>
      <c r="E205">
        <v>0</v>
      </c>
      <c r="G205">
        <f t="shared" si="23"/>
        <v>100.00965741331265</v>
      </c>
      <c r="H205">
        <f t="shared" si="24"/>
        <v>2.4037741169844473E-3</v>
      </c>
      <c r="I205">
        <f t="shared" si="25"/>
        <v>2.4037741169844473E-3</v>
      </c>
      <c r="K205">
        <f t="shared" si="26"/>
        <v>1.3020833333334814E-3</v>
      </c>
      <c r="L205">
        <f t="shared" si="27"/>
        <v>-3.573616499897847E-3</v>
      </c>
      <c r="M205">
        <f t="shared" si="28"/>
        <v>4.8216007714561027E-3</v>
      </c>
      <c r="O205" s="2"/>
    </row>
    <row r="206" spans="1:15" x14ac:dyDescent="0.3">
      <c r="A206" s="3">
        <v>42298</v>
      </c>
      <c r="B206" s="8">
        <v>14.927305702194481</v>
      </c>
      <c r="C206" s="8">
        <v>97.63</v>
      </c>
      <c r="D206" s="8">
        <v>62.06</v>
      </c>
      <c r="E206">
        <v>0</v>
      </c>
      <c r="G206">
        <f t="shared" si="23"/>
        <v>99.764834928114922</v>
      </c>
      <c r="H206">
        <f t="shared" si="24"/>
        <v>-2.4479884396158003E-3</v>
      </c>
      <c r="I206">
        <f t="shared" si="25"/>
        <v>-2.4479884396158003E-3</v>
      </c>
      <c r="K206">
        <f t="shared" si="26"/>
        <v>1.9505851755525772E-3</v>
      </c>
      <c r="L206">
        <f t="shared" si="27"/>
        <v>4.0987806127668058E-4</v>
      </c>
      <c r="M206">
        <f t="shared" si="28"/>
        <v>-7.3576455534228868E-3</v>
      </c>
      <c r="O206" s="2"/>
    </row>
    <row r="207" spans="1:15" x14ac:dyDescent="0.3">
      <c r="A207" s="3">
        <v>42299</v>
      </c>
      <c r="B207" s="8">
        <v>15.091980716430241</v>
      </c>
      <c r="C207" s="8">
        <v>99.53</v>
      </c>
      <c r="D207" s="8">
        <v>63.19</v>
      </c>
      <c r="E207">
        <v>0</v>
      </c>
      <c r="G207">
        <f t="shared" si="23"/>
        <v>101.81062731581343</v>
      </c>
      <c r="H207">
        <f t="shared" si="24"/>
        <v>2.0506147172724809E-2</v>
      </c>
      <c r="I207">
        <f t="shared" si="25"/>
        <v>2.0506147172724809E-2</v>
      </c>
      <c r="K207">
        <f t="shared" si="26"/>
        <v>1.1031797534068799E-2</v>
      </c>
      <c r="L207">
        <f t="shared" si="27"/>
        <v>1.9461231178941052E-2</v>
      </c>
      <c r="M207">
        <f t="shared" si="28"/>
        <v>1.820818562681259E-2</v>
      </c>
      <c r="O207" s="2"/>
    </row>
    <row r="208" spans="1:15" x14ac:dyDescent="0.3">
      <c r="A208" s="3">
        <v>42300</v>
      </c>
      <c r="B208" s="8">
        <v>15.179161606319759</v>
      </c>
      <c r="C208" s="8">
        <v>100.31</v>
      </c>
      <c r="D208" s="8">
        <v>63.87</v>
      </c>
      <c r="E208">
        <v>0</v>
      </c>
      <c r="G208">
        <f t="shared" si="23"/>
        <v>100.87213875215085</v>
      </c>
      <c r="H208">
        <f t="shared" si="24"/>
        <v>-9.2179823305814645E-3</v>
      </c>
      <c r="I208">
        <f t="shared" si="25"/>
        <v>-9.2179823305814645E-3</v>
      </c>
      <c r="K208">
        <f t="shared" si="26"/>
        <v>5.7766367137355168E-3</v>
      </c>
      <c r="L208">
        <f t="shared" si="27"/>
        <v>7.8368331156435378E-3</v>
      </c>
      <c r="M208">
        <f t="shared" si="28"/>
        <v>1.0761196391834149E-2</v>
      </c>
      <c r="O208" s="2"/>
    </row>
    <row r="209" spans="1:15" x14ac:dyDescent="0.3">
      <c r="A209" s="3">
        <v>42303</v>
      </c>
      <c r="B209" s="8">
        <v>15.18884837186304</v>
      </c>
      <c r="C209" s="8">
        <v>99.94</v>
      </c>
      <c r="D209" s="8">
        <v>63.9</v>
      </c>
      <c r="E209">
        <v>0</v>
      </c>
      <c r="G209">
        <f t="shared" si="23"/>
        <v>99.832968491652863</v>
      </c>
      <c r="H209">
        <f t="shared" si="24"/>
        <v>-1.0301856125518372E-2</v>
      </c>
      <c r="I209">
        <f t="shared" si="25"/>
        <v>-1.0301856125518372E-2</v>
      </c>
      <c r="K209">
        <f t="shared" si="26"/>
        <v>6.3816209317169026E-4</v>
      </c>
      <c r="L209">
        <f t="shared" si="27"/>
        <v>-3.688565447114045E-3</v>
      </c>
      <c r="M209">
        <f t="shared" si="28"/>
        <v>4.6970408642565964E-4</v>
      </c>
      <c r="O209" s="2"/>
    </row>
    <row r="210" spans="1:15" x14ac:dyDescent="0.3">
      <c r="A210" s="3">
        <v>42304</v>
      </c>
      <c r="B210" s="8">
        <v>14.423593893943922</v>
      </c>
      <c r="C210" s="8">
        <v>100.19</v>
      </c>
      <c r="D210" s="8">
        <v>63.64</v>
      </c>
      <c r="E210">
        <v>0</v>
      </c>
      <c r="G210">
        <f t="shared" si="23"/>
        <v>99.448662599551852</v>
      </c>
      <c r="H210">
        <f t="shared" si="24"/>
        <v>-3.8494887801833189E-3</v>
      </c>
      <c r="I210">
        <f t="shared" si="25"/>
        <v>-3.8494887801833189E-3</v>
      </c>
      <c r="K210">
        <f t="shared" si="26"/>
        <v>-5.0382653061224358E-2</v>
      </c>
      <c r="L210">
        <f t="shared" si="27"/>
        <v>2.5015009005402433E-3</v>
      </c>
      <c r="M210">
        <f t="shared" si="28"/>
        <v>-4.0688575899843205E-3</v>
      </c>
      <c r="O210" s="2"/>
    </row>
    <row r="211" spans="1:15" x14ac:dyDescent="0.3">
      <c r="A211" s="3">
        <v>42305</v>
      </c>
      <c r="B211" s="8">
        <v>14.50108801829016</v>
      </c>
      <c r="C211" s="8">
        <v>100.48</v>
      </c>
      <c r="D211" s="8">
        <v>65.5</v>
      </c>
      <c r="E211">
        <v>0</v>
      </c>
      <c r="G211">
        <f t="shared" si="23"/>
        <v>101.30633763534776</v>
      </c>
      <c r="H211">
        <f t="shared" si="24"/>
        <v>1.8679738743960561E-2</v>
      </c>
      <c r="I211">
        <f t="shared" si="25"/>
        <v>1.8679738743960561E-2</v>
      </c>
      <c r="K211">
        <f t="shared" si="26"/>
        <v>5.3727333781059539E-3</v>
      </c>
      <c r="L211">
        <f t="shared" si="27"/>
        <v>2.8945004491467419E-3</v>
      </c>
      <c r="M211">
        <f t="shared" si="28"/>
        <v>2.922690131992467E-2</v>
      </c>
      <c r="O211" s="2"/>
    </row>
    <row r="212" spans="1:15" x14ac:dyDescent="0.3">
      <c r="A212" s="3">
        <v>42306</v>
      </c>
      <c r="B212" s="8">
        <v>14.268605645251441</v>
      </c>
      <c r="C212" s="8">
        <v>101.37</v>
      </c>
      <c r="D212" s="8">
        <v>65.209999999999994</v>
      </c>
      <c r="E212">
        <v>0</v>
      </c>
      <c r="G212">
        <f t="shared" si="23"/>
        <v>100.12497337454501</v>
      </c>
      <c r="H212">
        <f t="shared" si="24"/>
        <v>-1.1661306571510544E-2</v>
      </c>
      <c r="I212">
        <f t="shared" si="25"/>
        <v>-1.1661306571510544E-2</v>
      </c>
      <c r="K212">
        <f t="shared" si="26"/>
        <v>-1.6032064128256418E-2</v>
      </c>
      <c r="L212">
        <f t="shared" si="27"/>
        <v>8.8574840764330531E-3</v>
      </c>
      <c r="M212">
        <f t="shared" si="28"/>
        <v>-4.4274809160306239E-3</v>
      </c>
      <c r="O212" s="2"/>
    </row>
    <row r="213" spans="1:15" x14ac:dyDescent="0.3">
      <c r="A213" s="3">
        <v>42307</v>
      </c>
      <c r="B213" s="8">
        <v>14.34609976959768</v>
      </c>
      <c r="C213" s="8">
        <v>101.03</v>
      </c>
      <c r="D213" s="8">
        <v>64.25</v>
      </c>
      <c r="E213">
        <v>0</v>
      </c>
      <c r="G213">
        <f t="shared" si="23"/>
        <v>99.328890268864228</v>
      </c>
      <c r="H213">
        <f t="shared" si="24"/>
        <v>-7.9508945555751831E-3</v>
      </c>
      <c r="I213">
        <f t="shared" si="25"/>
        <v>-7.9508945555751831E-3</v>
      </c>
      <c r="K213">
        <f t="shared" si="26"/>
        <v>5.4310930074676911E-3</v>
      </c>
      <c r="L213">
        <f t="shared" si="27"/>
        <v>-3.3540495215547139E-3</v>
      </c>
      <c r="M213">
        <f t="shared" si="28"/>
        <v>-1.4721668455758175E-2</v>
      </c>
      <c r="O213" s="2"/>
    </row>
    <row r="214" spans="1:15" x14ac:dyDescent="0.3">
      <c r="A214" s="3">
        <v>42310</v>
      </c>
      <c r="B214" s="8">
        <v>14.287979176338</v>
      </c>
      <c r="C214" s="8">
        <v>102.17</v>
      </c>
      <c r="D214" s="8">
        <v>65.540000000000006</v>
      </c>
      <c r="E214">
        <v>0</v>
      </c>
      <c r="G214">
        <f t="shared" si="23"/>
        <v>101.29859122535072</v>
      </c>
      <c r="H214">
        <f t="shared" si="24"/>
        <v>1.9830091236848535E-2</v>
      </c>
      <c r="I214">
        <f t="shared" si="25"/>
        <v>1.9830091236848535E-2</v>
      </c>
      <c r="K214">
        <f t="shared" si="26"/>
        <v>-4.051316677920358E-3</v>
      </c>
      <c r="L214">
        <f t="shared" si="27"/>
        <v>1.1283777095912217E-2</v>
      </c>
      <c r="M214">
        <f t="shared" si="28"/>
        <v>2.0077821011673214E-2</v>
      </c>
      <c r="O214" s="2"/>
    </row>
    <row r="215" spans="1:15" x14ac:dyDescent="0.3">
      <c r="A215" s="3">
        <v>42311</v>
      </c>
      <c r="B215" s="8">
        <v>14.34609976959768</v>
      </c>
      <c r="C215" s="8">
        <v>101.96</v>
      </c>
      <c r="D215" s="8">
        <v>65.78</v>
      </c>
      <c r="E215">
        <v>0</v>
      </c>
      <c r="G215">
        <f t="shared" si="23"/>
        <v>100.07377993614209</v>
      </c>
      <c r="H215">
        <f t="shared" si="24"/>
        <v>-1.2091098942174749E-2</v>
      </c>
      <c r="I215">
        <f t="shared" si="25"/>
        <v>-1.2091098942174749E-2</v>
      </c>
      <c r="K215">
        <f t="shared" si="26"/>
        <v>4.0677966101694274E-3</v>
      </c>
      <c r="L215">
        <f t="shared" si="27"/>
        <v>-2.0553978663013783E-3</v>
      </c>
      <c r="M215">
        <f t="shared" si="28"/>
        <v>3.6618858712236246E-3</v>
      </c>
      <c r="O215" s="2"/>
    </row>
    <row r="216" spans="1:15" x14ac:dyDescent="0.3">
      <c r="A216" s="3">
        <v>42312</v>
      </c>
      <c r="B216" s="8">
        <v>14.191111520905199</v>
      </c>
      <c r="C216" s="8">
        <v>101.94</v>
      </c>
      <c r="D216" s="8">
        <v>65.849999999999994</v>
      </c>
      <c r="E216">
        <v>0</v>
      </c>
      <c r="G216">
        <f t="shared" si="23"/>
        <v>99.916643616654596</v>
      </c>
      <c r="H216">
        <f t="shared" si="24"/>
        <v>-1.57020469885083E-3</v>
      </c>
      <c r="I216">
        <f t="shared" si="25"/>
        <v>-1.57020469885083E-3</v>
      </c>
      <c r="K216">
        <f t="shared" si="26"/>
        <v>-1.0803511141120992E-2</v>
      </c>
      <c r="L216">
        <f t="shared" si="27"/>
        <v>-1.9615535504113879E-4</v>
      </c>
      <c r="M216">
        <f t="shared" si="28"/>
        <v>1.06415323806619E-3</v>
      </c>
      <c r="O216" s="2"/>
    </row>
    <row r="217" spans="1:15" x14ac:dyDescent="0.3">
      <c r="A217" s="3">
        <v>42313</v>
      </c>
      <c r="B217" s="8">
        <v>14.113617396558961</v>
      </c>
      <c r="C217" s="8">
        <v>102.33</v>
      </c>
      <c r="D217" s="8">
        <v>66.44</v>
      </c>
      <c r="E217">
        <v>0</v>
      </c>
      <c r="G217">
        <f t="shared" si="23"/>
        <v>100.47844979563243</v>
      </c>
      <c r="H217">
        <f t="shared" si="24"/>
        <v>5.6227487097473272E-3</v>
      </c>
      <c r="I217">
        <f t="shared" si="25"/>
        <v>5.6227487097473272E-3</v>
      </c>
      <c r="K217">
        <f t="shared" si="26"/>
        <v>-5.4607508532421578E-3</v>
      </c>
      <c r="L217">
        <f t="shared" si="27"/>
        <v>3.825779870512136E-3</v>
      </c>
      <c r="M217">
        <f t="shared" si="28"/>
        <v>8.9597570235384616E-3</v>
      </c>
      <c r="O217" s="2"/>
    </row>
    <row r="218" spans="1:15" x14ac:dyDescent="0.3">
      <c r="A218" s="3">
        <v>42314</v>
      </c>
      <c r="B218" s="8">
        <v>14.06518356884256</v>
      </c>
      <c r="C218" s="8">
        <v>101.92</v>
      </c>
      <c r="D218" s="8">
        <v>68.459999999999994</v>
      </c>
      <c r="E218">
        <v>0</v>
      </c>
      <c r="G218">
        <f t="shared" si="23"/>
        <v>100.90024501231782</v>
      </c>
      <c r="H218">
        <f t="shared" si="24"/>
        <v>4.1978674784821646E-3</v>
      </c>
      <c r="I218">
        <f t="shared" si="25"/>
        <v>4.1978674784821646E-3</v>
      </c>
      <c r="K218">
        <f t="shared" si="26"/>
        <v>-3.4317089910776977E-3</v>
      </c>
      <c r="L218">
        <f t="shared" si="27"/>
        <v>-4.0066451675949688E-3</v>
      </c>
      <c r="M218">
        <f t="shared" si="28"/>
        <v>3.0403371462974116E-2</v>
      </c>
      <c r="O218" s="2"/>
    </row>
    <row r="219" spans="1:15" x14ac:dyDescent="0.3">
      <c r="A219" s="3">
        <v>42317</v>
      </c>
      <c r="B219" s="8">
        <v>13.881135023520239</v>
      </c>
      <c r="C219" s="8">
        <v>100.84</v>
      </c>
      <c r="D219" s="8">
        <v>67.39</v>
      </c>
      <c r="E219">
        <v>0</v>
      </c>
      <c r="G219">
        <f t="shared" si="23"/>
        <v>98.724863989202106</v>
      </c>
      <c r="H219">
        <f t="shared" si="24"/>
        <v>-2.1559719927837118E-2</v>
      </c>
      <c r="I219">
        <f t="shared" si="25"/>
        <v>-2.1559719927837118E-2</v>
      </c>
      <c r="K219">
        <f t="shared" si="26"/>
        <v>-1.3085399449035862E-2</v>
      </c>
      <c r="L219">
        <f t="shared" si="27"/>
        <v>-1.0596546310831956E-2</v>
      </c>
      <c r="M219">
        <f t="shared" si="28"/>
        <v>-1.5629564709319199E-2</v>
      </c>
      <c r="O219" s="2"/>
    </row>
    <row r="220" spans="1:15" x14ac:dyDescent="0.3">
      <c r="A220" s="3">
        <v>42318</v>
      </c>
      <c r="B220" s="8">
        <v>13.832701195803839</v>
      </c>
      <c r="C220" s="8">
        <v>101.45</v>
      </c>
      <c r="D220" s="8">
        <v>67.680000000000007</v>
      </c>
      <c r="E220">
        <v>0</v>
      </c>
      <c r="G220">
        <f t="shared" si="23"/>
        <v>100.43925518887389</v>
      </c>
      <c r="H220">
        <f t="shared" si="24"/>
        <v>1.7365343748250606E-2</v>
      </c>
      <c r="I220">
        <f t="shared" si="25"/>
        <v>1.7365343748250606E-2</v>
      </c>
      <c r="K220">
        <f t="shared" si="26"/>
        <v>-3.4891835310536523E-3</v>
      </c>
      <c r="L220">
        <f t="shared" si="27"/>
        <v>6.0491868306227214E-3</v>
      </c>
      <c r="M220">
        <f t="shared" si="28"/>
        <v>4.3033090963051635E-3</v>
      </c>
      <c r="O220" s="2"/>
    </row>
    <row r="221" spans="1:15" x14ac:dyDescent="0.3">
      <c r="A221" s="3">
        <v>42319</v>
      </c>
      <c r="B221" s="8">
        <v>13.861761492433681</v>
      </c>
      <c r="C221" s="8">
        <v>101.86</v>
      </c>
      <c r="D221" s="8">
        <v>67.349999999999994</v>
      </c>
      <c r="E221">
        <v>0</v>
      </c>
      <c r="G221">
        <f t="shared" si="23"/>
        <v>100.04823587149762</v>
      </c>
      <c r="H221">
        <f t="shared" si="24"/>
        <v>-3.8930925626734503E-3</v>
      </c>
      <c r="I221">
        <f t="shared" si="25"/>
        <v>-3.8930925626734503E-3</v>
      </c>
      <c r="K221">
        <f t="shared" si="26"/>
        <v>2.1008403361346684E-3</v>
      </c>
      <c r="L221">
        <f t="shared" si="27"/>
        <v>4.0413997042878513E-3</v>
      </c>
      <c r="M221">
        <f t="shared" si="28"/>
        <v>-4.8758865248228478E-3</v>
      </c>
      <c r="O221" s="2"/>
    </row>
    <row r="222" spans="1:15" x14ac:dyDescent="0.3">
      <c r="A222" s="3">
        <v>42320</v>
      </c>
      <c r="B222" s="8">
        <v>13.60021882276512</v>
      </c>
      <c r="C222" s="8">
        <v>100.27</v>
      </c>
      <c r="D222" s="8">
        <v>66</v>
      </c>
      <c r="E222">
        <v>0</v>
      </c>
      <c r="G222">
        <f t="shared" si="23"/>
        <v>98.237997423753015</v>
      </c>
      <c r="H222">
        <f t="shared" si="24"/>
        <v>-1.8093656844381467E-2</v>
      </c>
      <c r="I222">
        <f t="shared" si="25"/>
        <v>-1.8093656844381467E-2</v>
      </c>
      <c r="K222">
        <f t="shared" si="26"/>
        <v>-1.8867924528301994E-2</v>
      </c>
      <c r="L222">
        <f t="shared" si="27"/>
        <v>-1.560966031808364E-2</v>
      </c>
      <c r="M222">
        <f t="shared" si="28"/>
        <v>-2.0044543429843964E-2</v>
      </c>
      <c r="O222" s="2"/>
    </row>
    <row r="223" spans="1:15" x14ac:dyDescent="0.3">
      <c r="A223" s="3">
        <v>42321</v>
      </c>
      <c r="B223" s="8">
        <v>13.48397763624576</v>
      </c>
      <c r="C223" s="8">
        <v>99.88</v>
      </c>
      <c r="D223" s="8">
        <v>65.56</v>
      </c>
      <c r="E223">
        <v>0</v>
      </c>
      <c r="G223">
        <f t="shared" si="23"/>
        <v>99.457730698640418</v>
      </c>
      <c r="H223">
        <f t="shared" si="24"/>
        <v>1.2416104835953012E-2</v>
      </c>
      <c r="I223">
        <f t="shared" si="25"/>
        <v>1.2416104835953012E-2</v>
      </c>
      <c r="K223">
        <f t="shared" si="26"/>
        <v>-8.5470085470086277E-3</v>
      </c>
      <c r="L223">
        <f t="shared" si="27"/>
        <v>-3.8894983544429662E-3</v>
      </c>
      <c r="M223">
        <f t="shared" si="28"/>
        <v>-6.6666666666665986E-3</v>
      </c>
      <c r="O223" s="2"/>
    </row>
    <row r="224" spans="1:15" x14ac:dyDescent="0.3">
      <c r="A224" s="3">
        <v>42324</v>
      </c>
      <c r="B224" s="8">
        <v>13.60021882276512</v>
      </c>
      <c r="C224" s="8">
        <v>101.22</v>
      </c>
      <c r="D224" s="8">
        <v>66.510000000000005</v>
      </c>
      <c r="E224">
        <v>0</v>
      </c>
      <c r="G224">
        <f t="shared" si="23"/>
        <v>101.33178534060208</v>
      </c>
      <c r="H224">
        <f t="shared" si="24"/>
        <v>1.8842724731374494E-2</v>
      </c>
      <c r="I224">
        <f t="shared" si="25"/>
        <v>1.8842724731374494E-2</v>
      </c>
      <c r="K224">
        <f t="shared" si="26"/>
        <v>8.6206896551723755E-3</v>
      </c>
      <c r="L224">
        <f t="shared" si="27"/>
        <v>1.3416099319182972E-2</v>
      </c>
      <c r="M224">
        <f t="shared" si="28"/>
        <v>1.4490543014032964E-2</v>
      </c>
      <c r="O224" s="2"/>
    </row>
    <row r="225" spans="1:15" x14ac:dyDescent="0.3">
      <c r="A225" s="3">
        <v>42325</v>
      </c>
      <c r="B225" s="8">
        <v>13.706773243741202</v>
      </c>
      <c r="C225" s="8">
        <v>101.5</v>
      </c>
      <c r="D225" s="8">
        <v>66.13</v>
      </c>
      <c r="E225">
        <v>0</v>
      </c>
      <c r="G225">
        <f t="shared" si="23"/>
        <v>100.01064533863686</v>
      </c>
      <c r="H225">
        <f t="shared" si="24"/>
        <v>-1.3037764976947086E-2</v>
      </c>
      <c r="I225">
        <f t="shared" si="25"/>
        <v>-1.3037764976947086E-2</v>
      </c>
      <c r="K225">
        <f t="shared" si="26"/>
        <v>7.834757834757955E-3</v>
      </c>
      <c r="L225">
        <f t="shared" si="27"/>
        <v>2.7662517289073207E-3</v>
      </c>
      <c r="M225">
        <f t="shared" si="28"/>
        <v>-5.7134265523982597E-3</v>
      </c>
      <c r="O225" s="2"/>
    </row>
    <row r="226" spans="1:15" x14ac:dyDescent="0.3">
      <c r="A226" s="3">
        <v>42326</v>
      </c>
      <c r="B226" s="8">
        <v>14.007062975582881</v>
      </c>
      <c r="C226" s="8">
        <v>102.67</v>
      </c>
      <c r="D226" s="8">
        <v>67.45</v>
      </c>
      <c r="E226">
        <v>0</v>
      </c>
      <c r="G226">
        <f t="shared" si="23"/>
        <v>101.57886959836905</v>
      </c>
      <c r="H226">
        <f t="shared" si="24"/>
        <v>1.5680573347188975E-2</v>
      </c>
      <c r="I226">
        <f t="shared" si="25"/>
        <v>1.5680573347188975E-2</v>
      </c>
      <c r="K226">
        <f t="shared" si="26"/>
        <v>2.1908127208480455E-2</v>
      </c>
      <c r="L226">
        <f t="shared" si="27"/>
        <v>1.152709359605919E-2</v>
      </c>
      <c r="M226">
        <f t="shared" si="28"/>
        <v>1.9960683502192822E-2</v>
      </c>
      <c r="O226" s="2"/>
    </row>
    <row r="227" spans="1:15" x14ac:dyDescent="0.3">
      <c r="A227" s="3">
        <v>42327</v>
      </c>
      <c r="B227" s="8">
        <v>14.113617396558961</v>
      </c>
      <c r="C227" s="8">
        <v>102.49</v>
      </c>
      <c r="D227" s="8">
        <v>67.66</v>
      </c>
      <c r="E227">
        <v>0</v>
      </c>
      <c r="G227">
        <f t="shared" si="23"/>
        <v>100.10591538844102</v>
      </c>
      <c r="H227">
        <f t="shared" si="24"/>
        <v>-1.4500596588167602E-2</v>
      </c>
      <c r="I227">
        <f t="shared" si="25"/>
        <v>-1.4500596588167602E-2</v>
      </c>
      <c r="K227">
        <f t="shared" si="26"/>
        <v>7.607192254495132E-3</v>
      </c>
      <c r="L227">
        <f t="shared" si="27"/>
        <v>-1.7531898314990801E-3</v>
      </c>
      <c r="M227">
        <f t="shared" si="28"/>
        <v>3.1134173461822012E-3</v>
      </c>
      <c r="O227" s="2"/>
    </row>
    <row r="228" spans="1:15" x14ac:dyDescent="0.3">
      <c r="A228" s="3">
        <v>42328</v>
      </c>
      <c r="B228" s="8">
        <v>14.1426776931888</v>
      </c>
      <c r="C228" s="8">
        <v>102.48</v>
      </c>
      <c r="D228" s="8">
        <v>67.540000000000006</v>
      </c>
      <c r="E228">
        <v>0</v>
      </c>
      <c r="G228">
        <f t="shared" si="23"/>
        <v>99.94977486126308</v>
      </c>
      <c r="H228">
        <f t="shared" si="24"/>
        <v>-1.559753253062679E-3</v>
      </c>
      <c r="I228">
        <f t="shared" si="25"/>
        <v>-1.559753253062679E-3</v>
      </c>
      <c r="K228">
        <f t="shared" si="26"/>
        <v>2.0590253946464188E-3</v>
      </c>
      <c r="L228">
        <f t="shared" si="27"/>
        <v>-9.7570494682286402E-5</v>
      </c>
      <c r="M228">
        <f t="shared" si="28"/>
        <v>-1.7735737511083149E-3</v>
      </c>
      <c r="O228" s="2"/>
    </row>
    <row r="229" spans="1:15" x14ac:dyDescent="0.3">
      <c r="A229" s="3">
        <v>42331</v>
      </c>
      <c r="B229" s="8">
        <v>14.0942438654724</v>
      </c>
      <c r="C229" s="8">
        <v>102.77</v>
      </c>
      <c r="D229" s="8">
        <v>66.88</v>
      </c>
      <c r="E229">
        <v>0</v>
      </c>
      <c r="G229">
        <f t="shared" si="23"/>
        <v>99.743214784234084</v>
      </c>
      <c r="H229">
        <f t="shared" si="24"/>
        <v>-2.0666387424655985E-3</v>
      </c>
      <c r="I229">
        <f t="shared" si="25"/>
        <v>-2.0666387424655985E-3</v>
      </c>
      <c r="K229">
        <f t="shared" si="26"/>
        <v>-3.424657534246589E-3</v>
      </c>
      <c r="L229">
        <f t="shared" si="27"/>
        <v>2.8298204527712478E-3</v>
      </c>
      <c r="M229">
        <f t="shared" si="28"/>
        <v>-9.7719869706841544E-3</v>
      </c>
      <c r="O229" s="2"/>
    </row>
    <row r="230" spans="1:15" x14ac:dyDescent="0.3">
      <c r="A230" s="3">
        <v>42332</v>
      </c>
      <c r="B230" s="8">
        <v>14.0942438654724</v>
      </c>
      <c r="C230" s="8">
        <v>102.04</v>
      </c>
      <c r="D230" s="8">
        <v>66.78</v>
      </c>
      <c r="E230">
        <v>0</v>
      </c>
      <c r="G230">
        <f t="shared" si="23"/>
        <v>99.575155284720097</v>
      </c>
      <c r="H230">
        <f t="shared" si="24"/>
        <v>-1.6849216247695198E-3</v>
      </c>
      <c r="I230">
        <f t="shared" si="25"/>
        <v>-1.6849216247695198E-3</v>
      </c>
      <c r="K230" s="17">
        <f t="shared" si="26"/>
        <v>0</v>
      </c>
      <c r="L230">
        <f t="shared" si="27"/>
        <v>-7.1032402452076981E-3</v>
      </c>
      <c r="M230">
        <f t="shared" si="28"/>
        <v>-1.4952153110047162E-3</v>
      </c>
      <c r="O230" s="2"/>
    </row>
    <row r="231" spans="1:15" x14ac:dyDescent="0.3">
      <c r="A231" s="3">
        <v>42333</v>
      </c>
      <c r="B231" s="8">
        <v>14.0942438654724</v>
      </c>
      <c r="C231" s="8">
        <v>101.96</v>
      </c>
      <c r="D231" s="8">
        <v>66.86</v>
      </c>
      <c r="E231">
        <v>0</v>
      </c>
      <c r="G231">
        <f t="shared" si="23"/>
        <v>100.00439948529045</v>
      </c>
      <c r="H231">
        <f t="shared" si="24"/>
        <v>4.3107560248638599E-3</v>
      </c>
      <c r="I231">
        <f t="shared" si="25"/>
        <v>4.3107560248638599E-3</v>
      </c>
      <c r="K231">
        <f t="shared" si="26"/>
        <v>0</v>
      </c>
      <c r="L231">
        <f t="shared" si="27"/>
        <v>-7.8400627205033047E-4</v>
      </c>
      <c r="M231">
        <f t="shared" si="28"/>
        <v>1.1979634621144264E-3</v>
      </c>
      <c r="O231" s="2"/>
    </row>
    <row r="232" spans="1:15" x14ac:dyDescent="0.3">
      <c r="A232" s="3">
        <v>42335</v>
      </c>
      <c r="B232" s="8">
        <v>14.074870334385841</v>
      </c>
      <c r="C232" s="8">
        <v>102.37</v>
      </c>
      <c r="D232" s="8">
        <v>67.17</v>
      </c>
      <c r="E232">
        <v>0</v>
      </c>
      <c r="G232">
        <f t="shared" si="23"/>
        <v>100.36872668441809</v>
      </c>
      <c r="H232">
        <f t="shared" si="24"/>
        <v>3.6431117131126012E-3</v>
      </c>
      <c r="I232">
        <f t="shared" si="25"/>
        <v>3.6431117131126012E-3</v>
      </c>
      <c r="K232">
        <f t="shared" si="26"/>
        <v>-1.3745704467353903E-3</v>
      </c>
      <c r="L232">
        <f t="shared" si="27"/>
        <v>4.0211847783444554E-3</v>
      </c>
      <c r="M232">
        <f t="shared" si="28"/>
        <v>4.6365539934192235E-3</v>
      </c>
      <c r="O232" s="2"/>
    </row>
    <row r="233" spans="1:15" x14ac:dyDescent="0.3">
      <c r="A233" s="3">
        <v>42338</v>
      </c>
      <c r="B233" s="8">
        <v>13.881135023520239</v>
      </c>
      <c r="C233" s="8">
        <v>101.24</v>
      </c>
      <c r="D233" s="8">
        <v>66.680000000000007</v>
      </c>
      <c r="E233">
        <v>0</v>
      </c>
      <c r="G233">
        <f t="shared" si="23"/>
        <v>99.008459891853278</v>
      </c>
      <c r="H233">
        <f t="shared" si="24"/>
        <v>-1.3552695520804958E-2</v>
      </c>
      <c r="I233">
        <f t="shared" si="25"/>
        <v>-1.3552695520804958E-2</v>
      </c>
      <c r="K233">
        <f t="shared" si="26"/>
        <v>-1.3764624913971235E-2</v>
      </c>
      <c r="L233">
        <f t="shared" si="27"/>
        <v>-1.1038390153365385E-2</v>
      </c>
      <c r="M233">
        <f t="shared" si="28"/>
        <v>-7.2949233288669424E-3</v>
      </c>
      <c r="O233" s="2"/>
    </row>
    <row r="234" spans="1:15" x14ac:dyDescent="0.3">
      <c r="A234" s="3">
        <v>42339</v>
      </c>
      <c r="B234" s="8">
        <v>14.103930631015681</v>
      </c>
      <c r="C234" s="8">
        <v>102.36</v>
      </c>
      <c r="D234" s="8">
        <v>67.61</v>
      </c>
      <c r="E234">
        <v>0</v>
      </c>
      <c r="G234">
        <f t="shared" si="23"/>
        <v>101.26709397712057</v>
      </c>
      <c r="H234">
        <f t="shared" si="24"/>
        <v>2.2812536299770647E-2</v>
      </c>
      <c r="I234">
        <f t="shared" si="25"/>
        <v>2.2812536299770647E-2</v>
      </c>
      <c r="K234">
        <f t="shared" si="26"/>
        <v>1.60502442428474E-2</v>
      </c>
      <c r="L234">
        <f t="shared" si="27"/>
        <v>1.1062821019359959E-2</v>
      </c>
      <c r="M234">
        <f t="shared" si="28"/>
        <v>1.394721055788839E-2</v>
      </c>
      <c r="O234" s="2"/>
    </row>
    <row r="235" spans="1:15" x14ac:dyDescent="0.3">
      <c r="A235" s="3">
        <v>42340</v>
      </c>
      <c r="B235" s="8">
        <v>13.81332766471728</v>
      </c>
      <c r="C235" s="8">
        <v>102.05</v>
      </c>
      <c r="D235" s="8">
        <v>66.66</v>
      </c>
      <c r="E235">
        <v>0</v>
      </c>
      <c r="G235">
        <f t="shared" si="23"/>
        <v>99.098154602538699</v>
      </c>
      <c r="H235">
        <f t="shared" si="24"/>
        <v>-2.1418007463232858E-2</v>
      </c>
      <c r="I235">
        <f t="shared" si="25"/>
        <v>-2.1418007463232858E-2</v>
      </c>
      <c r="K235">
        <f t="shared" si="26"/>
        <v>-2.0604395604395642E-2</v>
      </c>
      <c r="L235">
        <f t="shared" si="27"/>
        <v>-3.0285267682689243E-3</v>
      </c>
      <c r="M235">
        <f t="shared" si="28"/>
        <v>-1.4051175861559018E-2</v>
      </c>
      <c r="O235" s="2"/>
    </row>
    <row r="236" spans="1:15" x14ac:dyDescent="0.3">
      <c r="A236" s="3">
        <v>42341</v>
      </c>
      <c r="B236" s="8">
        <v>13.54209822950544</v>
      </c>
      <c r="C236" s="8">
        <v>100.79</v>
      </c>
      <c r="D236" s="8">
        <v>65.8</v>
      </c>
      <c r="E236">
        <v>0</v>
      </c>
      <c r="G236">
        <f t="shared" si="23"/>
        <v>98.668063737070739</v>
      </c>
      <c r="H236">
        <f t="shared" si="24"/>
        <v>-4.3400491885339232E-3</v>
      </c>
      <c r="I236">
        <f t="shared" si="25"/>
        <v>-4.3400491885339232E-3</v>
      </c>
      <c r="K236">
        <f t="shared" si="26"/>
        <v>-1.9635343618513268E-2</v>
      </c>
      <c r="L236">
        <f t="shared" si="27"/>
        <v>-1.2346888780009668E-2</v>
      </c>
      <c r="M236">
        <f t="shared" si="28"/>
        <v>-1.2901290129012866E-2</v>
      </c>
      <c r="O236" s="2"/>
    </row>
    <row r="237" spans="1:15" x14ac:dyDescent="0.3">
      <c r="A237" s="3">
        <v>42342</v>
      </c>
      <c r="B237" s="8">
        <v>13.755207071457599</v>
      </c>
      <c r="C237" s="8">
        <v>102.95</v>
      </c>
      <c r="D237" s="8">
        <v>67.89</v>
      </c>
      <c r="E237">
        <v>0</v>
      </c>
      <c r="G237">
        <f t="shared" si="23"/>
        <v>102.47220804207635</v>
      </c>
      <c r="H237">
        <f t="shared" si="24"/>
        <v>3.8554970685781731E-2</v>
      </c>
      <c r="I237">
        <f t="shared" si="25"/>
        <v>3.8554970685781731E-2</v>
      </c>
      <c r="K237">
        <f t="shared" si="26"/>
        <v>1.5736766809728131E-2</v>
      </c>
      <c r="L237">
        <f t="shared" si="27"/>
        <v>2.1430697489830397E-2</v>
      </c>
      <c r="M237">
        <f t="shared" si="28"/>
        <v>3.1762917933130685E-2</v>
      </c>
      <c r="O237" s="2"/>
    </row>
    <row r="238" spans="1:15" x14ac:dyDescent="0.3">
      <c r="A238" s="3">
        <v>42345</v>
      </c>
      <c r="B238" s="8">
        <v>13.677712947111358</v>
      </c>
      <c r="C238" s="8">
        <v>103.32</v>
      </c>
      <c r="D238" s="8">
        <v>67</v>
      </c>
      <c r="E238">
        <v>0</v>
      </c>
      <c r="G238">
        <f t="shared" si="23"/>
        <v>99.634121758344946</v>
      </c>
      <c r="H238">
        <f t="shared" si="24"/>
        <v>-2.769615623551358E-2</v>
      </c>
      <c r="I238">
        <f t="shared" si="25"/>
        <v>-2.769615623551358E-2</v>
      </c>
      <c r="K238">
        <f t="shared" si="26"/>
        <v>-5.633802816901512E-3</v>
      </c>
      <c r="L238">
        <f t="shared" si="27"/>
        <v>3.5939776590576678E-3</v>
      </c>
      <c r="M238">
        <f t="shared" si="28"/>
        <v>-1.3109441743997641E-2</v>
      </c>
      <c r="O238" s="2"/>
    </row>
    <row r="239" spans="1:15" x14ac:dyDescent="0.3">
      <c r="A239" s="3">
        <v>42346</v>
      </c>
      <c r="B239" s="8">
        <v>13.532411463962161</v>
      </c>
      <c r="C239" s="8">
        <v>102.42</v>
      </c>
      <c r="D239" s="8">
        <v>65.959999999999994</v>
      </c>
      <c r="E239">
        <v>0</v>
      </c>
      <c r="G239">
        <f t="shared" si="23"/>
        <v>98.852550209104393</v>
      </c>
      <c r="H239">
        <f t="shared" si="24"/>
        <v>-7.8444165055842063E-3</v>
      </c>
      <c r="I239">
        <f t="shared" si="25"/>
        <v>-7.8444165055842063E-3</v>
      </c>
      <c r="K239">
        <f t="shared" si="26"/>
        <v>-1.0623229461756201E-2</v>
      </c>
      <c r="L239">
        <f t="shared" si="27"/>
        <v>-8.7108013937281514E-3</v>
      </c>
      <c r="M239">
        <f t="shared" si="28"/>
        <v>-1.5522388059701631E-2</v>
      </c>
      <c r="O239" s="2"/>
    </row>
    <row r="240" spans="1:15" x14ac:dyDescent="0.3">
      <c r="A240" s="3">
        <v>42347</v>
      </c>
      <c r="B240" s="8">
        <v>13.454917339615921</v>
      </c>
      <c r="C240" s="8">
        <v>102.15</v>
      </c>
      <c r="D240" s="8">
        <v>65.459999999999994</v>
      </c>
      <c r="E240">
        <v>0</v>
      </c>
      <c r="G240">
        <f t="shared" si="23"/>
        <v>99.517938664288351</v>
      </c>
      <c r="H240">
        <f t="shared" si="24"/>
        <v>6.7311207831912689E-3</v>
      </c>
      <c r="I240">
        <f t="shared" si="25"/>
        <v>6.7311207831912689E-3</v>
      </c>
      <c r="K240">
        <f t="shared" si="26"/>
        <v>-5.7265569076592193E-3</v>
      </c>
      <c r="L240">
        <f t="shared" si="27"/>
        <v>-2.6362038664322629E-3</v>
      </c>
      <c r="M240">
        <f t="shared" si="28"/>
        <v>-7.5803517283201671E-3</v>
      </c>
      <c r="O240" s="2"/>
    </row>
    <row r="241" spans="1:15" x14ac:dyDescent="0.3">
      <c r="A241" s="3">
        <v>42348</v>
      </c>
      <c r="B241" s="8">
        <v>13.52272469841888</v>
      </c>
      <c r="C241" s="8">
        <v>102.64</v>
      </c>
      <c r="D241" s="8">
        <v>65.61</v>
      </c>
      <c r="E241">
        <v>0</v>
      </c>
      <c r="G241">
        <f t="shared" si="23"/>
        <v>100.38795015047408</v>
      </c>
      <c r="H241">
        <f t="shared" si="24"/>
        <v>8.7422579070957074E-3</v>
      </c>
      <c r="I241">
        <f t="shared" si="25"/>
        <v>8.7422579070957074E-3</v>
      </c>
      <c r="K241">
        <f t="shared" si="26"/>
        <v>5.0395968322534124E-3</v>
      </c>
      <c r="L241">
        <f t="shared" si="27"/>
        <v>4.7968673519334093E-3</v>
      </c>
      <c r="M241">
        <f t="shared" si="28"/>
        <v>2.2914757103575933E-3</v>
      </c>
      <c r="O241" s="2"/>
    </row>
    <row r="242" spans="1:15" x14ac:dyDescent="0.3">
      <c r="A242" s="3">
        <v>42349</v>
      </c>
      <c r="B242" s="8">
        <v>13.21274820103392</v>
      </c>
      <c r="C242" s="8">
        <v>101.68</v>
      </c>
      <c r="D242" s="8">
        <v>64.069999999999993</v>
      </c>
      <c r="E242">
        <v>0</v>
      </c>
      <c r="G242">
        <f t="shared" si="23"/>
        <v>98.391169402643015</v>
      </c>
      <c r="H242">
        <f t="shared" si="24"/>
        <v>-1.9890641703890211E-2</v>
      </c>
      <c r="I242">
        <f t="shared" si="25"/>
        <v>-1.9890641703890211E-2</v>
      </c>
      <c r="K242">
        <f t="shared" si="26"/>
        <v>-2.2922636103151928E-2</v>
      </c>
      <c r="L242">
        <f t="shared" si="27"/>
        <v>-9.3530787217458444E-3</v>
      </c>
      <c r="M242">
        <f t="shared" si="28"/>
        <v>-2.3472031702484464E-2</v>
      </c>
      <c r="O242" s="2"/>
    </row>
    <row r="243" spans="1:15" x14ac:dyDescent="0.3">
      <c r="A243" s="3">
        <v>42352</v>
      </c>
      <c r="B243" s="8">
        <v>13.19337466994736</v>
      </c>
      <c r="C243" s="8">
        <v>102.15</v>
      </c>
      <c r="D243" s="8">
        <v>64.27</v>
      </c>
      <c r="E243">
        <v>0</v>
      </c>
      <c r="G243">
        <f t="shared" si="23"/>
        <v>100.34194922152055</v>
      </c>
      <c r="H243">
        <f t="shared" si="24"/>
        <v>1.9826777450874911E-2</v>
      </c>
      <c r="I243">
        <f t="shared" si="25"/>
        <v>1.9826777450874911E-2</v>
      </c>
      <c r="K243">
        <f t="shared" si="26"/>
        <v>-1.4662756598240456E-3</v>
      </c>
      <c r="L243">
        <f t="shared" si="27"/>
        <v>4.6223446105428945E-3</v>
      </c>
      <c r="M243">
        <f t="shared" si="28"/>
        <v>3.1215857655688684E-3</v>
      </c>
    </row>
    <row r="244" spans="1:15" x14ac:dyDescent="0.3">
      <c r="A244" s="3">
        <v>42353</v>
      </c>
      <c r="B244" s="8">
        <v>13.43554380852936</v>
      </c>
      <c r="C244" s="8">
        <v>104.13</v>
      </c>
      <c r="D244" s="8">
        <v>66.099999999999994</v>
      </c>
      <c r="E244">
        <v>0</v>
      </c>
      <c r="G244">
        <f t="shared" si="23"/>
        <v>102.26963315157842</v>
      </c>
      <c r="H244">
        <f t="shared" si="24"/>
        <v>1.9211146933195478E-2</v>
      </c>
      <c r="I244">
        <f t="shared" si="25"/>
        <v>1.9211146933195478E-2</v>
      </c>
      <c r="K244">
        <f t="shared" si="26"/>
        <v>1.8355359765051427E-2</v>
      </c>
      <c r="L244">
        <f t="shared" si="27"/>
        <v>1.9383259911894157E-2</v>
      </c>
      <c r="M244">
        <f t="shared" si="28"/>
        <v>2.8473626886572179E-2</v>
      </c>
    </row>
    <row r="245" spans="1:15" x14ac:dyDescent="0.3">
      <c r="A245" s="3">
        <v>42354</v>
      </c>
      <c r="B245" s="8">
        <v>13.910195320150081</v>
      </c>
      <c r="C245" s="8">
        <v>105.25</v>
      </c>
      <c r="D245" s="8">
        <v>67.53</v>
      </c>
      <c r="E245">
        <v>0</v>
      </c>
      <c r="G245">
        <f t="shared" si="23"/>
        <v>101.74245567214277</v>
      </c>
      <c r="H245">
        <f t="shared" si="24"/>
        <v>-5.1547801941784765E-3</v>
      </c>
      <c r="I245">
        <f t="shared" si="25"/>
        <v>-5.1547801941784765E-3</v>
      </c>
      <c r="K245">
        <f t="shared" si="26"/>
        <v>3.5328046142754088E-2</v>
      </c>
      <c r="L245">
        <f t="shared" si="27"/>
        <v>1.0755786036684922E-2</v>
      </c>
      <c r="M245">
        <f t="shared" si="28"/>
        <v>2.1633888048411709E-2</v>
      </c>
    </row>
    <row r="246" spans="1:15" x14ac:dyDescent="0.3">
      <c r="A246" s="3">
        <v>42355</v>
      </c>
      <c r="B246" s="8">
        <v>13.54209822950544</v>
      </c>
      <c r="C246" s="8">
        <v>103.64</v>
      </c>
      <c r="D246" s="8">
        <v>66.28</v>
      </c>
      <c r="E246">
        <v>0</v>
      </c>
      <c r="G246">
        <f t="shared" si="23"/>
        <v>98.232369178232062</v>
      </c>
      <c r="H246">
        <f t="shared" si="24"/>
        <v>-3.4499722566375679E-2</v>
      </c>
      <c r="I246">
        <f t="shared" si="25"/>
        <v>-3.4499722566375679E-2</v>
      </c>
      <c r="K246">
        <f t="shared" si="26"/>
        <v>-2.6462395543175532E-2</v>
      </c>
      <c r="L246">
        <f t="shared" si="27"/>
        <v>-1.5296912114014294E-2</v>
      </c>
      <c r="M246">
        <f t="shared" si="28"/>
        <v>-1.8510291722197536E-2</v>
      </c>
    </row>
    <row r="247" spans="1:15" x14ac:dyDescent="0.3">
      <c r="A247" s="3">
        <v>42356</v>
      </c>
      <c r="B247" s="8">
        <v>13.367736449726401</v>
      </c>
      <c r="C247" s="8">
        <v>101.95</v>
      </c>
      <c r="D247" s="8">
        <v>64.400000000000006</v>
      </c>
      <c r="E247">
        <v>0</v>
      </c>
      <c r="G247">
        <f t="shared" si="23"/>
        <v>97.951554739561004</v>
      </c>
      <c r="H247">
        <f t="shared" si="24"/>
        <v>-2.8586752108314961E-3</v>
      </c>
      <c r="I247">
        <f t="shared" si="25"/>
        <v>-2.8586752108314961E-3</v>
      </c>
      <c r="K247">
        <f t="shared" si="26"/>
        <v>-1.2875536480686622E-2</v>
      </c>
      <c r="L247">
        <f t="shared" si="27"/>
        <v>-1.6306445387881063E-2</v>
      </c>
      <c r="M247">
        <f t="shared" si="28"/>
        <v>-2.836451418225705E-2</v>
      </c>
    </row>
    <row r="248" spans="1:15" x14ac:dyDescent="0.3">
      <c r="A248" s="3">
        <v>42359</v>
      </c>
      <c r="B248" s="8">
        <v>13.299929090923442</v>
      </c>
      <c r="C248" s="8">
        <v>101.58</v>
      </c>
      <c r="D248" s="8">
        <v>65.540000000000006</v>
      </c>
      <c r="E248">
        <v>0</v>
      </c>
      <c r="G248">
        <f t="shared" si="23"/>
        <v>100.42466240067046</v>
      </c>
      <c r="H248">
        <f t="shared" si="24"/>
        <v>2.5248273676564681E-2</v>
      </c>
      <c r="I248">
        <f t="shared" si="25"/>
        <v>2.5248273676564681E-2</v>
      </c>
      <c r="K248">
        <f t="shared" si="26"/>
        <v>-5.0724637681158757E-3</v>
      </c>
      <c r="L248">
        <f t="shared" si="27"/>
        <v>-3.6292300147131584E-3</v>
      </c>
      <c r="M248">
        <f t="shared" si="28"/>
        <v>1.7701863354037339E-2</v>
      </c>
    </row>
    <row r="249" spans="1:15" x14ac:dyDescent="0.3">
      <c r="A249" s="3">
        <v>42360</v>
      </c>
      <c r="B249" s="8">
        <v>13.755207071457599</v>
      </c>
      <c r="C249" s="8">
        <v>102.71</v>
      </c>
      <c r="D249" s="8">
        <v>65.680000000000007</v>
      </c>
      <c r="E249">
        <v>0</v>
      </c>
      <c r="G249">
        <f t="shared" si="23"/>
        <v>101.01636155324965</v>
      </c>
      <c r="H249">
        <f t="shared" si="24"/>
        <v>5.8919705422404434E-3</v>
      </c>
      <c r="I249">
        <f t="shared" si="25"/>
        <v>5.8919705422404434E-3</v>
      </c>
      <c r="K249">
        <f t="shared" si="26"/>
        <v>3.423160961398386E-2</v>
      </c>
      <c r="L249">
        <f t="shared" si="27"/>
        <v>1.1124237054538355E-2</v>
      </c>
      <c r="M249">
        <f t="shared" si="28"/>
        <v>2.1361000915471884E-3</v>
      </c>
    </row>
    <row r="250" spans="1:15" x14ac:dyDescent="0.3">
      <c r="A250" s="3">
        <v>42361</v>
      </c>
      <c r="B250" s="8">
        <v>13.910195320150081</v>
      </c>
      <c r="C250" s="8">
        <v>103.49</v>
      </c>
      <c r="D250" s="8">
        <v>66.73</v>
      </c>
      <c r="E250">
        <v>0</v>
      </c>
      <c r="G250">
        <f t="shared" si="23"/>
        <v>101.11373264633184</v>
      </c>
      <c r="H250">
        <f t="shared" si="24"/>
        <v>9.6391407871943002E-4</v>
      </c>
      <c r="I250">
        <f t="shared" si="25"/>
        <v>9.6391407871943002E-4</v>
      </c>
      <c r="K250">
        <f t="shared" si="26"/>
        <v>1.1267605633802802E-2</v>
      </c>
      <c r="L250">
        <f t="shared" si="27"/>
        <v>7.5941972544055769E-3</v>
      </c>
      <c r="M250">
        <f t="shared" si="28"/>
        <v>1.5986601705237469E-2</v>
      </c>
    </row>
    <row r="251" spans="1:15" x14ac:dyDescent="0.3">
      <c r="A251" s="3">
        <v>42362</v>
      </c>
      <c r="B251" s="8">
        <v>13.861761492433681</v>
      </c>
      <c r="C251" s="8">
        <v>103.72</v>
      </c>
      <c r="D251" s="8">
        <v>66.599999999999994</v>
      </c>
      <c r="E251">
        <v>0</v>
      </c>
      <c r="G251">
        <f t="shared" si="23"/>
        <v>100.00551756500261</v>
      </c>
      <c r="H251">
        <f t="shared" si="24"/>
        <v>-1.096008477113064E-2</v>
      </c>
      <c r="I251">
        <f t="shared" si="25"/>
        <v>-1.096008477113064E-2</v>
      </c>
      <c r="K251">
        <f t="shared" si="26"/>
        <v>-3.4818941504177747E-3</v>
      </c>
      <c r="L251">
        <f t="shared" si="27"/>
        <v>2.2224369504300068E-3</v>
      </c>
      <c r="M251">
        <f t="shared" si="28"/>
        <v>-1.9481492582048565E-3</v>
      </c>
    </row>
    <row r="252" spans="1:15" x14ac:dyDescent="0.3">
      <c r="A252" s="3">
        <v>42366</v>
      </c>
      <c r="B252" s="8">
        <v>13.73583354037104</v>
      </c>
      <c r="C252" s="8">
        <v>103.22</v>
      </c>
      <c r="D252" s="8">
        <v>66.38</v>
      </c>
      <c r="E252">
        <v>0</v>
      </c>
      <c r="G252">
        <f t="shared" si="23"/>
        <v>99.530346488247517</v>
      </c>
      <c r="H252">
        <f t="shared" si="24"/>
        <v>-4.7514486032856906E-3</v>
      </c>
      <c r="I252">
        <f t="shared" si="25"/>
        <v>-4.7514486032856906E-3</v>
      </c>
      <c r="K252">
        <f t="shared" si="26"/>
        <v>-9.0845562543676595E-3</v>
      </c>
      <c r="L252">
        <f t="shared" si="27"/>
        <v>-4.8206710374083528E-3</v>
      </c>
      <c r="M252">
        <f t="shared" si="28"/>
        <v>-3.3033033033033066E-3</v>
      </c>
    </row>
    <row r="253" spans="1:15" x14ac:dyDescent="0.3">
      <c r="A253" s="3">
        <v>42367</v>
      </c>
      <c r="B253" s="8">
        <v>13.784267368087439</v>
      </c>
      <c r="C253" s="8">
        <v>104.03</v>
      </c>
      <c r="D253" s="8">
        <v>67.069999999999993</v>
      </c>
      <c r="E253">
        <v>0</v>
      </c>
      <c r="G253">
        <f t="shared" si="23"/>
        <v>100.83530475949382</v>
      </c>
      <c r="H253">
        <f t="shared" si="24"/>
        <v>1.3111159734588096E-2</v>
      </c>
      <c r="I253">
        <f t="shared" si="25"/>
        <v>1.3111159734588096E-2</v>
      </c>
      <c r="K253">
        <f t="shared" si="26"/>
        <v>3.5260930888574293E-3</v>
      </c>
      <c r="L253">
        <f t="shared" si="27"/>
        <v>7.847316411548233E-3</v>
      </c>
      <c r="M253">
        <f t="shared" si="28"/>
        <v>1.0394697197951164E-2</v>
      </c>
    </row>
    <row r="254" spans="1:15" x14ac:dyDescent="0.3">
      <c r="A254" s="3">
        <v>42368</v>
      </c>
      <c r="B254" s="8">
        <v>13.726146774827759</v>
      </c>
      <c r="C254" s="8">
        <v>103.78</v>
      </c>
      <c r="D254" s="8">
        <v>66.59</v>
      </c>
      <c r="E254">
        <v>0</v>
      </c>
      <c r="G254">
        <f t="shared" si="23"/>
        <v>99.561800090593337</v>
      </c>
      <c r="H254">
        <f t="shared" si="24"/>
        <v>-1.2629551444684695E-2</v>
      </c>
      <c r="I254">
        <f t="shared" si="25"/>
        <v>-1.2629551444684695E-2</v>
      </c>
      <c r="K254">
        <f t="shared" si="26"/>
        <v>-4.2164441321153046E-3</v>
      </c>
      <c r="L254">
        <f t="shared" si="27"/>
        <v>-2.4031529366529414E-3</v>
      </c>
      <c r="M254">
        <f t="shared" si="28"/>
        <v>-7.1567019531830756E-3</v>
      </c>
    </row>
    <row r="255" spans="1:15" x14ac:dyDescent="0.3">
      <c r="A255" s="3">
        <v>42369</v>
      </c>
      <c r="B255" s="8">
        <v>13.64865265048152</v>
      </c>
      <c r="C255" s="8">
        <v>102.72</v>
      </c>
      <c r="D255" s="8">
        <v>66.03</v>
      </c>
      <c r="E255">
        <v>0</v>
      </c>
      <c r="G255">
        <f t="shared" si="23"/>
        <v>99.094379722193977</v>
      </c>
      <c r="H255">
        <f t="shared" si="24"/>
        <v>-4.6947761890006046E-3</v>
      </c>
      <c r="I255">
        <f t="shared" si="25"/>
        <v>-4.6947761890006046E-3</v>
      </c>
      <c r="K255">
        <f t="shared" si="26"/>
        <v>-5.6457304163726185E-3</v>
      </c>
      <c r="L255">
        <f t="shared" si="27"/>
        <v>-1.0213914048949668E-2</v>
      </c>
      <c r="M255">
        <f t="shared" si="28"/>
        <v>-8.409671121790141E-3</v>
      </c>
    </row>
    <row r="256" spans="1:15" x14ac:dyDescent="0.3">
      <c r="A256" s="3">
        <v>42373</v>
      </c>
      <c r="B256" s="8">
        <v>13.532411463962161</v>
      </c>
      <c r="C256" s="8">
        <v>100.48</v>
      </c>
      <c r="D256" s="8">
        <v>63.62</v>
      </c>
      <c r="E256">
        <v>0</v>
      </c>
      <c r="G256">
        <f t="shared" si="23"/>
        <v>97.405734794238882</v>
      </c>
      <c r="H256">
        <f t="shared" si="24"/>
        <v>-1.7040773984247415E-2</v>
      </c>
      <c r="I256">
        <f t="shared" si="25"/>
        <v>-1.7040773984247415E-2</v>
      </c>
      <c r="K256">
        <f t="shared" si="26"/>
        <v>-8.5166784953867314E-3</v>
      </c>
      <c r="L256">
        <f t="shared" si="27"/>
        <v>-2.180685358255452E-2</v>
      </c>
      <c r="M256">
        <f t="shared" si="28"/>
        <v>-3.6498561260033369E-2</v>
      </c>
    </row>
    <row r="257" spans="1:13" x14ac:dyDescent="0.3">
      <c r="A257" s="3">
        <v>42374</v>
      </c>
      <c r="B257" s="8">
        <v>13.290242325380161</v>
      </c>
      <c r="C257" s="8">
        <v>100.9</v>
      </c>
      <c r="D257" s="8">
        <v>63.73</v>
      </c>
      <c r="E257">
        <v>0</v>
      </c>
      <c r="G257">
        <f t="shared" si="23"/>
        <v>100.09440741002607</v>
      </c>
      <c r="H257">
        <f t="shared" si="24"/>
        <v>2.7602816420067677E-2</v>
      </c>
      <c r="I257">
        <f t="shared" si="25"/>
        <v>2.7602816420067677E-2</v>
      </c>
      <c r="K257">
        <f t="shared" si="26"/>
        <v>-1.7895490336435227E-2</v>
      </c>
      <c r="L257">
        <f t="shared" si="27"/>
        <v>4.1799363057324346E-3</v>
      </c>
      <c r="M257">
        <f t="shared" si="28"/>
        <v>1.7290160326941528E-3</v>
      </c>
    </row>
    <row r="258" spans="1:13" x14ac:dyDescent="0.3">
      <c r="A258" s="3">
        <v>42375</v>
      </c>
      <c r="B258" s="8">
        <v>12.699349627240078</v>
      </c>
      <c r="C258" s="8">
        <v>100.39</v>
      </c>
      <c r="D258" s="8">
        <v>62.81</v>
      </c>
      <c r="E258">
        <v>0</v>
      </c>
      <c r="G258">
        <f t="shared" si="23"/>
        <v>98.728532299029823</v>
      </c>
      <c r="H258">
        <f t="shared" si="24"/>
        <v>-1.3645868399031369E-2</v>
      </c>
      <c r="I258">
        <f t="shared" si="25"/>
        <v>-1.3645868399031369E-2</v>
      </c>
      <c r="K258">
        <f t="shared" si="26"/>
        <v>-4.4460641399417078E-2</v>
      </c>
      <c r="L258">
        <f t="shared" si="27"/>
        <v>-5.0545094152626424E-3</v>
      </c>
      <c r="M258">
        <f t="shared" si="28"/>
        <v>-1.4435901459281308E-2</v>
      </c>
    </row>
    <row r="259" spans="1:13" x14ac:dyDescent="0.3">
      <c r="A259" s="3">
        <v>42376</v>
      </c>
      <c r="B259" s="8">
        <v>12.302192239965599</v>
      </c>
      <c r="C259" s="8">
        <v>99.22</v>
      </c>
      <c r="D259" s="8">
        <v>60.27</v>
      </c>
      <c r="E259">
        <v>0</v>
      </c>
      <c r="G259">
        <f t="shared" si="23"/>
        <v>97.545726398692409</v>
      </c>
      <c r="H259">
        <f t="shared" si="24"/>
        <v>-1.1980385738490695E-2</v>
      </c>
      <c r="I259">
        <f t="shared" si="25"/>
        <v>-1.1980385738490695E-2</v>
      </c>
      <c r="K259">
        <f t="shared" si="26"/>
        <v>-3.1273836765827512E-2</v>
      </c>
      <c r="L259">
        <f t="shared" si="27"/>
        <v>-1.165454726566395E-2</v>
      </c>
      <c r="M259">
        <f t="shared" si="28"/>
        <v>-4.0439420474446708E-2</v>
      </c>
    </row>
    <row r="260" spans="1:13" x14ac:dyDescent="0.3">
      <c r="A260" s="3">
        <v>42377</v>
      </c>
      <c r="B260" s="8">
        <v>12.147203991273118</v>
      </c>
      <c r="C260" s="8">
        <v>98.16</v>
      </c>
      <c r="D260" s="8">
        <v>58.92</v>
      </c>
      <c r="E260">
        <v>0</v>
      </c>
      <c r="G260">
        <f t="shared" si="23"/>
        <v>98.470716072819883</v>
      </c>
      <c r="H260">
        <f t="shared" si="24"/>
        <v>9.482626336153599E-3</v>
      </c>
      <c r="I260">
        <f t="shared" si="25"/>
        <v>9.482626336153599E-3</v>
      </c>
      <c r="K260">
        <f t="shared" si="26"/>
        <v>-1.2598425196850505E-2</v>
      </c>
      <c r="L260">
        <f t="shared" si="27"/>
        <v>-1.0683329973795619E-2</v>
      </c>
      <c r="M260">
        <f t="shared" si="28"/>
        <v>-2.2399203583872596E-2</v>
      </c>
    </row>
    <row r="261" spans="1:13" x14ac:dyDescent="0.3">
      <c r="A261" s="3">
        <v>42380</v>
      </c>
      <c r="B261" s="8">
        <v>12.36999959876856</v>
      </c>
      <c r="C261" s="8">
        <v>97.57</v>
      </c>
      <c r="D261" s="8">
        <v>58.83</v>
      </c>
      <c r="E261">
        <v>0</v>
      </c>
      <c r="G261">
        <f t="shared" ref="G261:G324" si="29">$G$4*(B261*$P$8/B260 + C261*$Q$8/C260 + D261*$R$8/D260)</f>
        <v>99.822857723026615</v>
      </c>
      <c r="H261">
        <f t="shared" ref="H261:H324" si="30">G261/G260-1</f>
        <v>1.3731408728731243E-2</v>
      </c>
      <c r="I261">
        <f t="shared" si="25"/>
        <v>1.3731408728731243E-2</v>
      </c>
      <c r="K261">
        <f t="shared" si="26"/>
        <v>1.8341307814992103E-2</v>
      </c>
      <c r="L261">
        <f t="shared" si="27"/>
        <v>-6.0105949470252718E-3</v>
      </c>
      <c r="M261">
        <f t="shared" si="28"/>
        <v>-1.5274949083503575E-3</v>
      </c>
    </row>
    <row r="262" spans="1:13" x14ac:dyDescent="0.3">
      <c r="A262" s="3">
        <v>42381</v>
      </c>
      <c r="B262" s="8">
        <v>12.4474937231148</v>
      </c>
      <c r="C262" s="8">
        <v>98.24</v>
      </c>
      <c r="D262" s="8">
        <v>58.96</v>
      </c>
      <c r="E262">
        <v>0</v>
      </c>
      <c r="G262">
        <f t="shared" si="29"/>
        <v>100.50512374934937</v>
      </c>
      <c r="H262">
        <f t="shared" si="30"/>
        <v>6.834767526048946E-3</v>
      </c>
      <c r="I262">
        <f t="shared" ref="I262:I325" si="31">H262-E262</f>
        <v>6.834767526048946E-3</v>
      </c>
      <c r="K262">
        <f t="shared" ref="K262:K325" si="32">B262/B261-1</f>
        <v>6.2646828504306917E-3</v>
      </c>
      <c r="L262">
        <f t="shared" ref="L262:L325" si="33">C262/C261-1</f>
        <v>6.8668648150045364E-3</v>
      </c>
      <c r="M262">
        <f t="shared" ref="M262:M325" si="34">D262/D261-1</f>
        <v>2.2097569267380823E-3</v>
      </c>
    </row>
    <row r="263" spans="1:13" x14ac:dyDescent="0.3">
      <c r="A263" s="3">
        <v>42382</v>
      </c>
      <c r="B263" s="8">
        <v>11.8178539628016</v>
      </c>
      <c r="C263" s="8">
        <v>97.02</v>
      </c>
      <c r="D263" s="8">
        <v>57.34</v>
      </c>
      <c r="E263">
        <v>0</v>
      </c>
      <c r="G263">
        <f t="shared" si="29"/>
        <v>97.791528137030312</v>
      </c>
      <c r="H263">
        <f t="shared" si="30"/>
        <v>-2.6999574858357578E-2</v>
      </c>
      <c r="I263">
        <f t="shared" si="31"/>
        <v>-2.6999574858357578E-2</v>
      </c>
      <c r="K263">
        <f t="shared" si="32"/>
        <v>-5.058365758754868E-2</v>
      </c>
      <c r="L263">
        <f t="shared" si="33"/>
        <v>-1.2418566775244333E-2</v>
      </c>
      <c r="M263">
        <f t="shared" si="34"/>
        <v>-2.7476255088195289E-2</v>
      </c>
    </row>
    <row r="264" spans="1:13" x14ac:dyDescent="0.3">
      <c r="A264" s="3">
        <v>42383</v>
      </c>
      <c r="B264" s="8">
        <v>11.808167197258319</v>
      </c>
      <c r="C264" s="8">
        <v>98.89</v>
      </c>
      <c r="D264" s="8">
        <v>58.2</v>
      </c>
      <c r="E264">
        <v>0</v>
      </c>
      <c r="G264">
        <f t="shared" si="29"/>
        <v>101.55593257818443</v>
      </c>
      <c r="H264">
        <f t="shared" si="30"/>
        <v>3.8494177490295822E-2</v>
      </c>
      <c r="I264">
        <f t="shared" si="31"/>
        <v>3.8494177490295822E-2</v>
      </c>
      <c r="K264">
        <f t="shared" si="32"/>
        <v>-8.1967213114764181E-4</v>
      </c>
      <c r="L264">
        <f t="shared" si="33"/>
        <v>1.9274376417233618E-2</v>
      </c>
      <c r="M264">
        <f t="shared" si="34"/>
        <v>1.4998256016742317E-2</v>
      </c>
    </row>
    <row r="265" spans="1:13" x14ac:dyDescent="0.3">
      <c r="A265" s="3">
        <v>42384</v>
      </c>
      <c r="B265" s="8">
        <v>11.595058355306161</v>
      </c>
      <c r="C265" s="8">
        <v>97</v>
      </c>
      <c r="D265" s="8">
        <v>57.04</v>
      </c>
      <c r="E265">
        <v>0</v>
      </c>
      <c r="G265">
        <f t="shared" si="29"/>
        <v>98.069117832280412</v>
      </c>
      <c r="H265">
        <f t="shared" si="30"/>
        <v>-3.433393458545253E-2</v>
      </c>
      <c r="I265">
        <f t="shared" si="31"/>
        <v>-3.433393458545253E-2</v>
      </c>
      <c r="K265">
        <f t="shared" si="32"/>
        <v>-1.8047579983592965E-2</v>
      </c>
      <c r="L265">
        <f t="shared" si="33"/>
        <v>-1.9112144807361675E-2</v>
      </c>
      <c r="M265">
        <f t="shared" si="34"/>
        <v>-1.993127147766327E-2</v>
      </c>
    </row>
    <row r="266" spans="1:13" x14ac:dyDescent="0.3">
      <c r="A266" s="3">
        <v>42388</v>
      </c>
      <c r="B266" s="8">
        <v>11.575684824219598</v>
      </c>
      <c r="C266" s="8">
        <v>97.5</v>
      </c>
      <c r="D266" s="8">
        <v>57.01</v>
      </c>
      <c r="E266">
        <v>0</v>
      </c>
      <c r="G266">
        <f t="shared" si="29"/>
        <v>100.23016502663995</v>
      </c>
      <c r="H266">
        <f t="shared" si="30"/>
        <v>2.2035960372921881E-2</v>
      </c>
      <c r="I266">
        <f t="shared" si="31"/>
        <v>2.2035960372921881E-2</v>
      </c>
      <c r="K266">
        <f t="shared" si="32"/>
        <v>-1.670843776107156E-3</v>
      </c>
      <c r="L266">
        <f t="shared" si="33"/>
        <v>5.1546391752577136E-3</v>
      </c>
      <c r="M266">
        <f t="shared" si="34"/>
        <v>-5.2594670406735933E-4</v>
      </c>
    </row>
    <row r="267" spans="1:13" x14ac:dyDescent="0.3">
      <c r="A267" s="3">
        <v>42389</v>
      </c>
      <c r="B267" s="8">
        <v>11.5272509965032</v>
      </c>
      <c r="C267" s="8">
        <v>95.75</v>
      </c>
      <c r="D267" s="8">
        <v>55.51</v>
      </c>
      <c r="E267">
        <v>0</v>
      </c>
      <c r="G267">
        <f t="shared" si="29"/>
        <v>98.034696846033313</v>
      </c>
      <c r="H267">
        <f t="shared" si="30"/>
        <v>-2.1904265846744986E-2</v>
      </c>
      <c r="I267">
        <f t="shared" si="31"/>
        <v>-2.1904265846744986E-2</v>
      </c>
      <c r="K267">
        <f t="shared" si="32"/>
        <v>-4.1841004184098862E-3</v>
      </c>
      <c r="L267">
        <f t="shared" si="33"/>
        <v>-1.7948717948717996E-2</v>
      </c>
      <c r="M267">
        <f t="shared" si="34"/>
        <v>-2.6311173478337113E-2</v>
      </c>
    </row>
    <row r="268" spans="1:13" x14ac:dyDescent="0.3">
      <c r="A268" s="3">
        <v>42390</v>
      </c>
      <c r="B268" s="8">
        <v>11.633805417479278</v>
      </c>
      <c r="C268" s="8">
        <v>95.94</v>
      </c>
      <c r="D268" s="8">
        <v>55.25</v>
      </c>
      <c r="E268">
        <v>0</v>
      </c>
      <c r="G268">
        <f t="shared" si="29"/>
        <v>100.02358299715894</v>
      </c>
      <c r="H268">
        <f t="shared" si="30"/>
        <v>2.0287573839792961E-2</v>
      </c>
      <c r="I268">
        <f t="shared" si="31"/>
        <v>2.0287573839792961E-2</v>
      </c>
      <c r="K268">
        <f t="shared" si="32"/>
        <v>9.2436974789913418E-3</v>
      </c>
      <c r="L268">
        <f t="shared" si="33"/>
        <v>1.9843342036554024E-3</v>
      </c>
      <c r="M268">
        <f t="shared" si="34"/>
        <v>-4.6838407494145251E-3</v>
      </c>
    </row>
    <row r="269" spans="1:13" x14ac:dyDescent="0.3">
      <c r="A269" s="3">
        <v>42391</v>
      </c>
      <c r="B269" s="8">
        <v>11.759733369541921</v>
      </c>
      <c r="C269" s="8">
        <v>96.75</v>
      </c>
      <c r="D269" s="8">
        <v>56.95</v>
      </c>
      <c r="E269">
        <v>0</v>
      </c>
      <c r="G269">
        <f t="shared" si="29"/>
        <v>101.70940399100652</v>
      </c>
      <c r="H269">
        <f t="shared" si="30"/>
        <v>1.6854235204666335E-2</v>
      </c>
      <c r="I269">
        <f t="shared" si="31"/>
        <v>1.6854235204666335E-2</v>
      </c>
      <c r="K269">
        <f t="shared" si="32"/>
        <v>1.0824313072439917E-2</v>
      </c>
      <c r="L269">
        <f t="shared" si="33"/>
        <v>8.4427767354597894E-3</v>
      </c>
      <c r="M269">
        <f t="shared" si="34"/>
        <v>3.0769230769230882E-2</v>
      </c>
    </row>
    <row r="270" spans="1:13" x14ac:dyDescent="0.3">
      <c r="A270" s="3">
        <v>42394</v>
      </c>
      <c r="B270" s="8">
        <v>11.60474512084944</v>
      </c>
      <c r="C270" s="8">
        <v>96.4</v>
      </c>
      <c r="D270" s="8">
        <v>55.66</v>
      </c>
      <c r="E270">
        <v>0</v>
      </c>
      <c r="G270">
        <f t="shared" si="29"/>
        <v>98.82176666107425</v>
      </c>
      <c r="H270">
        <f t="shared" si="30"/>
        <v>-2.8391055464130011E-2</v>
      </c>
      <c r="I270">
        <f t="shared" si="31"/>
        <v>-2.8391055464130011E-2</v>
      </c>
      <c r="K270">
        <f t="shared" si="32"/>
        <v>-1.317957166392103E-2</v>
      </c>
      <c r="L270">
        <f t="shared" si="33"/>
        <v>-3.6175710594315014E-3</v>
      </c>
      <c r="M270">
        <f t="shared" si="34"/>
        <v>-2.2651448639157246E-2</v>
      </c>
    </row>
    <row r="271" spans="1:13" x14ac:dyDescent="0.3">
      <c r="A271" s="3">
        <v>42395</v>
      </c>
      <c r="B271" s="8">
        <v>11.87597455606128</v>
      </c>
      <c r="C271" s="8">
        <v>101.18</v>
      </c>
      <c r="D271" s="8">
        <v>57.08</v>
      </c>
      <c r="E271">
        <v>0</v>
      </c>
      <c r="G271">
        <f t="shared" si="29"/>
        <v>103.77789775666047</v>
      </c>
      <c r="H271">
        <f t="shared" si="30"/>
        <v>5.0152221145611575E-2</v>
      </c>
      <c r="I271">
        <f t="shared" si="31"/>
        <v>5.0152221145611575E-2</v>
      </c>
      <c r="K271">
        <f t="shared" si="32"/>
        <v>2.3372287145241977E-2</v>
      </c>
      <c r="L271">
        <f t="shared" si="33"/>
        <v>4.9585062240663946E-2</v>
      </c>
      <c r="M271">
        <f t="shared" si="34"/>
        <v>2.5512037369744833E-2</v>
      </c>
    </row>
    <row r="272" spans="1:13" x14ac:dyDescent="0.3">
      <c r="A272" s="3">
        <v>42396</v>
      </c>
      <c r="B272" s="8">
        <v>11.717765849999999</v>
      </c>
      <c r="C272" s="8">
        <v>102.16</v>
      </c>
      <c r="D272" s="8">
        <v>57.04</v>
      </c>
      <c r="E272">
        <v>0</v>
      </c>
      <c r="G272">
        <f t="shared" si="29"/>
        <v>100.3365935862516</v>
      </c>
      <c r="H272">
        <f t="shared" si="30"/>
        <v>-3.3160280221498417E-2</v>
      </c>
      <c r="I272">
        <f t="shared" si="31"/>
        <v>-3.3160280221498417E-2</v>
      </c>
      <c r="K272">
        <f t="shared" si="32"/>
        <v>-1.3321745117796158E-2</v>
      </c>
      <c r="L272">
        <f t="shared" si="33"/>
        <v>9.6857086380706114E-3</v>
      </c>
      <c r="M272">
        <f t="shared" si="34"/>
        <v>-7.0077084793274125E-4</v>
      </c>
    </row>
    <row r="273" spans="1:13" x14ac:dyDescent="0.3">
      <c r="A273" s="3">
        <v>42397</v>
      </c>
      <c r="B273" s="8">
        <v>11.579328110000001</v>
      </c>
      <c r="C273" s="8">
        <v>102.27</v>
      </c>
      <c r="D273" s="8">
        <v>57.28</v>
      </c>
      <c r="E273">
        <v>0</v>
      </c>
      <c r="G273">
        <f t="shared" si="29"/>
        <v>100.09038902037624</v>
      </c>
      <c r="H273">
        <f t="shared" si="30"/>
        <v>-2.4537863712077446E-3</v>
      </c>
      <c r="I273">
        <f t="shared" si="31"/>
        <v>-2.4537863712077446E-3</v>
      </c>
      <c r="K273">
        <f t="shared" si="32"/>
        <v>-1.1814345991561059E-2</v>
      </c>
      <c r="L273">
        <f t="shared" si="33"/>
        <v>1.0767423649178376E-3</v>
      </c>
      <c r="M273">
        <f t="shared" si="34"/>
        <v>4.2075736325386526E-3</v>
      </c>
    </row>
    <row r="274" spans="1:13" x14ac:dyDescent="0.3">
      <c r="A274" s="3">
        <v>42398</v>
      </c>
      <c r="B274" s="8">
        <v>11.806761539999998</v>
      </c>
      <c r="C274" s="8">
        <v>104.44</v>
      </c>
      <c r="D274" s="8">
        <v>59.5</v>
      </c>
      <c r="E274">
        <v>0</v>
      </c>
      <c r="G274">
        <f t="shared" si="29"/>
        <v>102.76530383476828</v>
      </c>
      <c r="H274">
        <f t="shared" si="30"/>
        <v>2.6724991685739941E-2</v>
      </c>
      <c r="I274">
        <f t="shared" si="31"/>
        <v>2.6724991685739941E-2</v>
      </c>
      <c r="K274">
        <f t="shared" si="32"/>
        <v>1.9641332194705097E-2</v>
      </c>
      <c r="L274">
        <f t="shared" si="33"/>
        <v>2.1218343600273748E-2</v>
      </c>
      <c r="M274">
        <f t="shared" si="34"/>
        <v>3.8756983240223475E-2</v>
      </c>
    </row>
    <row r="275" spans="1:13" x14ac:dyDescent="0.3">
      <c r="A275" s="3">
        <v>42401</v>
      </c>
      <c r="B275" s="8">
        <v>11.93531087</v>
      </c>
      <c r="C275" s="8">
        <v>104.37</v>
      </c>
      <c r="D275" s="8">
        <v>58.86</v>
      </c>
      <c r="E275">
        <v>1.0000000000000001E-5</v>
      </c>
      <c r="G275">
        <f t="shared" si="29"/>
        <v>99.674557747562574</v>
      </c>
      <c r="H275">
        <f t="shared" si="30"/>
        <v>-3.0075774331141725E-2</v>
      </c>
      <c r="I275">
        <f t="shared" si="31"/>
        <v>-3.0085774331141724E-2</v>
      </c>
      <c r="K275">
        <f t="shared" si="32"/>
        <v>1.0887772194305034E-2</v>
      </c>
      <c r="L275">
        <f t="shared" si="33"/>
        <v>-6.7024128686321571E-4</v>
      </c>
      <c r="M275">
        <f t="shared" si="34"/>
        <v>-1.0756302521008454E-2</v>
      </c>
    </row>
    <row r="276" spans="1:13" x14ac:dyDescent="0.3">
      <c r="A276" s="3">
        <v>42402</v>
      </c>
      <c r="B276" s="8">
        <v>11.38155991</v>
      </c>
      <c r="C276" s="8">
        <v>103.41</v>
      </c>
      <c r="D276" s="8">
        <v>57.03</v>
      </c>
      <c r="E276">
        <v>1.0000000000000001E-5</v>
      </c>
      <c r="G276">
        <f t="shared" si="29"/>
        <v>97.866508187395752</v>
      </c>
      <c r="H276">
        <f t="shared" si="30"/>
        <v>-1.8139529294385448E-2</v>
      </c>
      <c r="I276">
        <f t="shared" si="31"/>
        <v>-1.8149529294385448E-2</v>
      </c>
      <c r="K276">
        <f t="shared" si="32"/>
        <v>-4.6396023198011616E-2</v>
      </c>
      <c r="L276">
        <f t="shared" si="33"/>
        <v>-9.1980454153492985E-3</v>
      </c>
      <c r="M276">
        <f t="shared" si="34"/>
        <v>-3.1090723751274196E-2</v>
      </c>
    </row>
    <row r="277" spans="1:13" x14ac:dyDescent="0.3">
      <c r="A277" s="3">
        <v>42403</v>
      </c>
      <c r="B277" s="8">
        <v>11.33211786</v>
      </c>
      <c r="C277" s="8">
        <v>104.14</v>
      </c>
      <c r="D277" s="8">
        <v>57.41</v>
      </c>
      <c r="E277">
        <v>1.0000000000000001E-5</v>
      </c>
      <c r="G277">
        <f t="shared" si="29"/>
        <v>100.57151199012341</v>
      </c>
      <c r="H277">
        <f t="shared" si="30"/>
        <v>2.7639729390856571E-2</v>
      </c>
      <c r="I277">
        <f t="shared" si="31"/>
        <v>2.7629729390856572E-2</v>
      </c>
      <c r="K277">
        <f t="shared" si="32"/>
        <v>-4.344048653344923E-3</v>
      </c>
      <c r="L277">
        <f t="shared" si="33"/>
        <v>7.0592785997485308E-3</v>
      </c>
      <c r="M277">
        <f t="shared" si="34"/>
        <v>6.6631597404873677E-3</v>
      </c>
    </row>
    <row r="278" spans="1:13" x14ac:dyDescent="0.3">
      <c r="A278" s="3">
        <v>42404</v>
      </c>
      <c r="B278" s="8">
        <v>11.401336729999999</v>
      </c>
      <c r="C278" s="8">
        <v>103.9</v>
      </c>
      <c r="D278" s="8">
        <v>58.4</v>
      </c>
      <c r="E278">
        <v>1.0000000000000001E-5</v>
      </c>
      <c r="G278">
        <f t="shared" si="29"/>
        <v>100.59335681468382</v>
      </c>
      <c r="H278">
        <f t="shared" si="30"/>
        <v>2.1720688222881535E-4</v>
      </c>
      <c r="I278">
        <f t="shared" si="31"/>
        <v>2.0720688222881535E-4</v>
      </c>
      <c r="K278">
        <f t="shared" si="32"/>
        <v>6.108202443280808E-3</v>
      </c>
      <c r="L278">
        <f t="shared" si="33"/>
        <v>-2.3045899750335774E-3</v>
      </c>
      <c r="M278">
        <f t="shared" si="34"/>
        <v>1.7244382511757639E-2</v>
      </c>
    </row>
    <row r="279" spans="1:13" x14ac:dyDescent="0.3">
      <c r="A279" s="3">
        <v>42405</v>
      </c>
      <c r="B279" s="8">
        <v>11.322229449999998</v>
      </c>
      <c r="C279" s="8">
        <v>100.54</v>
      </c>
      <c r="D279" s="8">
        <v>57.75</v>
      </c>
      <c r="E279">
        <v>1.0000000000000001E-5</v>
      </c>
      <c r="G279">
        <f t="shared" si="29"/>
        <v>97.830426160194278</v>
      </c>
      <c r="H279">
        <f t="shared" si="30"/>
        <v>-2.74663331851972E-2</v>
      </c>
      <c r="I279">
        <f t="shared" si="31"/>
        <v>-2.74763331851972E-2</v>
      </c>
      <c r="K279">
        <f t="shared" si="32"/>
        <v>-6.9384215091067292E-3</v>
      </c>
      <c r="L279">
        <f t="shared" si="33"/>
        <v>-3.2338787295476457E-2</v>
      </c>
      <c r="M279">
        <f t="shared" si="34"/>
        <v>-1.1130136986301387E-2</v>
      </c>
    </row>
    <row r="280" spans="1:13" x14ac:dyDescent="0.3">
      <c r="A280" s="3">
        <v>42408</v>
      </c>
      <c r="B280" s="8">
        <v>11.460667189999999</v>
      </c>
      <c r="C280" s="8">
        <v>102</v>
      </c>
      <c r="D280" s="8">
        <v>56.54</v>
      </c>
      <c r="E280">
        <v>1.0000000000000001E-5</v>
      </c>
      <c r="G280">
        <f t="shared" si="29"/>
        <v>100.0931898507565</v>
      </c>
      <c r="H280">
        <f t="shared" si="30"/>
        <v>2.3129447344500065E-2</v>
      </c>
      <c r="I280">
        <f t="shared" si="31"/>
        <v>2.3119447344500065E-2</v>
      </c>
      <c r="K280">
        <f t="shared" si="32"/>
        <v>1.2227074235807933E-2</v>
      </c>
      <c r="L280">
        <f t="shared" si="33"/>
        <v>1.4521583449373265E-2</v>
      </c>
      <c r="M280">
        <f t="shared" si="34"/>
        <v>-2.0952380952380945E-2</v>
      </c>
    </row>
    <row r="281" spans="1:13" x14ac:dyDescent="0.3">
      <c r="A281" s="3">
        <v>42409</v>
      </c>
      <c r="B281" s="8">
        <v>11.223345349999999</v>
      </c>
      <c r="C281" s="8">
        <v>101.97</v>
      </c>
      <c r="D281" s="8">
        <v>56.2</v>
      </c>
      <c r="E281">
        <v>1.0000000000000001E-5</v>
      </c>
      <c r="G281">
        <f t="shared" si="29"/>
        <v>99.541427180253862</v>
      </c>
      <c r="H281">
        <f t="shared" si="30"/>
        <v>-5.5124896241727228E-3</v>
      </c>
      <c r="I281">
        <f t="shared" si="31"/>
        <v>-5.5224896241727224E-3</v>
      </c>
      <c r="K281">
        <f t="shared" si="32"/>
        <v>-2.070750647109576E-2</v>
      </c>
      <c r="L281">
        <f t="shared" si="33"/>
        <v>-2.941176470588891E-4</v>
      </c>
      <c r="M281">
        <f t="shared" si="34"/>
        <v>-6.0134418111070786E-3</v>
      </c>
    </row>
    <row r="282" spans="1:13" x14ac:dyDescent="0.3">
      <c r="A282" s="3">
        <v>42410</v>
      </c>
      <c r="B282" s="8">
        <v>11.21345694</v>
      </c>
      <c r="C282" s="8">
        <v>101.73</v>
      </c>
      <c r="D282" s="8">
        <v>55.52</v>
      </c>
      <c r="E282">
        <v>1.0000000000000001E-5</v>
      </c>
      <c r="G282">
        <f t="shared" si="29"/>
        <v>99.413317261900858</v>
      </c>
      <c r="H282">
        <f t="shared" si="30"/>
        <v>-1.2870010203994697E-3</v>
      </c>
      <c r="I282">
        <f t="shared" si="31"/>
        <v>-1.2970010203994698E-3</v>
      </c>
      <c r="K282">
        <f t="shared" si="32"/>
        <v>-8.8105726872234058E-4</v>
      </c>
      <c r="L282">
        <f t="shared" si="33"/>
        <v>-2.3536334215945587E-3</v>
      </c>
      <c r="M282">
        <f t="shared" si="34"/>
        <v>-1.2099644128113818E-2</v>
      </c>
    </row>
    <row r="283" spans="1:13" x14ac:dyDescent="0.3">
      <c r="A283" s="3">
        <v>42411</v>
      </c>
      <c r="B283" s="8">
        <v>11.045353969999999</v>
      </c>
      <c r="C283" s="8">
        <v>101.7</v>
      </c>
      <c r="D283" s="8">
        <v>53.07</v>
      </c>
      <c r="E283">
        <v>1.0000000000000001E-5</v>
      </c>
      <c r="G283">
        <f t="shared" si="29"/>
        <v>98.166996228124276</v>
      </c>
      <c r="H283">
        <f t="shared" si="30"/>
        <v>-1.2536761352537784E-2</v>
      </c>
      <c r="I283">
        <f t="shared" si="31"/>
        <v>-1.2546761352537784E-2</v>
      </c>
      <c r="K283">
        <f t="shared" si="32"/>
        <v>-1.4991181657848407E-2</v>
      </c>
      <c r="L283">
        <f t="shared" si="33"/>
        <v>-2.9489826010031805E-4</v>
      </c>
      <c r="M283">
        <f t="shared" si="34"/>
        <v>-4.4128242074928048E-2</v>
      </c>
    </row>
    <row r="284" spans="1:13" x14ac:dyDescent="0.3">
      <c r="A284" s="3">
        <v>42412</v>
      </c>
      <c r="B284" s="8">
        <v>11.421113550000001</v>
      </c>
      <c r="C284" s="8">
        <v>101.82</v>
      </c>
      <c r="D284" s="8">
        <v>57.49</v>
      </c>
      <c r="E284">
        <v>1.0000000000000001E-5</v>
      </c>
      <c r="G284">
        <f t="shared" si="29"/>
        <v>103.55190568026632</v>
      </c>
      <c r="H284">
        <f t="shared" si="30"/>
        <v>5.4854581061321017E-2</v>
      </c>
      <c r="I284">
        <f t="shared" si="31"/>
        <v>5.4844581061321014E-2</v>
      </c>
      <c r="K284">
        <f t="shared" si="32"/>
        <v>3.4019695613249912E-2</v>
      </c>
      <c r="L284">
        <f t="shared" si="33"/>
        <v>1.1799410029498247E-3</v>
      </c>
      <c r="M284">
        <f t="shared" si="34"/>
        <v>8.3286225739589215E-2</v>
      </c>
    </row>
    <row r="285" spans="1:13" x14ac:dyDescent="0.3">
      <c r="A285" s="3">
        <v>42416</v>
      </c>
      <c r="B285" s="8">
        <v>11.737542669999998</v>
      </c>
      <c r="C285" s="8">
        <v>102.32</v>
      </c>
      <c r="D285" s="8">
        <v>58.35</v>
      </c>
      <c r="E285">
        <v>1.0000000000000001E-5</v>
      </c>
      <c r="G285">
        <f t="shared" si="29"/>
        <v>101.10809474792042</v>
      </c>
      <c r="H285">
        <f t="shared" si="30"/>
        <v>-2.3599864399324266E-2</v>
      </c>
      <c r="I285">
        <f t="shared" si="31"/>
        <v>-2.3609864399324266E-2</v>
      </c>
      <c r="K285">
        <f t="shared" si="32"/>
        <v>2.7705627705627345E-2</v>
      </c>
      <c r="L285">
        <f t="shared" si="33"/>
        <v>4.9106265959535378E-3</v>
      </c>
      <c r="M285">
        <f t="shared" si="34"/>
        <v>1.4959123325795742E-2</v>
      </c>
    </row>
    <row r="286" spans="1:13" x14ac:dyDescent="0.3">
      <c r="A286" s="3">
        <v>42417</v>
      </c>
      <c r="B286" s="8">
        <v>12.133079069999999</v>
      </c>
      <c r="C286" s="8">
        <v>102.5</v>
      </c>
      <c r="D286" s="8">
        <v>58.77</v>
      </c>
      <c r="E286">
        <v>1.0000000000000001E-5</v>
      </c>
      <c r="G286">
        <f t="shared" si="29"/>
        <v>100.71531499998179</v>
      </c>
      <c r="H286">
        <f t="shared" si="30"/>
        <v>-3.8847507602423059E-3</v>
      </c>
      <c r="I286">
        <f t="shared" si="31"/>
        <v>-3.8947507602423059E-3</v>
      </c>
      <c r="K286">
        <f t="shared" si="32"/>
        <v>3.3698399326032025E-2</v>
      </c>
      <c r="L286">
        <f t="shared" si="33"/>
        <v>1.7591868647381936E-3</v>
      </c>
      <c r="M286">
        <f t="shared" si="34"/>
        <v>7.197943444730015E-3</v>
      </c>
    </row>
    <row r="287" spans="1:13" x14ac:dyDescent="0.3">
      <c r="A287" s="3">
        <v>42418</v>
      </c>
      <c r="B287" s="8">
        <v>12.123190659999999</v>
      </c>
      <c r="C287" s="8">
        <v>104.24</v>
      </c>
      <c r="D287" s="8">
        <v>57.81</v>
      </c>
      <c r="E287">
        <v>1.0000000000000001E-5</v>
      </c>
      <c r="G287">
        <f t="shared" si="29"/>
        <v>100.25760413373312</v>
      </c>
      <c r="H287">
        <f t="shared" si="30"/>
        <v>-4.5446004537517126E-3</v>
      </c>
      <c r="I287">
        <f t="shared" si="31"/>
        <v>-4.5546004537517122E-3</v>
      </c>
      <c r="K287">
        <f t="shared" si="32"/>
        <v>-8.1499592502043416E-4</v>
      </c>
      <c r="L287">
        <f t="shared" si="33"/>
        <v>1.6975609756097576E-2</v>
      </c>
      <c r="M287">
        <f t="shared" si="34"/>
        <v>-1.6334864726901488E-2</v>
      </c>
    </row>
    <row r="288" spans="1:13" x14ac:dyDescent="0.3">
      <c r="A288" s="3">
        <v>42419</v>
      </c>
      <c r="B288" s="8">
        <v>11.964976099999999</v>
      </c>
      <c r="C288" s="8">
        <v>104.16</v>
      </c>
      <c r="D288" s="8">
        <v>57.82</v>
      </c>
      <c r="E288">
        <v>1.0000000000000001E-5</v>
      </c>
      <c r="G288">
        <f t="shared" si="29"/>
        <v>99.829913899889291</v>
      </c>
      <c r="H288">
        <f t="shared" si="30"/>
        <v>-4.2659131697715402E-3</v>
      </c>
      <c r="I288">
        <f t="shared" si="31"/>
        <v>-4.2759131697715398E-3</v>
      </c>
      <c r="K288">
        <f t="shared" si="32"/>
        <v>-1.3050570962479524E-2</v>
      </c>
      <c r="L288">
        <f t="shared" si="33"/>
        <v>-7.6745970836533672E-4</v>
      </c>
      <c r="M288">
        <f t="shared" si="34"/>
        <v>1.7298045320868205E-4</v>
      </c>
    </row>
    <row r="289" spans="1:13" x14ac:dyDescent="0.3">
      <c r="A289" s="3">
        <v>42422</v>
      </c>
      <c r="B289" s="8">
        <v>12.41984296</v>
      </c>
      <c r="C289" s="8">
        <v>104.75</v>
      </c>
      <c r="D289" s="8">
        <v>58.57</v>
      </c>
      <c r="E289">
        <v>1.0000000000000001E-5</v>
      </c>
      <c r="G289">
        <f t="shared" si="29"/>
        <v>101.18046160516671</v>
      </c>
      <c r="H289">
        <f t="shared" si="30"/>
        <v>1.352848712893584E-2</v>
      </c>
      <c r="I289">
        <f t="shared" si="31"/>
        <v>1.351848712893584E-2</v>
      </c>
      <c r="K289">
        <f t="shared" si="32"/>
        <v>3.8016528925620019E-2</v>
      </c>
      <c r="L289">
        <f t="shared" si="33"/>
        <v>5.6643625192012159E-3</v>
      </c>
      <c r="M289">
        <f t="shared" si="34"/>
        <v>1.2971290210999742E-2</v>
      </c>
    </row>
    <row r="290" spans="1:13" x14ac:dyDescent="0.3">
      <c r="A290" s="3">
        <v>42423</v>
      </c>
      <c r="B290" s="8">
        <v>12.28140522</v>
      </c>
      <c r="C290" s="8">
        <v>104.08</v>
      </c>
      <c r="D290" s="8">
        <v>56.12</v>
      </c>
      <c r="E290">
        <v>1.0000000000000001E-5</v>
      </c>
      <c r="G290">
        <f t="shared" si="29"/>
        <v>97.977175817762316</v>
      </c>
      <c r="H290">
        <f t="shared" si="30"/>
        <v>-3.1659133953198193E-2</v>
      </c>
      <c r="I290">
        <f t="shared" si="31"/>
        <v>-3.1669133953198196E-2</v>
      </c>
      <c r="K290">
        <f t="shared" si="32"/>
        <v>-1.1146496815286677E-2</v>
      </c>
      <c r="L290">
        <f t="shared" si="33"/>
        <v>-6.3961813842482451E-3</v>
      </c>
      <c r="M290">
        <f t="shared" si="34"/>
        <v>-4.1830288543623029E-2</v>
      </c>
    </row>
    <row r="291" spans="1:13" x14ac:dyDescent="0.3">
      <c r="A291" s="3">
        <v>42424</v>
      </c>
      <c r="B291" s="8">
        <v>11.945199279999999</v>
      </c>
      <c r="C291" s="8">
        <v>104.96</v>
      </c>
      <c r="D291" s="8">
        <v>56.14</v>
      </c>
      <c r="E291">
        <v>1.0000000000000001E-5</v>
      </c>
      <c r="G291">
        <f t="shared" si="29"/>
        <v>100.16523360922736</v>
      </c>
      <c r="H291">
        <f t="shared" si="30"/>
        <v>2.2332321514704878E-2</v>
      </c>
      <c r="I291">
        <f t="shared" si="31"/>
        <v>2.2322321514704879E-2</v>
      </c>
      <c r="K291">
        <f t="shared" si="32"/>
        <v>-2.7375201288244888E-2</v>
      </c>
      <c r="L291">
        <f t="shared" si="33"/>
        <v>8.4550345887777212E-3</v>
      </c>
      <c r="M291">
        <f t="shared" si="34"/>
        <v>3.5637918745545782E-4</v>
      </c>
    </row>
    <row r="292" spans="1:13" x14ac:dyDescent="0.3">
      <c r="A292" s="3">
        <v>42425</v>
      </c>
      <c r="B292" s="8">
        <v>12.251739990000001</v>
      </c>
      <c r="C292" s="8">
        <v>106.38</v>
      </c>
      <c r="D292" s="8">
        <v>57.01</v>
      </c>
      <c r="E292">
        <v>1.0000000000000001E-5</v>
      </c>
      <c r="G292">
        <f t="shared" si="29"/>
        <v>101.55411418182025</v>
      </c>
      <c r="H292">
        <f t="shared" si="30"/>
        <v>1.3865894607816731E-2</v>
      </c>
      <c r="I292">
        <f t="shared" si="31"/>
        <v>1.3855894607816732E-2</v>
      </c>
      <c r="K292">
        <f t="shared" si="32"/>
        <v>2.5662251655629298E-2</v>
      </c>
      <c r="L292">
        <f t="shared" si="33"/>
        <v>1.3528963414634054E-2</v>
      </c>
      <c r="M292">
        <f t="shared" si="34"/>
        <v>1.5496971856074016E-2</v>
      </c>
    </row>
    <row r="293" spans="1:13" x14ac:dyDescent="0.3">
      <c r="A293" s="3">
        <v>42426</v>
      </c>
      <c r="B293" s="8">
        <v>12.33084727</v>
      </c>
      <c r="C293" s="8">
        <v>105.78</v>
      </c>
      <c r="D293" s="8">
        <v>57.54</v>
      </c>
      <c r="E293">
        <v>1.0000000000000001E-5</v>
      </c>
      <c r="G293">
        <f t="shared" si="29"/>
        <v>100.12484934454966</v>
      </c>
      <c r="H293">
        <f t="shared" si="30"/>
        <v>-1.4073923531169541E-2</v>
      </c>
      <c r="I293">
        <f t="shared" si="31"/>
        <v>-1.4083923531169541E-2</v>
      </c>
      <c r="K293">
        <f t="shared" si="32"/>
        <v>6.4568200161418954E-3</v>
      </c>
      <c r="L293">
        <f t="shared" si="33"/>
        <v>-5.6401579244218514E-3</v>
      </c>
      <c r="M293">
        <f t="shared" si="34"/>
        <v>9.2966146290125451E-3</v>
      </c>
    </row>
    <row r="294" spans="1:13" x14ac:dyDescent="0.3">
      <c r="A294" s="3">
        <v>42429</v>
      </c>
      <c r="B294" s="8">
        <v>12.370400909999999</v>
      </c>
      <c r="C294" s="8">
        <v>105.21</v>
      </c>
      <c r="D294" s="8">
        <v>56.3</v>
      </c>
      <c r="E294">
        <v>1.0000000000000001E-5</v>
      </c>
      <c r="G294">
        <f t="shared" si="29"/>
        <v>98.943055708966355</v>
      </c>
      <c r="H294">
        <f t="shared" si="30"/>
        <v>-1.1803200137825098E-2</v>
      </c>
      <c r="I294">
        <f t="shared" si="31"/>
        <v>-1.1813200137825098E-2</v>
      </c>
      <c r="K294">
        <f t="shared" si="32"/>
        <v>3.2076984763431682E-3</v>
      </c>
      <c r="L294">
        <f t="shared" si="33"/>
        <v>-5.3885422575156161E-3</v>
      </c>
      <c r="M294">
        <f t="shared" si="34"/>
        <v>-2.1550225929788058E-2</v>
      </c>
    </row>
    <row r="295" spans="1:13" x14ac:dyDescent="0.3">
      <c r="A295" s="3">
        <v>42430</v>
      </c>
      <c r="B295" s="8">
        <v>12.94392869</v>
      </c>
      <c r="C295" s="8">
        <v>107.22</v>
      </c>
      <c r="D295" s="8">
        <v>59.2</v>
      </c>
      <c r="E295">
        <v>1.0000000000000001E-5</v>
      </c>
      <c r="G295">
        <f t="shared" si="29"/>
        <v>103.41557549058717</v>
      </c>
      <c r="H295">
        <f t="shared" si="30"/>
        <v>4.5202968005924493E-2</v>
      </c>
      <c r="I295">
        <f t="shared" si="31"/>
        <v>4.519296800592449E-2</v>
      </c>
      <c r="K295">
        <f t="shared" si="32"/>
        <v>4.6362909672262198E-2</v>
      </c>
      <c r="L295">
        <f t="shared" si="33"/>
        <v>1.9104647847162815E-2</v>
      </c>
      <c r="M295">
        <f t="shared" si="34"/>
        <v>5.1509769094138624E-2</v>
      </c>
    </row>
    <row r="296" spans="1:13" x14ac:dyDescent="0.3">
      <c r="A296" s="3">
        <v>42431</v>
      </c>
      <c r="B296" s="8">
        <v>13.07247802</v>
      </c>
      <c r="C296" s="8">
        <v>107.04</v>
      </c>
      <c r="D296" s="8">
        <v>59.76</v>
      </c>
      <c r="E296">
        <v>1.0000000000000001E-5</v>
      </c>
      <c r="G296">
        <f t="shared" si="29"/>
        <v>100.37294049555103</v>
      </c>
      <c r="H296">
        <f t="shared" si="30"/>
        <v>-2.9421438507713726E-2</v>
      </c>
      <c r="I296">
        <f t="shared" si="31"/>
        <v>-2.9431438507713726E-2</v>
      </c>
      <c r="K296">
        <f t="shared" si="32"/>
        <v>9.931245225362817E-3</v>
      </c>
      <c r="L296">
        <f t="shared" si="33"/>
        <v>-1.6787912702853625E-3</v>
      </c>
      <c r="M296">
        <f t="shared" si="34"/>
        <v>9.4594594594594739E-3</v>
      </c>
    </row>
    <row r="297" spans="1:13" x14ac:dyDescent="0.3">
      <c r="A297" s="3">
        <v>42432</v>
      </c>
      <c r="B297" s="8">
        <v>13.388907139999999</v>
      </c>
      <c r="C297" s="8">
        <v>106.65</v>
      </c>
      <c r="D297" s="8">
        <v>59.96</v>
      </c>
      <c r="E297">
        <v>1.0000000000000001E-5</v>
      </c>
      <c r="G297">
        <f t="shared" si="29"/>
        <v>100.19056582427717</v>
      </c>
      <c r="H297">
        <f t="shared" si="30"/>
        <v>-1.8169704939743347E-3</v>
      </c>
      <c r="I297">
        <f t="shared" si="31"/>
        <v>-1.8269704939743348E-3</v>
      </c>
      <c r="K297">
        <f t="shared" si="32"/>
        <v>2.4205748865355314E-2</v>
      </c>
      <c r="L297">
        <f t="shared" si="33"/>
        <v>-3.643497757847558E-3</v>
      </c>
      <c r="M297">
        <f t="shared" si="34"/>
        <v>3.3467202141901353E-3</v>
      </c>
    </row>
    <row r="298" spans="1:13" x14ac:dyDescent="0.3">
      <c r="A298" s="3">
        <v>42433</v>
      </c>
      <c r="B298" s="8">
        <v>13.43834919</v>
      </c>
      <c r="C298" s="8">
        <v>106.5</v>
      </c>
      <c r="D298" s="8">
        <v>60.05</v>
      </c>
      <c r="E298">
        <v>1.0000000000000001E-5</v>
      </c>
      <c r="G298">
        <f t="shared" si="29"/>
        <v>100.02220523787311</v>
      </c>
      <c r="H298">
        <f t="shared" si="30"/>
        <v>-1.6804035890899405E-3</v>
      </c>
      <c r="I298">
        <f t="shared" si="31"/>
        <v>-1.6904035890899405E-3</v>
      </c>
      <c r="K298">
        <f t="shared" si="32"/>
        <v>3.6927621861153614E-3</v>
      </c>
      <c r="L298">
        <f t="shared" si="33"/>
        <v>-1.4064697609001975E-3</v>
      </c>
      <c r="M298">
        <f t="shared" si="34"/>
        <v>1.5010006671114517E-3</v>
      </c>
    </row>
    <row r="299" spans="1:13" x14ac:dyDescent="0.3">
      <c r="A299" s="3">
        <v>42436</v>
      </c>
      <c r="B299" s="8">
        <v>13.468014419999999</v>
      </c>
      <c r="C299" s="8">
        <v>106.74</v>
      </c>
      <c r="D299" s="8">
        <v>59.94</v>
      </c>
      <c r="E299">
        <v>1.0000000000000001E-5</v>
      </c>
      <c r="G299">
        <f t="shared" si="29"/>
        <v>100.07113479565221</v>
      </c>
      <c r="H299">
        <f t="shared" si="30"/>
        <v>4.8918695266464418E-4</v>
      </c>
      <c r="I299">
        <f t="shared" si="31"/>
        <v>4.7918695266464416E-4</v>
      </c>
      <c r="K299">
        <f t="shared" si="32"/>
        <v>2.2075055187638082E-3</v>
      </c>
      <c r="L299">
        <f t="shared" si="33"/>
        <v>2.2535211267604716E-3</v>
      </c>
      <c r="M299">
        <f t="shared" si="34"/>
        <v>-1.8318068276436117E-3</v>
      </c>
    </row>
    <row r="300" spans="1:13" x14ac:dyDescent="0.3">
      <c r="A300" s="3">
        <v>42437</v>
      </c>
      <c r="B300" s="8">
        <v>13.08236643</v>
      </c>
      <c r="C300" s="8">
        <v>106.22</v>
      </c>
      <c r="D300" s="8">
        <v>58.78</v>
      </c>
      <c r="E300">
        <v>1.0000000000000001E-5</v>
      </c>
      <c r="G300">
        <f t="shared" si="29"/>
        <v>98.718860066986053</v>
      </c>
      <c r="H300">
        <f t="shared" si="30"/>
        <v>-1.35131347458739E-2</v>
      </c>
      <c r="I300">
        <f t="shared" si="31"/>
        <v>-1.35231347458739E-2</v>
      </c>
      <c r="K300">
        <f t="shared" si="32"/>
        <v>-2.8634361233480066E-2</v>
      </c>
      <c r="L300">
        <f t="shared" si="33"/>
        <v>-4.8716507401160847E-3</v>
      </c>
      <c r="M300">
        <f t="shared" si="34"/>
        <v>-1.9352686019352583E-2</v>
      </c>
    </row>
    <row r="301" spans="1:13" x14ac:dyDescent="0.3">
      <c r="A301" s="3">
        <v>42438</v>
      </c>
      <c r="B301" s="8">
        <v>13.042812789999999</v>
      </c>
      <c r="C301" s="8">
        <v>106.84</v>
      </c>
      <c r="D301" s="8">
        <v>59.12</v>
      </c>
      <c r="E301">
        <v>1.0000000000000001E-5</v>
      </c>
      <c r="G301">
        <f t="shared" si="29"/>
        <v>100.4888537302065</v>
      </c>
      <c r="H301">
        <f t="shared" si="30"/>
        <v>1.7929640415412118E-2</v>
      </c>
      <c r="I301">
        <f t="shared" si="31"/>
        <v>1.7919640415412118E-2</v>
      </c>
      <c r="K301">
        <f t="shared" si="32"/>
        <v>-3.023431594860293E-3</v>
      </c>
      <c r="L301">
        <f t="shared" si="33"/>
        <v>5.8369421954433953E-3</v>
      </c>
      <c r="M301">
        <f t="shared" si="34"/>
        <v>5.7842803674719168E-3</v>
      </c>
    </row>
    <row r="302" spans="1:13" x14ac:dyDescent="0.3">
      <c r="A302" s="3">
        <v>42439</v>
      </c>
      <c r="B302" s="8">
        <v>13.00325915</v>
      </c>
      <c r="C302" s="8">
        <v>107.14</v>
      </c>
      <c r="D302" s="8">
        <v>58.61</v>
      </c>
      <c r="E302">
        <v>1.0000000000000001E-5</v>
      </c>
      <c r="G302">
        <f t="shared" si="29"/>
        <v>99.789293137906526</v>
      </c>
      <c r="H302">
        <f t="shared" si="30"/>
        <v>-6.9615740087767275E-3</v>
      </c>
      <c r="I302">
        <f t="shared" si="31"/>
        <v>-6.9715740087767271E-3</v>
      </c>
      <c r="K302">
        <f t="shared" si="32"/>
        <v>-3.0326004548900665E-3</v>
      </c>
      <c r="L302">
        <f t="shared" si="33"/>
        <v>2.8079371022089461E-3</v>
      </c>
      <c r="M302">
        <f t="shared" si="34"/>
        <v>-8.6265223274695213E-3</v>
      </c>
    </row>
    <row r="303" spans="1:13" x14ac:dyDescent="0.3">
      <c r="A303" s="3">
        <v>42440</v>
      </c>
      <c r="B303" s="8">
        <v>13.141696889999999</v>
      </c>
      <c r="C303" s="8">
        <v>107.71</v>
      </c>
      <c r="D303" s="8">
        <v>59.34</v>
      </c>
      <c r="E303">
        <v>1.0000000000000001E-5</v>
      </c>
      <c r="G303">
        <f t="shared" si="29"/>
        <v>100.85633447026746</v>
      </c>
      <c r="H303">
        <f t="shared" si="30"/>
        <v>1.0692944090567869E-2</v>
      </c>
      <c r="I303">
        <f t="shared" si="31"/>
        <v>1.0682944090567869E-2</v>
      </c>
      <c r="K303">
        <f t="shared" si="32"/>
        <v>1.0646387832699444E-2</v>
      </c>
      <c r="L303">
        <f t="shared" si="33"/>
        <v>5.3201418704498238E-3</v>
      </c>
      <c r="M303">
        <f t="shared" si="34"/>
        <v>1.2455212421088602E-2</v>
      </c>
    </row>
    <row r="304" spans="1:13" x14ac:dyDescent="0.3">
      <c r="A304" s="3">
        <v>42443</v>
      </c>
      <c r="B304" s="8">
        <v>13.12192007</v>
      </c>
      <c r="C304" s="8">
        <v>107.66</v>
      </c>
      <c r="D304" s="8">
        <v>59.12</v>
      </c>
      <c r="E304">
        <v>1.0000000000000001E-5</v>
      </c>
      <c r="G304">
        <f t="shared" si="29"/>
        <v>99.820626070976658</v>
      </c>
      <c r="H304">
        <f t="shared" si="30"/>
        <v>-1.0269145757980325E-2</v>
      </c>
      <c r="I304">
        <f t="shared" si="31"/>
        <v>-1.0279145757980324E-2</v>
      </c>
      <c r="K304">
        <f t="shared" si="32"/>
        <v>-1.5048908954099494E-3</v>
      </c>
      <c r="L304">
        <f t="shared" si="33"/>
        <v>-4.6420945130443148E-4</v>
      </c>
      <c r="M304">
        <f t="shared" si="34"/>
        <v>-3.707448601280805E-3</v>
      </c>
    </row>
    <row r="305" spans="1:13" x14ac:dyDescent="0.3">
      <c r="A305" s="3">
        <v>42444</v>
      </c>
      <c r="B305" s="8">
        <v>13.08236643</v>
      </c>
      <c r="C305" s="8">
        <v>107.76</v>
      </c>
      <c r="D305" s="8">
        <v>59.2</v>
      </c>
      <c r="E305">
        <v>1.0000000000000001E-5</v>
      </c>
      <c r="G305">
        <f t="shared" si="29"/>
        <v>100.0675276598419</v>
      </c>
      <c r="H305">
        <f t="shared" si="30"/>
        <v>2.473452617795413E-3</v>
      </c>
      <c r="I305">
        <f t="shared" si="31"/>
        <v>2.463452617795413E-3</v>
      </c>
      <c r="K305">
        <f t="shared" si="32"/>
        <v>-3.0143180105500766E-3</v>
      </c>
      <c r="L305">
        <f t="shared" si="33"/>
        <v>9.2885008359666621E-4</v>
      </c>
      <c r="M305">
        <f t="shared" si="34"/>
        <v>1.3531799729364913E-3</v>
      </c>
    </row>
    <row r="306" spans="1:13" x14ac:dyDescent="0.3">
      <c r="A306" s="3">
        <v>42445</v>
      </c>
      <c r="B306" s="8">
        <v>13.349353499999999</v>
      </c>
      <c r="C306" s="8">
        <v>107.41</v>
      </c>
      <c r="D306" s="8">
        <v>58.92</v>
      </c>
      <c r="E306">
        <v>1.0000000000000001E-5</v>
      </c>
      <c r="G306">
        <f t="shared" si="29"/>
        <v>99.867365228401141</v>
      </c>
      <c r="H306">
        <f t="shared" si="30"/>
        <v>-2.0002735764709234E-3</v>
      </c>
      <c r="I306">
        <f t="shared" si="31"/>
        <v>-2.0102735764709234E-3</v>
      </c>
      <c r="K306">
        <f t="shared" si="32"/>
        <v>2.0408163265306145E-2</v>
      </c>
      <c r="L306">
        <f t="shared" si="33"/>
        <v>-3.2479584261322358E-3</v>
      </c>
      <c r="M306">
        <f t="shared" si="34"/>
        <v>-4.7297297297297369E-3</v>
      </c>
    </row>
    <row r="307" spans="1:13" x14ac:dyDescent="0.3">
      <c r="A307" s="3">
        <v>42446</v>
      </c>
      <c r="B307" s="8">
        <v>13.31968827</v>
      </c>
      <c r="C307" s="8">
        <v>106.74</v>
      </c>
      <c r="D307" s="8">
        <v>58.75</v>
      </c>
      <c r="E307">
        <v>1.0000000000000001E-5</v>
      </c>
      <c r="G307">
        <f t="shared" si="29"/>
        <v>99.544464396038208</v>
      </c>
      <c r="H307">
        <f t="shared" si="30"/>
        <v>-3.2332967994543882E-3</v>
      </c>
      <c r="I307">
        <f t="shared" si="31"/>
        <v>-3.2432967994543882E-3</v>
      </c>
      <c r="K307">
        <f t="shared" si="32"/>
        <v>-2.2222222222221255E-3</v>
      </c>
      <c r="L307">
        <f t="shared" si="33"/>
        <v>-6.2377804673680037E-3</v>
      </c>
      <c r="M307">
        <f t="shared" si="34"/>
        <v>-2.8852681602172803E-3</v>
      </c>
    </row>
    <row r="308" spans="1:13" x14ac:dyDescent="0.3">
      <c r="A308" s="3">
        <v>42447</v>
      </c>
      <c r="B308" s="8">
        <v>13.48779124</v>
      </c>
      <c r="C308" s="8">
        <v>107.5</v>
      </c>
      <c r="D308" s="8">
        <v>60.48</v>
      </c>
      <c r="E308">
        <v>1.0000000000000001E-5</v>
      </c>
      <c r="G308">
        <f t="shared" si="29"/>
        <v>101.60983401451126</v>
      </c>
      <c r="H308">
        <f t="shared" si="30"/>
        <v>2.0748211676100636E-2</v>
      </c>
      <c r="I308">
        <f t="shared" si="31"/>
        <v>2.0738211676100637E-2</v>
      </c>
      <c r="K308">
        <f t="shared" si="32"/>
        <v>1.2620638455827837E-2</v>
      </c>
      <c r="L308">
        <f t="shared" si="33"/>
        <v>7.120104927862192E-3</v>
      </c>
      <c r="M308">
        <f t="shared" si="34"/>
        <v>2.94468085106383E-2</v>
      </c>
    </row>
    <row r="309" spans="1:13" x14ac:dyDescent="0.3">
      <c r="A309" s="3">
        <v>42450</v>
      </c>
      <c r="B309" s="8">
        <v>13.507568060000001</v>
      </c>
      <c r="C309" s="8">
        <v>107.28</v>
      </c>
      <c r="D309" s="8">
        <v>60.46</v>
      </c>
      <c r="E309">
        <v>1.0000000000000001E-5</v>
      </c>
      <c r="G309">
        <f t="shared" si="29"/>
        <v>99.896731863833537</v>
      </c>
      <c r="H309">
        <f t="shared" si="30"/>
        <v>-1.6859609773922757E-2</v>
      </c>
      <c r="I309">
        <f t="shared" si="31"/>
        <v>-1.6869609773922756E-2</v>
      </c>
      <c r="K309">
        <f t="shared" si="32"/>
        <v>1.4662756598240456E-3</v>
      </c>
      <c r="L309">
        <f t="shared" si="33"/>
        <v>-2.0465116279069218E-3</v>
      </c>
      <c r="M309">
        <f t="shared" si="34"/>
        <v>-3.3068783068779251E-4</v>
      </c>
    </row>
    <row r="310" spans="1:13" x14ac:dyDescent="0.3">
      <c r="A310" s="3">
        <v>42451</v>
      </c>
      <c r="B310" s="8">
        <v>13.43834919</v>
      </c>
      <c r="C310" s="8">
        <v>107.38</v>
      </c>
      <c r="D310" s="8">
        <v>60.24</v>
      </c>
      <c r="E310">
        <v>1.0000000000000001E-5</v>
      </c>
      <c r="G310">
        <f t="shared" si="29"/>
        <v>99.857731543350809</v>
      </c>
      <c r="H310">
        <f t="shared" si="30"/>
        <v>-3.9040637020926194E-4</v>
      </c>
      <c r="I310">
        <f t="shared" si="31"/>
        <v>-4.0040637020926197E-4</v>
      </c>
      <c r="K310">
        <f t="shared" si="32"/>
        <v>-5.1244509516837899E-3</v>
      </c>
      <c r="L310">
        <f t="shared" si="33"/>
        <v>9.3214019388510039E-4</v>
      </c>
      <c r="M310">
        <f t="shared" si="34"/>
        <v>-3.6387694343367194E-3</v>
      </c>
    </row>
    <row r="311" spans="1:13" x14ac:dyDescent="0.3">
      <c r="A311" s="3">
        <v>42452</v>
      </c>
      <c r="B311" s="8">
        <v>13.11203166</v>
      </c>
      <c r="C311" s="8">
        <v>108.5</v>
      </c>
      <c r="D311" s="8">
        <v>59.94</v>
      </c>
      <c r="E311">
        <v>1.0000000000000001E-5</v>
      </c>
      <c r="G311">
        <f t="shared" si="29"/>
        <v>100.09932013704064</v>
      </c>
      <c r="H311">
        <f t="shared" si="30"/>
        <v>2.4193278773305682E-3</v>
      </c>
      <c r="I311">
        <f t="shared" si="31"/>
        <v>2.4093278773305682E-3</v>
      </c>
      <c r="K311">
        <f t="shared" si="32"/>
        <v>-2.4282560706401779E-2</v>
      </c>
      <c r="L311">
        <f t="shared" si="33"/>
        <v>1.0430247718383301E-2</v>
      </c>
      <c r="M311">
        <f t="shared" si="34"/>
        <v>-4.980079681275007E-3</v>
      </c>
    </row>
    <row r="312" spans="1:13" x14ac:dyDescent="0.3">
      <c r="A312" s="3">
        <v>42453</v>
      </c>
      <c r="B312" s="8">
        <v>12.914263460000001</v>
      </c>
      <c r="C312" s="8">
        <v>108.31</v>
      </c>
      <c r="D312" s="8">
        <v>59.48</v>
      </c>
      <c r="E312">
        <v>1.0000000000000001E-5</v>
      </c>
      <c r="G312">
        <f t="shared" si="29"/>
        <v>99.462268746487268</v>
      </c>
      <c r="H312">
        <f t="shared" si="30"/>
        <v>-6.3641929803440744E-3</v>
      </c>
      <c r="I312">
        <f t="shared" si="31"/>
        <v>-6.374192980344074E-3</v>
      </c>
      <c r="K312">
        <f t="shared" si="32"/>
        <v>-1.5082956259426794E-2</v>
      </c>
      <c r="L312">
        <f t="shared" si="33"/>
        <v>-1.7511520737326647E-3</v>
      </c>
      <c r="M312">
        <f t="shared" si="34"/>
        <v>-7.6743410076743901E-3</v>
      </c>
    </row>
    <row r="313" spans="1:13" x14ac:dyDescent="0.3">
      <c r="A313" s="3">
        <v>42457</v>
      </c>
      <c r="B313" s="8">
        <v>12.94392869</v>
      </c>
      <c r="C313" s="8">
        <v>108.23</v>
      </c>
      <c r="D313" s="8">
        <v>59.4</v>
      </c>
      <c r="E313">
        <v>1.0000000000000001E-5</v>
      </c>
      <c r="G313">
        <f t="shared" si="29"/>
        <v>99.935134596600733</v>
      </c>
      <c r="H313">
        <f t="shared" si="30"/>
        <v>4.7542234464681421E-3</v>
      </c>
      <c r="I313">
        <f t="shared" si="31"/>
        <v>4.7442234464681425E-3</v>
      </c>
      <c r="K313">
        <f t="shared" si="32"/>
        <v>2.2970903522203656E-3</v>
      </c>
      <c r="L313">
        <f t="shared" si="33"/>
        <v>-7.386206259809569E-4</v>
      </c>
      <c r="M313">
        <f t="shared" si="34"/>
        <v>-1.3449899125755893E-3</v>
      </c>
    </row>
    <row r="314" spans="1:13" x14ac:dyDescent="0.3">
      <c r="A314" s="3">
        <v>42458</v>
      </c>
      <c r="B314" s="8">
        <v>13.0527012</v>
      </c>
      <c r="C314" s="8">
        <v>109.14</v>
      </c>
      <c r="D314" s="8">
        <v>59.03</v>
      </c>
      <c r="E314">
        <v>1.0000000000000001E-5</v>
      </c>
      <c r="G314">
        <f t="shared" si="29"/>
        <v>100.28994881149707</v>
      </c>
      <c r="H314">
        <f t="shared" si="30"/>
        <v>3.5504451595385067E-3</v>
      </c>
      <c r="I314">
        <f t="shared" si="31"/>
        <v>3.5404451595385067E-3</v>
      </c>
      <c r="K314">
        <f t="shared" si="32"/>
        <v>8.4033613445377853E-3</v>
      </c>
      <c r="L314">
        <f t="shared" si="33"/>
        <v>8.4080199574978476E-3</v>
      </c>
      <c r="M314">
        <f t="shared" si="34"/>
        <v>-6.2289562289561395E-3</v>
      </c>
    </row>
    <row r="315" spans="1:13" x14ac:dyDescent="0.3">
      <c r="A315" s="3">
        <v>42459</v>
      </c>
      <c r="B315" s="8">
        <v>13.201027349999999</v>
      </c>
      <c r="C315" s="8">
        <v>108.98</v>
      </c>
      <c r="D315" s="8">
        <v>59.71</v>
      </c>
      <c r="E315">
        <v>1.0000000000000001E-5</v>
      </c>
      <c r="G315">
        <f t="shared" si="29"/>
        <v>100.47651732273452</v>
      </c>
      <c r="H315">
        <f t="shared" si="30"/>
        <v>1.86029122009157E-3</v>
      </c>
      <c r="I315">
        <f t="shared" si="31"/>
        <v>1.85029122009157E-3</v>
      </c>
      <c r="K315">
        <f t="shared" si="32"/>
        <v>1.1363636363636243E-2</v>
      </c>
      <c r="L315">
        <f t="shared" si="33"/>
        <v>-1.4660069635330508E-3</v>
      </c>
      <c r="M315">
        <f t="shared" si="34"/>
        <v>1.1519566322208963E-2</v>
      </c>
    </row>
    <row r="316" spans="1:13" x14ac:dyDescent="0.3">
      <c r="A316" s="3">
        <v>42460</v>
      </c>
      <c r="B316" s="8">
        <v>13.349353499999999</v>
      </c>
      <c r="C316" s="8">
        <v>108.2</v>
      </c>
      <c r="D316" s="8">
        <v>59.22</v>
      </c>
      <c r="E316">
        <v>1.0000000000000001E-5</v>
      </c>
      <c r="G316">
        <f t="shared" si="29"/>
        <v>99.43756069955414</v>
      </c>
      <c r="H316">
        <f t="shared" si="30"/>
        <v>-1.0340292944700846E-2</v>
      </c>
      <c r="I316">
        <f t="shared" si="31"/>
        <v>-1.0350292944700846E-2</v>
      </c>
      <c r="K316">
        <f t="shared" si="32"/>
        <v>1.1235955056179803E-2</v>
      </c>
      <c r="L316">
        <f t="shared" si="33"/>
        <v>-7.1572765645072645E-3</v>
      </c>
      <c r="M316">
        <f t="shared" si="34"/>
        <v>-8.2063305978898882E-3</v>
      </c>
    </row>
    <row r="317" spans="1:13" x14ac:dyDescent="0.3">
      <c r="A317" s="3">
        <v>42461</v>
      </c>
      <c r="B317" s="8">
        <v>12.953817099999998</v>
      </c>
      <c r="C317" s="8">
        <v>109.19</v>
      </c>
      <c r="D317" s="8">
        <v>59.87</v>
      </c>
      <c r="E317">
        <v>0</v>
      </c>
      <c r="G317">
        <f t="shared" si="29"/>
        <v>100.57728116431286</v>
      </c>
      <c r="H317">
        <f t="shared" si="30"/>
        <v>1.1461669581802614E-2</v>
      </c>
      <c r="I317">
        <f t="shared" si="31"/>
        <v>1.1461669581802614E-2</v>
      </c>
      <c r="K317">
        <f t="shared" si="32"/>
        <v>-2.9629629629629672E-2</v>
      </c>
      <c r="L317">
        <f t="shared" si="33"/>
        <v>9.1497227356747146E-3</v>
      </c>
      <c r="M317">
        <f t="shared" si="34"/>
        <v>1.0976021614319542E-2</v>
      </c>
    </row>
    <row r="318" spans="1:13" x14ac:dyDescent="0.3">
      <c r="A318" s="3">
        <v>42464</v>
      </c>
      <c r="B318" s="8">
        <v>12.6571648</v>
      </c>
      <c r="C318" s="8">
        <v>108.59</v>
      </c>
      <c r="D318" s="8">
        <v>59.2</v>
      </c>
      <c r="E318">
        <v>0</v>
      </c>
      <c r="G318">
        <f t="shared" si="29"/>
        <v>99.053740067178438</v>
      </c>
      <c r="H318">
        <f t="shared" si="30"/>
        <v>-1.5147964624788623E-2</v>
      </c>
      <c r="I318">
        <f t="shared" si="31"/>
        <v>-1.5147964624788623E-2</v>
      </c>
      <c r="K318">
        <f t="shared" si="32"/>
        <v>-2.2900763358778442E-2</v>
      </c>
      <c r="L318">
        <f t="shared" si="33"/>
        <v>-5.4950087004304038E-3</v>
      </c>
      <c r="M318">
        <f t="shared" si="34"/>
        <v>-1.1190913646233369E-2</v>
      </c>
    </row>
    <row r="319" spans="1:13" x14ac:dyDescent="0.3">
      <c r="A319" s="3">
        <v>42465</v>
      </c>
      <c r="B319" s="8">
        <v>12.627499569999999</v>
      </c>
      <c r="C319" s="8">
        <v>108.95</v>
      </c>
      <c r="D319" s="8">
        <v>58.36</v>
      </c>
      <c r="E319">
        <v>0</v>
      </c>
      <c r="G319">
        <f t="shared" si="29"/>
        <v>99.613506014129598</v>
      </c>
      <c r="H319">
        <f t="shared" si="30"/>
        <v>5.6511338852174298E-3</v>
      </c>
      <c r="I319">
        <f t="shared" si="31"/>
        <v>5.6511338852174298E-3</v>
      </c>
      <c r="K319">
        <f t="shared" si="32"/>
        <v>-2.3437500000000888E-3</v>
      </c>
      <c r="L319">
        <f t="shared" si="33"/>
        <v>3.3152223961689931E-3</v>
      </c>
      <c r="M319">
        <f t="shared" si="34"/>
        <v>-1.4189189189189211E-2</v>
      </c>
    </row>
    <row r="320" spans="1:13" x14ac:dyDescent="0.3">
      <c r="A320" s="3">
        <v>42466</v>
      </c>
      <c r="B320" s="8">
        <v>12.676941619999999</v>
      </c>
      <c r="C320" s="8">
        <v>109.42</v>
      </c>
      <c r="D320" s="8">
        <v>58.81</v>
      </c>
      <c r="E320">
        <v>0</v>
      </c>
      <c r="G320">
        <f t="shared" si="29"/>
        <v>100.55504153221891</v>
      </c>
      <c r="H320">
        <f t="shared" si="30"/>
        <v>9.4518861524235387E-3</v>
      </c>
      <c r="I320">
        <f t="shared" si="31"/>
        <v>9.4518861524235387E-3</v>
      </c>
      <c r="K320">
        <f t="shared" si="32"/>
        <v>3.9154267815191268E-3</v>
      </c>
      <c r="L320">
        <f t="shared" si="33"/>
        <v>4.3139054612206795E-3</v>
      </c>
      <c r="M320">
        <f t="shared" si="34"/>
        <v>7.7107607950650525E-3</v>
      </c>
    </row>
    <row r="321" spans="1:13" x14ac:dyDescent="0.3">
      <c r="A321" s="3">
        <v>42467</v>
      </c>
      <c r="B321" s="8">
        <v>12.380289319999999</v>
      </c>
      <c r="C321" s="8">
        <v>109.27</v>
      </c>
      <c r="D321" s="8">
        <v>57.32</v>
      </c>
      <c r="E321">
        <v>0</v>
      </c>
      <c r="G321">
        <f t="shared" si="29"/>
        <v>98.730207270633841</v>
      </c>
      <c r="H321">
        <f t="shared" si="30"/>
        <v>-1.8147615810992113E-2</v>
      </c>
      <c r="I321">
        <f t="shared" si="31"/>
        <v>-1.8147615810992113E-2</v>
      </c>
      <c r="K321">
        <f t="shared" si="32"/>
        <v>-2.3400936037441533E-2</v>
      </c>
      <c r="L321">
        <f t="shared" si="33"/>
        <v>-1.3708645585817081E-3</v>
      </c>
      <c r="M321">
        <f t="shared" si="34"/>
        <v>-2.5335827240265285E-2</v>
      </c>
    </row>
    <row r="322" spans="1:13" x14ac:dyDescent="0.3">
      <c r="A322" s="3">
        <v>42468</v>
      </c>
      <c r="B322" s="8">
        <v>12.40995455</v>
      </c>
      <c r="C322" s="8">
        <v>109.1</v>
      </c>
      <c r="D322" s="8">
        <v>57.74</v>
      </c>
      <c r="E322">
        <v>0</v>
      </c>
      <c r="G322">
        <f t="shared" si="29"/>
        <v>100.22011817253873</v>
      </c>
      <c r="H322">
        <f t="shared" si="30"/>
        <v>1.5090730011543707E-2</v>
      </c>
      <c r="I322">
        <f t="shared" si="31"/>
        <v>1.5090730011543707E-2</v>
      </c>
      <c r="K322">
        <f t="shared" si="32"/>
        <v>2.3961661341853624E-3</v>
      </c>
      <c r="L322">
        <f t="shared" si="33"/>
        <v>-1.555779262377599E-3</v>
      </c>
      <c r="M322">
        <f t="shared" si="34"/>
        <v>7.3272854152128808E-3</v>
      </c>
    </row>
    <row r="323" spans="1:13" x14ac:dyDescent="0.3">
      <c r="A323" s="3">
        <v>42471</v>
      </c>
      <c r="B323" s="8">
        <v>12.51872706</v>
      </c>
      <c r="C323" s="8">
        <v>108.97</v>
      </c>
      <c r="D323" s="8">
        <v>58.2</v>
      </c>
      <c r="E323">
        <v>0</v>
      </c>
      <c r="G323">
        <f t="shared" si="29"/>
        <v>100.32982651092581</v>
      </c>
      <c r="H323">
        <f t="shared" si="30"/>
        <v>1.0946738078896345E-3</v>
      </c>
      <c r="I323">
        <f t="shared" si="31"/>
        <v>1.0946738078896345E-3</v>
      </c>
      <c r="K323">
        <f t="shared" si="32"/>
        <v>8.7649402390437281E-3</v>
      </c>
      <c r="L323">
        <f t="shared" si="33"/>
        <v>-1.1915673693858597E-3</v>
      </c>
      <c r="M323">
        <f t="shared" si="34"/>
        <v>7.9667474887425982E-3</v>
      </c>
    </row>
    <row r="324" spans="1:13" x14ac:dyDescent="0.3">
      <c r="A324" s="3">
        <v>42472</v>
      </c>
      <c r="B324" s="8">
        <v>12.667053210000001</v>
      </c>
      <c r="C324" s="8">
        <v>109.6</v>
      </c>
      <c r="D324" s="8">
        <v>59.28</v>
      </c>
      <c r="E324">
        <v>0</v>
      </c>
      <c r="G324">
        <f t="shared" si="29"/>
        <v>101.1224709749424</v>
      </c>
      <c r="H324">
        <f t="shared" si="30"/>
        <v>7.9003870691460865E-3</v>
      </c>
      <c r="I324">
        <f t="shared" si="31"/>
        <v>7.9003870691460865E-3</v>
      </c>
      <c r="K324">
        <f t="shared" si="32"/>
        <v>1.1848341232227444E-2</v>
      </c>
      <c r="L324">
        <f t="shared" si="33"/>
        <v>5.7814077268971698E-3</v>
      </c>
      <c r="M324">
        <f t="shared" si="34"/>
        <v>1.8556701030927769E-2</v>
      </c>
    </row>
    <row r="325" spans="1:13" x14ac:dyDescent="0.3">
      <c r="A325" s="3">
        <v>42473</v>
      </c>
      <c r="B325" s="8">
        <v>12.914263460000001</v>
      </c>
      <c r="C325" s="8">
        <v>109.87</v>
      </c>
      <c r="D325" s="8">
        <v>61.79</v>
      </c>
      <c r="E325">
        <v>0</v>
      </c>
      <c r="G325">
        <f t="shared" ref="G325:G388" si="35">$G$4*(B325*$P$8/B324 + C325*$Q$8/C324 + D325*$R$8/D324)</f>
        <v>101.92571162182156</v>
      </c>
      <c r="H325">
        <f t="shared" ref="H325:H388" si="36">G325/G324-1</f>
        <v>7.9432458397719063E-3</v>
      </c>
      <c r="I325">
        <f t="shared" si="31"/>
        <v>7.9432458397719063E-3</v>
      </c>
      <c r="K325">
        <f t="shared" si="32"/>
        <v>1.9516003122560521E-2</v>
      </c>
      <c r="L325">
        <f t="shared" si="33"/>
        <v>2.4635036496352125E-3</v>
      </c>
      <c r="M325">
        <f t="shared" si="34"/>
        <v>4.2341430499325261E-2</v>
      </c>
    </row>
    <row r="326" spans="1:13" x14ac:dyDescent="0.3">
      <c r="A326" s="3">
        <v>42474</v>
      </c>
      <c r="B326" s="8">
        <v>12.94392869</v>
      </c>
      <c r="C326" s="8">
        <v>109.84</v>
      </c>
      <c r="D326" s="8">
        <v>62.59</v>
      </c>
      <c r="E326">
        <v>0</v>
      </c>
      <c r="G326">
        <f t="shared" si="35"/>
        <v>100.4971176157252</v>
      </c>
      <c r="H326">
        <f t="shared" si="36"/>
        <v>-1.4016031709417121E-2</v>
      </c>
      <c r="I326">
        <f t="shared" ref="I326:I389" si="37">H326-E326</f>
        <v>-1.4016031709417121E-2</v>
      </c>
      <c r="K326">
        <f t="shared" ref="K326:K389" si="38">B326/B325-1</f>
        <v>2.2970903522203656E-3</v>
      </c>
      <c r="L326">
        <f t="shared" ref="L326:L389" si="39">C326/C325-1</f>
        <v>-2.7304996814414562E-4</v>
      </c>
      <c r="M326">
        <f t="shared" ref="M326:M389" si="40">D326/D325-1</f>
        <v>1.2947078815342294E-2</v>
      </c>
    </row>
    <row r="327" spans="1:13" x14ac:dyDescent="0.3">
      <c r="A327" s="3">
        <v>42475</v>
      </c>
      <c r="B327" s="8">
        <v>12.795602539999999</v>
      </c>
      <c r="C327" s="8">
        <v>110.18</v>
      </c>
      <c r="D327" s="8">
        <v>61.87</v>
      </c>
      <c r="E327">
        <v>0</v>
      </c>
      <c r="G327">
        <f t="shared" si="35"/>
        <v>99.607636687517513</v>
      </c>
      <c r="H327">
        <f t="shared" si="36"/>
        <v>-8.8508103447189068E-3</v>
      </c>
      <c r="I327">
        <f t="shared" si="37"/>
        <v>-8.8508103447189068E-3</v>
      </c>
      <c r="K327">
        <f t="shared" si="38"/>
        <v>-1.145912910618796E-2</v>
      </c>
      <c r="L327">
        <f t="shared" si="39"/>
        <v>3.095411507647583E-3</v>
      </c>
      <c r="M327">
        <f t="shared" si="40"/>
        <v>-1.1503435053523026E-2</v>
      </c>
    </row>
    <row r="328" spans="1:13" x14ac:dyDescent="0.3">
      <c r="A328" s="3">
        <v>42478</v>
      </c>
      <c r="B328" s="8">
        <v>13.102143249999999</v>
      </c>
      <c r="C328" s="8">
        <v>110.93</v>
      </c>
      <c r="D328" s="8">
        <v>62.27</v>
      </c>
      <c r="E328">
        <v>0</v>
      </c>
      <c r="G328">
        <f t="shared" si="35"/>
        <v>100.84757185455015</v>
      </c>
      <c r="H328">
        <f t="shared" si="36"/>
        <v>1.2448193815926878E-2</v>
      </c>
      <c r="I328">
        <f t="shared" si="37"/>
        <v>1.2448193815926878E-2</v>
      </c>
      <c r="K328">
        <f t="shared" si="38"/>
        <v>2.3956723338485419E-2</v>
      </c>
      <c r="L328">
        <f t="shared" si="39"/>
        <v>6.8070430205118271E-3</v>
      </c>
      <c r="M328">
        <f t="shared" si="40"/>
        <v>6.4651689025376768E-3</v>
      </c>
    </row>
    <row r="329" spans="1:13" x14ac:dyDescent="0.3">
      <c r="A329" s="3">
        <v>42479</v>
      </c>
      <c r="B329" s="8">
        <v>13.290023039999999</v>
      </c>
      <c r="C329" s="8">
        <v>112.68</v>
      </c>
      <c r="D329" s="8">
        <v>63.32</v>
      </c>
      <c r="E329">
        <v>0</v>
      </c>
      <c r="G329">
        <f t="shared" si="35"/>
        <v>101.60340087277378</v>
      </c>
      <c r="H329">
        <f t="shared" si="36"/>
        <v>7.4947666495503995E-3</v>
      </c>
      <c r="I329">
        <f t="shared" si="37"/>
        <v>7.4947666495503995E-3</v>
      </c>
      <c r="K329">
        <f t="shared" si="38"/>
        <v>1.4339622641509342E-2</v>
      </c>
      <c r="L329">
        <f t="shared" si="39"/>
        <v>1.5775714414495656E-2</v>
      </c>
      <c r="M329">
        <f t="shared" si="40"/>
        <v>1.6862052352657697E-2</v>
      </c>
    </row>
    <row r="330" spans="1:13" x14ac:dyDescent="0.3">
      <c r="A330" s="3">
        <v>42480</v>
      </c>
      <c r="B330" s="8">
        <v>13.48779124</v>
      </c>
      <c r="C330" s="8">
        <v>113.58</v>
      </c>
      <c r="D330" s="8">
        <v>64.239999999999995</v>
      </c>
      <c r="E330">
        <v>0</v>
      </c>
      <c r="G330">
        <f t="shared" si="35"/>
        <v>101.11715789490792</v>
      </c>
      <c r="H330">
        <f t="shared" si="36"/>
        <v>-4.7856958890059031E-3</v>
      </c>
      <c r="I330">
        <f t="shared" si="37"/>
        <v>-4.7856958890059031E-3</v>
      </c>
      <c r="K330">
        <f t="shared" si="38"/>
        <v>1.4880952380952328E-2</v>
      </c>
      <c r="L330">
        <f t="shared" si="39"/>
        <v>7.9872204472841712E-3</v>
      </c>
      <c r="M330">
        <f t="shared" si="40"/>
        <v>1.4529374605180001E-2</v>
      </c>
    </row>
    <row r="331" spans="1:13" x14ac:dyDescent="0.3">
      <c r="A331" s="3">
        <v>42481</v>
      </c>
      <c r="B331" s="8">
        <v>13.49767965</v>
      </c>
      <c r="C331" s="8">
        <v>113.57</v>
      </c>
      <c r="D331" s="8">
        <v>63.6</v>
      </c>
      <c r="E331">
        <v>0</v>
      </c>
      <c r="G331">
        <f t="shared" si="35"/>
        <v>99.628210658065171</v>
      </c>
      <c r="H331">
        <f t="shared" si="36"/>
        <v>-1.4724971190252623E-2</v>
      </c>
      <c r="I331">
        <f t="shared" si="37"/>
        <v>-1.4724971190252623E-2</v>
      </c>
      <c r="K331">
        <f t="shared" si="38"/>
        <v>7.3313782991202281E-4</v>
      </c>
      <c r="L331">
        <f t="shared" si="39"/>
        <v>-8.8043669660198276E-5</v>
      </c>
      <c r="M331">
        <f t="shared" si="40"/>
        <v>-9.9626400996263298E-3</v>
      </c>
    </row>
    <row r="332" spans="1:13" x14ac:dyDescent="0.3">
      <c r="A332" s="3">
        <v>42482</v>
      </c>
      <c r="B332" s="8">
        <v>13.458126009999999</v>
      </c>
      <c r="C332" s="8">
        <v>113.32</v>
      </c>
      <c r="D332" s="8">
        <v>63.97</v>
      </c>
      <c r="E332">
        <v>0</v>
      </c>
      <c r="G332">
        <f t="shared" si="35"/>
        <v>100.07398935648249</v>
      </c>
      <c r="H332">
        <f t="shared" si="36"/>
        <v>4.4744224098058893E-3</v>
      </c>
      <c r="I332">
        <f t="shared" si="37"/>
        <v>4.4744224098058893E-3</v>
      </c>
      <c r="K332">
        <f t="shared" si="38"/>
        <v>-2.930402930403031E-3</v>
      </c>
      <c r="L332">
        <f t="shared" si="39"/>
        <v>-2.2012855507616003E-3</v>
      </c>
      <c r="M332">
        <f t="shared" si="40"/>
        <v>5.8176100628930527E-3</v>
      </c>
    </row>
    <row r="333" spans="1:13" x14ac:dyDescent="0.3">
      <c r="A333" s="3">
        <v>42485</v>
      </c>
      <c r="B333" s="8">
        <v>13.42846078</v>
      </c>
      <c r="C333" s="8">
        <v>113.51</v>
      </c>
      <c r="D333" s="8">
        <v>63.6</v>
      </c>
      <c r="E333">
        <v>0</v>
      </c>
      <c r="G333">
        <f t="shared" si="35"/>
        <v>99.846242653777978</v>
      </c>
      <c r="H333">
        <f t="shared" si="36"/>
        <v>-2.2757831897081138E-3</v>
      </c>
      <c r="I333">
        <f t="shared" si="37"/>
        <v>-2.2757831897081138E-3</v>
      </c>
      <c r="K333">
        <f t="shared" si="38"/>
        <v>-2.2042615723731895E-3</v>
      </c>
      <c r="L333">
        <f t="shared" si="39"/>
        <v>1.6766678432758031E-3</v>
      </c>
      <c r="M333">
        <f t="shared" si="40"/>
        <v>-5.7839612318273392E-3</v>
      </c>
    </row>
    <row r="334" spans="1:13" x14ac:dyDescent="0.3">
      <c r="A334" s="3">
        <v>42486</v>
      </c>
      <c r="B334" s="8">
        <v>13.59656375</v>
      </c>
      <c r="C334" s="8">
        <v>112.91</v>
      </c>
      <c r="D334" s="8">
        <v>63.93</v>
      </c>
      <c r="E334">
        <v>0</v>
      </c>
      <c r="G334">
        <f t="shared" si="35"/>
        <v>100.05217354983816</v>
      </c>
      <c r="H334">
        <f t="shared" si="36"/>
        <v>2.0624801753859057E-3</v>
      </c>
      <c r="I334">
        <f t="shared" si="37"/>
        <v>2.0624801753859057E-3</v>
      </c>
      <c r="K334">
        <f t="shared" si="38"/>
        <v>1.2518409425625876E-2</v>
      </c>
      <c r="L334">
        <f t="shared" si="39"/>
        <v>-5.2858778962207031E-3</v>
      </c>
      <c r="M334">
        <f t="shared" si="40"/>
        <v>5.188679245283101E-3</v>
      </c>
    </row>
    <row r="335" spans="1:13" x14ac:dyDescent="0.3">
      <c r="A335" s="3">
        <v>42487</v>
      </c>
      <c r="B335" s="8">
        <v>13.507568060000001</v>
      </c>
      <c r="C335" s="8">
        <v>112.77</v>
      </c>
      <c r="D335" s="8">
        <v>64.11</v>
      </c>
      <c r="E335">
        <v>0</v>
      </c>
      <c r="G335">
        <f t="shared" si="35"/>
        <v>99.973017066538631</v>
      </c>
      <c r="H335">
        <f t="shared" si="36"/>
        <v>-7.9115206088054002E-4</v>
      </c>
      <c r="I335">
        <f t="shared" si="37"/>
        <v>-7.9115206088054002E-4</v>
      </c>
      <c r="K335">
        <f t="shared" si="38"/>
        <v>-6.545454545454521E-3</v>
      </c>
      <c r="L335">
        <f t="shared" si="39"/>
        <v>-1.2399256044637319E-3</v>
      </c>
      <c r="M335">
        <f t="shared" si="40"/>
        <v>2.8155795401219041E-3</v>
      </c>
    </row>
    <row r="336" spans="1:13" x14ac:dyDescent="0.3">
      <c r="A336" s="3">
        <v>42488</v>
      </c>
      <c r="B336" s="8">
        <v>13.932769689999999</v>
      </c>
      <c r="C336" s="8">
        <v>112.48</v>
      </c>
      <c r="D336" s="8">
        <v>63.6</v>
      </c>
      <c r="E336">
        <v>0</v>
      </c>
      <c r="G336">
        <f t="shared" si="35"/>
        <v>99.897109718826897</v>
      </c>
      <c r="H336">
        <f t="shared" si="36"/>
        <v>-7.5927835269007371E-4</v>
      </c>
      <c r="I336">
        <f t="shared" si="37"/>
        <v>-7.5927835269007371E-4</v>
      </c>
      <c r="K336">
        <f t="shared" si="38"/>
        <v>3.1478770131771361E-2</v>
      </c>
      <c r="L336">
        <f t="shared" si="39"/>
        <v>-2.5716059235612043E-3</v>
      </c>
      <c r="M336">
        <f t="shared" si="40"/>
        <v>-7.9550772110434931E-3</v>
      </c>
    </row>
    <row r="337" spans="1:13" x14ac:dyDescent="0.3">
      <c r="A337" s="3">
        <v>42489</v>
      </c>
      <c r="B337" s="8">
        <v>13.408683959999999</v>
      </c>
      <c r="C337" s="8">
        <v>112.08</v>
      </c>
      <c r="D337" s="8">
        <v>63.2</v>
      </c>
      <c r="E337">
        <v>0</v>
      </c>
      <c r="G337">
        <f t="shared" si="35"/>
        <v>99.184583406277227</v>
      </c>
      <c r="H337">
        <f t="shared" si="36"/>
        <v>-7.1326018796256108E-3</v>
      </c>
      <c r="I337">
        <f t="shared" si="37"/>
        <v>-7.1326018796256108E-3</v>
      </c>
      <c r="K337">
        <f t="shared" si="38"/>
        <v>-3.7615330021291693E-2</v>
      </c>
      <c r="L337">
        <f t="shared" si="39"/>
        <v>-3.5561877667141806E-3</v>
      </c>
      <c r="M337">
        <f t="shared" si="40"/>
        <v>-6.2893081761006275E-3</v>
      </c>
    </row>
    <row r="338" spans="1:13" x14ac:dyDescent="0.3">
      <c r="A338" s="3">
        <v>42492</v>
      </c>
      <c r="B338" s="8">
        <v>13.468014419999999</v>
      </c>
      <c r="C338" s="8">
        <v>112.75</v>
      </c>
      <c r="D338" s="8">
        <v>63.79</v>
      </c>
      <c r="E338">
        <v>1.0000000000000001E-5</v>
      </c>
      <c r="G338">
        <f t="shared" si="35"/>
        <v>100.70785929891528</v>
      </c>
      <c r="H338">
        <f t="shared" si="36"/>
        <v>1.5357990529621501E-2</v>
      </c>
      <c r="I338">
        <f t="shared" si="37"/>
        <v>1.5347990529621502E-2</v>
      </c>
      <c r="K338">
        <f t="shared" si="38"/>
        <v>4.4247787610618428E-3</v>
      </c>
      <c r="L338">
        <f t="shared" si="39"/>
        <v>5.9778729478943138E-3</v>
      </c>
      <c r="M338">
        <f t="shared" si="40"/>
        <v>9.3354430379746223E-3</v>
      </c>
    </row>
    <row r="339" spans="1:13" x14ac:dyDescent="0.3">
      <c r="A339" s="3">
        <v>42493</v>
      </c>
      <c r="B339" s="8">
        <v>13.280134629999999</v>
      </c>
      <c r="C339" s="8">
        <v>112.69</v>
      </c>
      <c r="D339" s="8">
        <v>62.56</v>
      </c>
      <c r="E339">
        <v>1.0000000000000001E-5</v>
      </c>
      <c r="G339">
        <f t="shared" si="35"/>
        <v>99.100585290070057</v>
      </c>
      <c r="H339">
        <f t="shared" si="36"/>
        <v>-1.5959767390890556E-2</v>
      </c>
      <c r="I339">
        <f t="shared" si="37"/>
        <v>-1.5969767390890555E-2</v>
      </c>
      <c r="K339">
        <f t="shared" si="38"/>
        <v>-1.3950073421439058E-2</v>
      </c>
      <c r="L339">
        <f t="shared" si="39"/>
        <v>-5.321507760532862E-4</v>
      </c>
      <c r="M339">
        <f t="shared" si="40"/>
        <v>-1.9282019125254735E-2</v>
      </c>
    </row>
    <row r="340" spans="1:13" x14ac:dyDescent="0.3">
      <c r="A340" s="3">
        <v>42494</v>
      </c>
      <c r="B340" s="8">
        <v>13.161473709999999</v>
      </c>
      <c r="C340" s="8">
        <v>112.22</v>
      </c>
      <c r="D340" s="8">
        <v>61.57</v>
      </c>
      <c r="E340">
        <v>1.0000000000000001E-5</v>
      </c>
      <c r="G340">
        <f t="shared" si="35"/>
        <v>99.094438980181323</v>
      </c>
      <c r="H340">
        <f t="shared" si="36"/>
        <v>-6.2020924202821348E-5</v>
      </c>
      <c r="I340">
        <f t="shared" si="37"/>
        <v>-7.2020924202821347E-5</v>
      </c>
      <c r="K340">
        <f t="shared" si="38"/>
        <v>-8.9352196574832288E-3</v>
      </c>
      <c r="L340">
        <f t="shared" si="39"/>
        <v>-4.1707338716833187E-3</v>
      </c>
      <c r="M340">
        <f t="shared" si="40"/>
        <v>-1.5824808184143224E-2</v>
      </c>
    </row>
    <row r="341" spans="1:13" x14ac:dyDescent="0.3">
      <c r="A341" s="3">
        <v>42495</v>
      </c>
      <c r="B341" s="8">
        <v>13.17136212</v>
      </c>
      <c r="C341" s="8">
        <v>112.88</v>
      </c>
      <c r="D341" s="8">
        <v>61.24</v>
      </c>
      <c r="E341">
        <v>1.0000000000000001E-5</v>
      </c>
      <c r="G341">
        <f t="shared" si="35"/>
        <v>100.11135449544504</v>
      </c>
      <c r="H341">
        <f t="shared" si="36"/>
        <v>1.0262084590509701E-2</v>
      </c>
      <c r="I341">
        <f t="shared" si="37"/>
        <v>1.0252084590509702E-2</v>
      </c>
      <c r="K341">
        <f t="shared" si="38"/>
        <v>7.513148009015147E-4</v>
      </c>
      <c r="L341">
        <f t="shared" si="39"/>
        <v>5.8813045802887931E-3</v>
      </c>
      <c r="M341">
        <f t="shared" si="40"/>
        <v>-5.3597531265225928E-3</v>
      </c>
    </row>
    <row r="342" spans="1:13" x14ac:dyDescent="0.3">
      <c r="A342" s="3">
        <v>42496</v>
      </c>
      <c r="B342" s="8">
        <v>13.290023039999999</v>
      </c>
      <c r="C342" s="8">
        <v>112.74</v>
      </c>
      <c r="D342" s="8">
        <v>61.6</v>
      </c>
      <c r="E342">
        <v>1.0000000000000001E-5</v>
      </c>
      <c r="G342">
        <f t="shared" si="35"/>
        <v>100.25127558096337</v>
      </c>
      <c r="H342">
        <f t="shared" si="36"/>
        <v>1.3976545040621513E-3</v>
      </c>
      <c r="I342">
        <f t="shared" si="37"/>
        <v>1.3876545040621513E-3</v>
      </c>
      <c r="K342">
        <f t="shared" si="38"/>
        <v>9.009009009008917E-3</v>
      </c>
      <c r="L342">
        <f t="shared" si="39"/>
        <v>-1.2402551381998084E-3</v>
      </c>
      <c r="M342">
        <f t="shared" si="40"/>
        <v>5.878510777269641E-3</v>
      </c>
    </row>
    <row r="343" spans="1:13" x14ac:dyDescent="0.3">
      <c r="A343" s="3">
        <v>42499</v>
      </c>
      <c r="B343" s="8">
        <v>13.17136212</v>
      </c>
      <c r="C343" s="8">
        <v>113.72</v>
      </c>
      <c r="D343" s="8">
        <v>61.21</v>
      </c>
      <c r="E343">
        <v>1.0000000000000001E-5</v>
      </c>
      <c r="G343">
        <f t="shared" si="35"/>
        <v>100.11922456211342</v>
      </c>
      <c r="H343">
        <f t="shared" si="36"/>
        <v>-1.3172003855781433E-3</v>
      </c>
      <c r="I343">
        <f t="shared" si="37"/>
        <v>-1.3272003855781434E-3</v>
      </c>
      <c r="K343">
        <f t="shared" si="38"/>
        <v>-8.9285714285713969E-3</v>
      </c>
      <c r="L343">
        <f t="shared" si="39"/>
        <v>8.6925669682456075E-3</v>
      </c>
      <c r="M343">
        <f t="shared" si="40"/>
        <v>-6.3311688311687986E-3</v>
      </c>
    </row>
    <row r="344" spans="1:13" x14ac:dyDescent="0.3">
      <c r="A344" s="3">
        <v>42500</v>
      </c>
      <c r="B344" s="8">
        <v>13.339465089999999</v>
      </c>
      <c r="C344" s="8">
        <v>114.67</v>
      </c>
      <c r="D344" s="8">
        <v>62.04</v>
      </c>
      <c r="E344">
        <v>1.0000000000000001E-5</v>
      </c>
      <c r="G344">
        <f t="shared" si="35"/>
        <v>101.07749957742284</v>
      </c>
      <c r="H344">
        <f t="shared" si="36"/>
        <v>9.5713387663616256E-3</v>
      </c>
      <c r="I344">
        <f t="shared" si="37"/>
        <v>9.561338766361626E-3</v>
      </c>
      <c r="K344">
        <f t="shared" si="38"/>
        <v>1.2762762762762669E-2</v>
      </c>
      <c r="L344">
        <f t="shared" si="39"/>
        <v>8.3538515652479273E-3</v>
      </c>
      <c r="M344">
        <f t="shared" si="40"/>
        <v>1.3559875837281465E-2</v>
      </c>
    </row>
    <row r="345" spans="1:13" x14ac:dyDescent="0.3">
      <c r="A345" s="3">
        <v>42501</v>
      </c>
      <c r="B345" s="8">
        <v>13.17136212</v>
      </c>
      <c r="C345" s="8">
        <v>114.37</v>
      </c>
      <c r="D345" s="8">
        <v>61.81</v>
      </c>
      <c r="E345">
        <v>1.0000000000000001E-5</v>
      </c>
      <c r="G345">
        <f t="shared" si="35"/>
        <v>99.592668440122978</v>
      </c>
      <c r="H345">
        <f t="shared" si="36"/>
        <v>-1.4690026400608791E-2</v>
      </c>
      <c r="I345">
        <f t="shared" si="37"/>
        <v>-1.4700026400608791E-2</v>
      </c>
      <c r="K345">
        <f t="shared" si="38"/>
        <v>-1.2601927353595221E-2</v>
      </c>
      <c r="L345">
        <f t="shared" si="39"/>
        <v>-2.6162030173541018E-3</v>
      </c>
      <c r="M345">
        <f t="shared" si="40"/>
        <v>-3.7072856221791461E-3</v>
      </c>
    </row>
    <row r="346" spans="1:13" x14ac:dyDescent="0.3">
      <c r="A346" s="3">
        <v>42502</v>
      </c>
      <c r="B346" s="8">
        <v>13.201027349999999</v>
      </c>
      <c r="C346" s="8">
        <v>114.23</v>
      </c>
      <c r="D346" s="8">
        <v>61.77</v>
      </c>
      <c r="E346">
        <v>1.0000000000000001E-5</v>
      </c>
      <c r="G346">
        <f t="shared" si="35"/>
        <v>99.935734546752613</v>
      </c>
      <c r="H346">
        <f t="shared" si="36"/>
        <v>3.4446923855233624E-3</v>
      </c>
      <c r="I346">
        <f t="shared" si="37"/>
        <v>3.4346923855233624E-3</v>
      </c>
      <c r="K346">
        <f t="shared" si="38"/>
        <v>2.2522522522521182E-3</v>
      </c>
      <c r="L346">
        <f t="shared" si="39"/>
        <v>-1.2240972282940854E-3</v>
      </c>
      <c r="M346">
        <f t="shared" si="40"/>
        <v>-6.471444750040245E-4</v>
      </c>
    </row>
    <row r="347" spans="1:13" x14ac:dyDescent="0.3">
      <c r="A347" s="3">
        <v>42503</v>
      </c>
      <c r="B347" s="8">
        <v>13.07247802</v>
      </c>
      <c r="C347" s="8">
        <v>113.56</v>
      </c>
      <c r="D347" s="8">
        <v>61.2</v>
      </c>
      <c r="E347">
        <v>1.0000000000000001E-5</v>
      </c>
      <c r="G347">
        <f t="shared" si="35"/>
        <v>99.246348357701564</v>
      </c>
      <c r="H347">
        <f t="shared" si="36"/>
        <v>-6.8982951111300483E-3</v>
      </c>
      <c r="I347">
        <f t="shared" si="37"/>
        <v>-6.9082951111300479E-3</v>
      </c>
      <c r="K347">
        <f t="shared" si="38"/>
        <v>-9.7378277153556958E-3</v>
      </c>
      <c r="L347">
        <f t="shared" si="39"/>
        <v>-5.8653593626892819E-3</v>
      </c>
      <c r="M347">
        <f t="shared" si="40"/>
        <v>-9.2277804759591797E-3</v>
      </c>
    </row>
    <row r="348" spans="1:13" x14ac:dyDescent="0.3">
      <c r="A348" s="3">
        <v>42506</v>
      </c>
      <c r="B348" s="8">
        <v>13.17136212</v>
      </c>
      <c r="C348" s="8">
        <v>114.44</v>
      </c>
      <c r="D348" s="8">
        <v>61.66</v>
      </c>
      <c r="E348">
        <v>1.0000000000000001E-5</v>
      </c>
      <c r="G348">
        <f t="shared" si="35"/>
        <v>100.76421979164071</v>
      </c>
      <c r="H348">
        <f t="shared" si="36"/>
        <v>1.5293977653147106E-2</v>
      </c>
      <c r="I348">
        <f t="shared" si="37"/>
        <v>1.5283977653147107E-2</v>
      </c>
      <c r="K348">
        <f t="shared" si="38"/>
        <v>7.5642965204234525E-3</v>
      </c>
      <c r="L348">
        <f t="shared" si="39"/>
        <v>7.7492074674181399E-3</v>
      </c>
      <c r="M348">
        <f t="shared" si="40"/>
        <v>7.516339869281019E-3</v>
      </c>
    </row>
    <row r="349" spans="1:13" x14ac:dyDescent="0.3">
      <c r="A349" s="3">
        <v>42507</v>
      </c>
      <c r="B349" s="8">
        <v>12.99337074</v>
      </c>
      <c r="C349" s="8">
        <v>113.83</v>
      </c>
      <c r="D349" s="8">
        <v>61.66</v>
      </c>
      <c r="E349">
        <v>1.0000000000000001E-5</v>
      </c>
      <c r="G349">
        <f t="shared" si="35"/>
        <v>99.581792445685664</v>
      </c>
      <c r="H349">
        <f t="shared" si="36"/>
        <v>-1.1734595359345401E-2</v>
      </c>
      <c r="I349">
        <f t="shared" si="37"/>
        <v>-1.1744595359345401E-2</v>
      </c>
      <c r="K349">
        <f t="shared" si="38"/>
        <v>-1.3513513513513487E-2</v>
      </c>
      <c r="L349">
        <f t="shared" si="39"/>
        <v>-5.3303040894792098E-3</v>
      </c>
      <c r="M349">
        <f t="shared" si="40"/>
        <v>0</v>
      </c>
    </row>
    <row r="350" spans="1:13" x14ac:dyDescent="0.3">
      <c r="A350" s="3">
        <v>42508</v>
      </c>
      <c r="B350" s="8">
        <v>13.01314756</v>
      </c>
      <c r="C350" s="8">
        <v>113.59</v>
      </c>
      <c r="D350" s="8">
        <v>64.040000000000006</v>
      </c>
      <c r="E350">
        <v>1.0000000000000001E-5</v>
      </c>
      <c r="G350">
        <f t="shared" si="35"/>
        <v>101.35906006975802</v>
      </c>
      <c r="H350">
        <f t="shared" si="36"/>
        <v>1.7847315060548929E-2</v>
      </c>
      <c r="I350">
        <f t="shared" si="37"/>
        <v>1.783731506054893E-2</v>
      </c>
      <c r="K350">
        <f t="shared" si="38"/>
        <v>1.5220700152207556E-3</v>
      </c>
      <c r="L350">
        <f t="shared" si="39"/>
        <v>-2.1084072740050752E-3</v>
      </c>
      <c r="M350">
        <f t="shared" si="40"/>
        <v>3.8598767434317338E-2</v>
      </c>
    </row>
    <row r="351" spans="1:13" x14ac:dyDescent="0.3">
      <c r="A351" s="3">
        <v>42509</v>
      </c>
      <c r="B351" s="8">
        <v>12.94392869</v>
      </c>
      <c r="C351" s="8">
        <v>112.85</v>
      </c>
      <c r="D351" s="8">
        <v>63.39</v>
      </c>
      <c r="E351">
        <v>1.0000000000000001E-5</v>
      </c>
      <c r="G351">
        <f t="shared" si="35"/>
        <v>99.224265306997125</v>
      </c>
      <c r="H351">
        <f t="shared" si="36"/>
        <v>-2.1061706386105716E-2</v>
      </c>
      <c r="I351">
        <f t="shared" si="37"/>
        <v>-2.1071706386105716E-2</v>
      </c>
      <c r="K351">
        <f t="shared" si="38"/>
        <v>-5.3191489361702482E-3</v>
      </c>
      <c r="L351">
        <f t="shared" si="39"/>
        <v>-6.51465798045614E-3</v>
      </c>
      <c r="M351">
        <f t="shared" si="40"/>
        <v>-1.0149906308557277E-2</v>
      </c>
    </row>
    <row r="352" spans="1:13" x14ac:dyDescent="0.3">
      <c r="A352" s="3">
        <v>42510</v>
      </c>
      <c r="B352" s="8">
        <v>13.042812789999999</v>
      </c>
      <c r="C352" s="8">
        <v>112.64</v>
      </c>
      <c r="D352" s="8">
        <v>63.51</v>
      </c>
      <c r="E352">
        <v>1.0000000000000001E-5</v>
      </c>
      <c r="G352">
        <f t="shared" si="35"/>
        <v>100.05474143978637</v>
      </c>
      <c r="H352">
        <f t="shared" si="36"/>
        <v>8.3696879006336378E-3</v>
      </c>
      <c r="I352">
        <f t="shared" si="37"/>
        <v>8.3596879006336382E-3</v>
      </c>
      <c r="K352">
        <f t="shared" si="38"/>
        <v>7.6394194041251584E-3</v>
      </c>
      <c r="L352">
        <f t="shared" si="39"/>
        <v>-1.8608772707132681E-3</v>
      </c>
      <c r="M352">
        <f t="shared" si="40"/>
        <v>1.8930430667296605E-3</v>
      </c>
    </row>
    <row r="353" spans="1:13" x14ac:dyDescent="0.3">
      <c r="A353" s="3">
        <v>42513</v>
      </c>
      <c r="B353" s="8">
        <v>12.983482330000001</v>
      </c>
      <c r="C353" s="8">
        <v>112.16</v>
      </c>
      <c r="D353" s="8">
        <v>63.46</v>
      </c>
      <c r="E353">
        <v>1.0000000000000001E-5</v>
      </c>
      <c r="G353">
        <f t="shared" si="35"/>
        <v>99.701583586921103</v>
      </c>
      <c r="H353">
        <f t="shared" si="36"/>
        <v>-3.5296463494216557E-3</v>
      </c>
      <c r="I353">
        <f t="shared" si="37"/>
        <v>-3.5396463494216557E-3</v>
      </c>
      <c r="K353">
        <f t="shared" si="38"/>
        <v>-4.5489006823349332E-3</v>
      </c>
      <c r="L353">
        <f t="shared" si="39"/>
        <v>-4.2613636363636465E-3</v>
      </c>
      <c r="M353">
        <f t="shared" si="40"/>
        <v>-7.8727759407959397E-4</v>
      </c>
    </row>
    <row r="354" spans="1:13" x14ac:dyDescent="0.3">
      <c r="A354" s="3">
        <v>42514</v>
      </c>
      <c r="B354" s="8">
        <v>13.141696889999999</v>
      </c>
      <c r="C354" s="8">
        <v>112.69</v>
      </c>
      <c r="D354" s="8">
        <v>64.540000000000006</v>
      </c>
      <c r="E354">
        <v>1.0000000000000001E-5</v>
      </c>
      <c r="G354">
        <f t="shared" si="35"/>
        <v>101.01333213593331</v>
      </c>
      <c r="H354">
        <f t="shared" si="36"/>
        <v>1.3156747383742395E-2</v>
      </c>
      <c r="I354">
        <f t="shared" si="37"/>
        <v>1.3146747383742396E-2</v>
      </c>
      <c r="K354">
        <f t="shared" si="38"/>
        <v>1.2185833968012094E-2</v>
      </c>
      <c r="L354">
        <f t="shared" si="39"/>
        <v>4.7253922967189776E-3</v>
      </c>
      <c r="M354">
        <f t="shared" si="40"/>
        <v>1.7018594390167063E-2</v>
      </c>
    </row>
    <row r="355" spans="1:13" x14ac:dyDescent="0.3">
      <c r="A355" s="3">
        <v>42515</v>
      </c>
      <c r="B355" s="8">
        <v>13.36913032</v>
      </c>
      <c r="C355" s="8">
        <v>113.35</v>
      </c>
      <c r="D355" s="8">
        <v>65.52</v>
      </c>
      <c r="E355">
        <v>1.0000000000000001E-5</v>
      </c>
      <c r="G355">
        <f t="shared" si="35"/>
        <v>101.0566779823578</v>
      </c>
      <c r="H355">
        <f t="shared" si="36"/>
        <v>4.2911015316438039E-4</v>
      </c>
      <c r="I355">
        <f t="shared" si="37"/>
        <v>4.1911015316438037E-4</v>
      </c>
      <c r="K355">
        <f t="shared" si="38"/>
        <v>1.7306245297216138E-2</v>
      </c>
      <c r="L355">
        <f t="shared" si="39"/>
        <v>5.8567752240659132E-3</v>
      </c>
      <c r="M355">
        <f t="shared" si="40"/>
        <v>1.5184381778741596E-2</v>
      </c>
    </row>
    <row r="356" spans="1:13" x14ac:dyDescent="0.3">
      <c r="A356" s="3">
        <v>42516</v>
      </c>
      <c r="B356" s="8">
        <v>13.30979986</v>
      </c>
      <c r="C356" s="8">
        <v>112.9</v>
      </c>
      <c r="D356" s="8">
        <v>65.03</v>
      </c>
      <c r="E356">
        <v>1.0000000000000001E-5</v>
      </c>
      <c r="G356">
        <f t="shared" si="35"/>
        <v>99.466062963808156</v>
      </c>
      <c r="H356">
        <f t="shared" si="36"/>
        <v>-1.5739830858355841E-2</v>
      </c>
      <c r="I356">
        <f t="shared" si="37"/>
        <v>-1.5749830858355841E-2</v>
      </c>
      <c r="K356">
        <f t="shared" si="38"/>
        <v>-4.4378698224851743E-3</v>
      </c>
      <c r="L356">
        <f t="shared" si="39"/>
        <v>-3.970004411115946E-3</v>
      </c>
      <c r="M356">
        <f t="shared" si="40"/>
        <v>-7.4786324786324521E-3</v>
      </c>
    </row>
    <row r="357" spans="1:13" x14ac:dyDescent="0.3">
      <c r="A357" s="3">
        <v>42517</v>
      </c>
      <c r="B357" s="8">
        <v>13.29991145</v>
      </c>
      <c r="C357" s="8">
        <v>113.06</v>
      </c>
      <c r="D357" s="8">
        <v>65.430000000000007</v>
      </c>
      <c r="E357">
        <v>1.0000000000000001E-5</v>
      </c>
      <c r="G357">
        <f t="shared" si="35"/>
        <v>100.29721834663366</v>
      </c>
      <c r="H357">
        <f t="shared" si="36"/>
        <v>8.3561705174550749E-3</v>
      </c>
      <c r="I357">
        <f t="shared" si="37"/>
        <v>8.3461705174550753E-3</v>
      </c>
      <c r="K357">
        <f t="shared" si="38"/>
        <v>-7.429420505200568E-4</v>
      </c>
      <c r="L357">
        <f t="shared" si="39"/>
        <v>1.4171833480955964E-3</v>
      </c>
      <c r="M357">
        <f t="shared" si="40"/>
        <v>6.1510072274335581E-3</v>
      </c>
    </row>
    <row r="358" spans="1:13" x14ac:dyDescent="0.3">
      <c r="A358" s="3">
        <v>42521</v>
      </c>
      <c r="B358" s="8">
        <v>13.339465089999999</v>
      </c>
      <c r="C358" s="8">
        <v>112.69</v>
      </c>
      <c r="D358" s="8">
        <v>65.27</v>
      </c>
      <c r="E358">
        <v>1.0000000000000001E-5</v>
      </c>
      <c r="G358">
        <f t="shared" si="35"/>
        <v>99.769335484878624</v>
      </c>
      <c r="H358">
        <f t="shared" si="36"/>
        <v>-5.2631854647318121E-3</v>
      </c>
      <c r="I358">
        <f t="shared" si="37"/>
        <v>-5.2731854647318117E-3</v>
      </c>
      <c r="K358">
        <f t="shared" si="38"/>
        <v>2.9739776951671626E-3</v>
      </c>
      <c r="L358">
        <f t="shared" si="39"/>
        <v>-3.2725986202016832E-3</v>
      </c>
      <c r="M358">
        <f t="shared" si="40"/>
        <v>-2.4453614549901914E-3</v>
      </c>
    </row>
    <row r="359" spans="1:13" x14ac:dyDescent="0.3">
      <c r="A359" s="3">
        <v>42522</v>
      </c>
      <c r="B359" s="8">
        <v>12.963705509999999</v>
      </c>
      <c r="C359" s="8">
        <v>112.78</v>
      </c>
      <c r="D359" s="8">
        <v>65.69</v>
      </c>
      <c r="E359">
        <v>1.0000000000000001E-5</v>
      </c>
      <c r="G359">
        <f t="shared" si="35"/>
        <v>99.988371655104231</v>
      </c>
      <c r="H359">
        <f t="shared" si="36"/>
        <v>2.1954257704643876E-3</v>
      </c>
      <c r="I359">
        <f t="shared" si="37"/>
        <v>2.1854257704643876E-3</v>
      </c>
      <c r="K359">
        <f t="shared" si="38"/>
        <v>-2.8169014084507116E-2</v>
      </c>
      <c r="L359">
        <f t="shared" si="39"/>
        <v>7.9865116691801852E-4</v>
      </c>
      <c r="M359">
        <f t="shared" si="40"/>
        <v>6.4348092538686341E-3</v>
      </c>
    </row>
    <row r="360" spans="1:13" x14ac:dyDescent="0.3">
      <c r="A360" s="3">
        <v>42523</v>
      </c>
      <c r="B360" s="8">
        <v>13.06258961</v>
      </c>
      <c r="C360" s="8">
        <v>114.49</v>
      </c>
      <c r="D360" s="8">
        <v>65.81</v>
      </c>
      <c r="E360">
        <v>1.0000000000000001E-5</v>
      </c>
      <c r="G360">
        <f t="shared" si="35"/>
        <v>100.93543448738956</v>
      </c>
      <c r="H360">
        <f t="shared" si="36"/>
        <v>9.4717297282536084E-3</v>
      </c>
      <c r="I360">
        <f t="shared" si="37"/>
        <v>9.4617297282536088E-3</v>
      </c>
      <c r="K360">
        <f t="shared" si="38"/>
        <v>7.6277650648362005E-3</v>
      </c>
      <c r="L360">
        <f t="shared" si="39"/>
        <v>1.5162262812555394E-2</v>
      </c>
      <c r="M360">
        <f t="shared" si="40"/>
        <v>1.8267620642411497E-3</v>
      </c>
    </row>
    <row r="361" spans="1:13" x14ac:dyDescent="0.3">
      <c r="A361" s="3">
        <v>42524</v>
      </c>
      <c r="B361" s="8">
        <v>12.894486639999998</v>
      </c>
      <c r="C361" s="8">
        <v>114.76</v>
      </c>
      <c r="D361" s="8">
        <v>64.64</v>
      </c>
      <c r="E361">
        <v>1.0000000000000001E-5</v>
      </c>
      <c r="G361">
        <f t="shared" si="35"/>
        <v>99.318476577892483</v>
      </c>
      <c r="H361">
        <f t="shared" si="36"/>
        <v>-1.6019725061956258E-2</v>
      </c>
      <c r="I361">
        <f t="shared" si="37"/>
        <v>-1.6029725061956258E-2</v>
      </c>
      <c r="K361">
        <f t="shared" si="38"/>
        <v>-1.2869038607115968E-2</v>
      </c>
      <c r="L361">
        <f t="shared" si="39"/>
        <v>2.3582845663376872E-3</v>
      </c>
      <c r="M361">
        <f t="shared" si="40"/>
        <v>-1.7778453122625715E-2</v>
      </c>
    </row>
    <row r="362" spans="1:13" x14ac:dyDescent="0.3">
      <c r="A362" s="3">
        <v>42527</v>
      </c>
      <c r="B362" s="8">
        <v>13.032924379999999</v>
      </c>
      <c r="C362" s="8">
        <v>115.77</v>
      </c>
      <c r="D362" s="8">
        <v>65.28</v>
      </c>
      <c r="E362">
        <v>1.0000000000000001E-5</v>
      </c>
      <c r="G362">
        <f t="shared" si="35"/>
        <v>100.94177380874308</v>
      </c>
      <c r="H362">
        <f t="shared" si="36"/>
        <v>1.6344362970343029E-2</v>
      </c>
      <c r="I362">
        <f t="shared" si="37"/>
        <v>1.633436297034303E-2</v>
      </c>
      <c r="K362">
        <f t="shared" si="38"/>
        <v>1.0736196319018454E-2</v>
      </c>
      <c r="L362">
        <f t="shared" si="39"/>
        <v>8.8009759498082207E-3</v>
      </c>
      <c r="M362">
        <f t="shared" si="40"/>
        <v>9.9009900990099098E-3</v>
      </c>
    </row>
    <row r="363" spans="1:13" x14ac:dyDescent="0.3">
      <c r="A363" s="3">
        <v>42528</v>
      </c>
      <c r="B363" s="8">
        <v>13.230692580000001</v>
      </c>
      <c r="C363" s="8">
        <v>115.73</v>
      </c>
      <c r="D363" s="8">
        <v>65.06</v>
      </c>
      <c r="E363">
        <v>1.0000000000000001E-5</v>
      </c>
      <c r="G363">
        <f t="shared" si="35"/>
        <v>100.01428389927894</v>
      </c>
      <c r="H363">
        <f t="shared" si="36"/>
        <v>-9.1883654751448995E-3</v>
      </c>
      <c r="I363">
        <f t="shared" si="37"/>
        <v>-9.1983654751448991E-3</v>
      </c>
      <c r="K363">
        <f t="shared" si="38"/>
        <v>1.5174506828528278E-2</v>
      </c>
      <c r="L363">
        <f t="shared" si="39"/>
        <v>-3.455126544008591E-4</v>
      </c>
      <c r="M363">
        <f t="shared" si="40"/>
        <v>-3.3700980392156188E-3</v>
      </c>
    </row>
    <row r="364" spans="1:13" x14ac:dyDescent="0.3">
      <c r="A364" s="3">
        <v>42529</v>
      </c>
      <c r="B364" s="8">
        <v>13.210915759999999</v>
      </c>
      <c r="C364" s="8">
        <v>115.8</v>
      </c>
      <c r="D364" s="8">
        <v>65.25</v>
      </c>
      <c r="E364">
        <v>1.0000000000000001E-5</v>
      </c>
      <c r="G364">
        <f t="shared" si="35"/>
        <v>100.12561663469501</v>
      </c>
      <c r="H364">
        <f t="shared" si="36"/>
        <v>1.1131683503147194E-3</v>
      </c>
      <c r="I364">
        <f t="shared" si="37"/>
        <v>1.1031683503147194E-3</v>
      </c>
      <c r="K364">
        <f t="shared" si="38"/>
        <v>-1.494768310911998E-3</v>
      </c>
      <c r="L364">
        <f t="shared" si="39"/>
        <v>6.0485613064886756E-4</v>
      </c>
      <c r="M364">
        <f t="shared" si="40"/>
        <v>2.9203811865969875E-3</v>
      </c>
    </row>
    <row r="365" spans="1:13" x14ac:dyDescent="0.3">
      <c r="A365" s="3">
        <v>42530</v>
      </c>
      <c r="B365" s="8">
        <v>13.11203166</v>
      </c>
      <c r="C365" s="8">
        <v>117</v>
      </c>
      <c r="D365" s="8">
        <v>64.75</v>
      </c>
      <c r="E365">
        <v>1.0000000000000001E-5</v>
      </c>
      <c r="G365">
        <f t="shared" si="35"/>
        <v>100.17090205898454</v>
      </c>
      <c r="H365">
        <f t="shared" si="36"/>
        <v>4.5228609632186334E-4</v>
      </c>
      <c r="I365">
        <f t="shared" si="37"/>
        <v>4.4228609632186331E-4</v>
      </c>
      <c r="K365">
        <f t="shared" si="38"/>
        <v>-7.4850299401196807E-3</v>
      </c>
      <c r="L365">
        <f t="shared" si="39"/>
        <v>1.0362694300518172E-2</v>
      </c>
      <c r="M365">
        <f t="shared" si="40"/>
        <v>-7.6628352490420992E-3</v>
      </c>
    </row>
    <row r="366" spans="1:13" x14ac:dyDescent="0.3">
      <c r="A366" s="3">
        <v>42531</v>
      </c>
      <c r="B366" s="8">
        <v>12.953817099999998</v>
      </c>
      <c r="C366" s="8">
        <v>117.01</v>
      </c>
      <c r="D366" s="8">
        <v>63.84</v>
      </c>
      <c r="E366">
        <v>1.0000000000000001E-5</v>
      </c>
      <c r="G366">
        <f t="shared" si="35"/>
        <v>99.349108227833739</v>
      </c>
      <c r="H366">
        <f t="shared" si="36"/>
        <v>-8.2039176473313047E-3</v>
      </c>
      <c r="I366">
        <f t="shared" si="37"/>
        <v>-8.2139176473313043E-3</v>
      </c>
      <c r="K366">
        <f t="shared" si="38"/>
        <v>-1.2066365007541546E-2</v>
      </c>
      <c r="L366">
        <f t="shared" si="39"/>
        <v>8.5470085470218393E-5</v>
      </c>
      <c r="M366">
        <f t="shared" si="40"/>
        <v>-1.4054054054054022E-2</v>
      </c>
    </row>
    <row r="367" spans="1:13" x14ac:dyDescent="0.3">
      <c r="A367" s="3">
        <v>42534</v>
      </c>
      <c r="B367" s="8">
        <v>12.83515618</v>
      </c>
      <c r="C367" s="8">
        <v>116.79</v>
      </c>
      <c r="D367" s="8">
        <v>63.27</v>
      </c>
      <c r="E367">
        <v>1.0000000000000001E-5</v>
      </c>
      <c r="G367">
        <f t="shared" si="35"/>
        <v>99.470446370585989</v>
      </c>
      <c r="H367">
        <f t="shared" si="36"/>
        <v>1.2213309703192898E-3</v>
      </c>
      <c r="I367">
        <f t="shared" si="37"/>
        <v>1.2113309703192898E-3</v>
      </c>
      <c r="K367">
        <f t="shared" si="38"/>
        <v>-9.1603053435113102E-3</v>
      </c>
      <c r="L367">
        <f t="shared" si="39"/>
        <v>-1.8801811810956748E-3</v>
      </c>
      <c r="M367">
        <f t="shared" si="40"/>
        <v>-8.9285714285713969E-3</v>
      </c>
    </row>
    <row r="368" spans="1:13" x14ac:dyDescent="0.3">
      <c r="A368" s="3">
        <v>42535</v>
      </c>
      <c r="B368" s="8">
        <v>12.69671844</v>
      </c>
      <c r="C368" s="8">
        <v>117.12</v>
      </c>
      <c r="D368" s="8">
        <v>62.08</v>
      </c>
      <c r="E368">
        <v>1.0000000000000001E-5</v>
      </c>
      <c r="G368">
        <f t="shared" si="35"/>
        <v>99.325803237116574</v>
      </c>
      <c r="H368">
        <f t="shared" si="36"/>
        <v>-1.4541317421109534E-3</v>
      </c>
      <c r="I368">
        <f t="shared" si="37"/>
        <v>-1.4641317421109534E-3</v>
      </c>
      <c r="K368">
        <f t="shared" si="38"/>
        <v>-1.0785824345146411E-2</v>
      </c>
      <c r="L368">
        <f t="shared" si="39"/>
        <v>2.8255843822244664E-3</v>
      </c>
      <c r="M368">
        <f t="shared" si="40"/>
        <v>-1.8808281966176787E-2</v>
      </c>
    </row>
    <row r="369" spans="1:13" x14ac:dyDescent="0.3">
      <c r="A369" s="3">
        <v>42536</v>
      </c>
      <c r="B369" s="8">
        <v>12.864821409999999</v>
      </c>
      <c r="C369" s="8">
        <v>116.41</v>
      </c>
      <c r="D369" s="8">
        <v>61.97</v>
      </c>
      <c r="E369">
        <v>1.0000000000000001E-5</v>
      </c>
      <c r="G369">
        <f t="shared" si="35"/>
        <v>99.757520477457746</v>
      </c>
      <c r="H369">
        <f t="shared" si="36"/>
        <v>4.3464762052871642E-3</v>
      </c>
      <c r="I369">
        <f t="shared" si="37"/>
        <v>4.3364762052871646E-3</v>
      </c>
      <c r="K369">
        <f t="shared" si="38"/>
        <v>1.3239875389408073E-2</v>
      </c>
      <c r="L369">
        <f t="shared" si="39"/>
        <v>-6.0621584699454001E-3</v>
      </c>
      <c r="M369">
        <f t="shared" si="40"/>
        <v>-1.7719072164947836E-3</v>
      </c>
    </row>
    <row r="370" spans="1:13" x14ac:dyDescent="0.3">
      <c r="A370" s="3">
        <v>42537</v>
      </c>
      <c r="B370" s="8">
        <v>12.973593919999999</v>
      </c>
      <c r="C370" s="8">
        <v>116.64</v>
      </c>
      <c r="D370" s="8">
        <v>62.22</v>
      </c>
      <c r="E370">
        <v>1.0000000000000001E-5</v>
      </c>
      <c r="G370">
        <f t="shared" si="35"/>
        <v>100.34294267153597</v>
      </c>
      <c r="H370">
        <f t="shared" si="36"/>
        <v>5.8684517345286569E-3</v>
      </c>
      <c r="I370">
        <f t="shared" si="37"/>
        <v>5.8584517345286573E-3</v>
      </c>
      <c r="K370">
        <f t="shared" si="38"/>
        <v>8.4550345887779432E-3</v>
      </c>
      <c r="L370">
        <f t="shared" si="39"/>
        <v>1.9757752770381831E-3</v>
      </c>
      <c r="M370">
        <f t="shared" si="40"/>
        <v>4.0342101016621612E-3</v>
      </c>
    </row>
    <row r="371" spans="1:13" x14ac:dyDescent="0.3">
      <c r="A371" s="3">
        <v>42538</v>
      </c>
      <c r="B371" s="8">
        <v>13.11203166</v>
      </c>
      <c r="C371" s="8">
        <v>115.48</v>
      </c>
      <c r="D371" s="8">
        <v>62.28</v>
      </c>
      <c r="E371">
        <v>1.0000000000000001E-5</v>
      </c>
      <c r="G371">
        <f t="shared" si="35"/>
        <v>99.632079742489893</v>
      </c>
      <c r="H371">
        <f t="shared" si="36"/>
        <v>-7.084334085886046E-3</v>
      </c>
      <c r="I371">
        <f t="shared" si="37"/>
        <v>-7.0943340858860456E-3</v>
      </c>
      <c r="K371">
        <f t="shared" si="38"/>
        <v>1.0670731707317138E-2</v>
      </c>
      <c r="L371">
        <f t="shared" si="39"/>
        <v>-9.9451303155007054E-3</v>
      </c>
      <c r="M371">
        <f t="shared" si="40"/>
        <v>9.6432015429126494E-4</v>
      </c>
    </row>
    <row r="372" spans="1:13" x14ac:dyDescent="0.3">
      <c r="A372" s="3">
        <v>42541</v>
      </c>
      <c r="B372" s="8">
        <v>13.270246219999999</v>
      </c>
      <c r="C372" s="8">
        <v>116.54</v>
      </c>
      <c r="D372" s="8">
        <v>62.37</v>
      </c>
      <c r="E372">
        <v>1.0000000000000001E-5</v>
      </c>
      <c r="G372">
        <f t="shared" si="35"/>
        <v>100.65712927942201</v>
      </c>
      <c r="H372">
        <f t="shared" si="36"/>
        <v>1.0288348286831672E-2</v>
      </c>
      <c r="I372">
        <f t="shared" si="37"/>
        <v>1.0278348286831673E-2</v>
      </c>
      <c r="K372">
        <f t="shared" si="38"/>
        <v>1.2066365007541435E-2</v>
      </c>
      <c r="L372">
        <f t="shared" si="39"/>
        <v>9.1790786283338921E-3</v>
      </c>
      <c r="M372">
        <f t="shared" si="40"/>
        <v>1.4450867052022698E-3</v>
      </c>
    </row>
    <row r="373" spans="1:13" x14ac:dyDescent="0.3">
      <c r="A373" s="3">
        <v>42542</v>
      </c>
      <c r="B373" s="8">
        <v>13.07247802</v>
      </c>
      <c r="C373" s="8">
        <v>116.18</v>
      </c>
      <c r="D373" s="8">
        <v>62.95</v>
      </c>
      <c r="E373">
        <v>1.0000000000000001E-5</v>
      </c>
      <c r="G373">
        <f t="shared" si="35"/>
        <v>100.03346763169986</v>
      </c>
      <c r="H373">
        <f t="shared" si="36"/>
        <v>-6.1959013950305675E-3</v>
      </c>
      <c r="I373">
        <f t="shared" si="37"/>
        <v>-6.2059013950305671E-3</v>
      </c>
      <c r="K373">
        <f t="shared" si="38"/>
        <v>-1.4903129657227954E-2</v>
      </c>
      <c r="L373">
        <f t="shared" si="39"/>
        <v>-3.0890681311137591E-3</v>
      </c>
      <c r="M373">
        <f t="shared" si="40"/>
        <v>9.2993426326759554E-3</v>
      </c>
    </row>
    <row r="374" spans="1:13" x14ac:dyDescent="0.3">
      <c r="A374" s="3">
        <v>42543</v>
      </c>
      <c r="B374" s="8">
        <v>13.032924379999999</v>
      </c>
      <c r="C374" s="8">
        <v>116.46</v>
      </c>
      <c r="D374" s="8">
        <v>62.71</v>
      </c>
      <c r="E374">
        <v>1.0000000000000001E-5</v>
      </c>
      <c r="G374">
        <f t="shared" si="35"/>
        <v>99.949874280762202</v>
      </c>
      <c r="H374">
        <f t="shared" si="36"/>
        <v>-8.3565383582850927E-4</v>
      </c>
      <c r="I374">
        <f t="shared" si="37"/>
        <v>-8.456538358285093E-4</v>
      </c>
      <c r="K374">
        <f t="shared" si="38"/>
        <v>-3.0257186081695808E-3</v>
      </c>
      <c r="L374">
        <f t="shared" si="39"/>
        <v>2.4100533654671796E-3</v>
      </c>
      <c r="M374">
        <f t="shared" si="40"/>
        <v>-3.8125496425734928E-3</v>
      </c>
    </row>
    <row r="375" spans="1:13" x14ac:dyDescent="0.3">
      <c r="A375" s="3">
        <v>42544</v>
      </c>
      <c r="B375" s="8">
        <v>13.2504694</v>
      </c>
      <c r="C375" s="8">
        <v>117.38</v>
      </c>
      <c r="D375" s="8">
        <v>64.05</v>
      </c>
      <c r="E375">
        <v>1.0000000000000001E-5</v>
      </c>
      <c r="G375">
        <f t="shared" si="35"/>
        <v>101.38894883010934</v>
      </c>
      <c r="H375">
        <f t="shared" si="36"/>
        <v>1.4397962575768197E-2</v>
      </c>
      <c r="I375">
        <f t="shared" si="37"/>
        <v>1.4387962575768198E-2</v>
      </c>
      <c r="K375">
        <f t="shared" si="38"/>
        <v>1.6691957511380862E-2</v>
      </c>
      <c r="L375">
        <f t="shared" si="39"/>
        <v>7.8997080542675402E-3</v>
      </c>
      <c r="M375">
        <f t="shared" si="40"/>
        <v>2.1368202838462746E-2</v>
      </c>
    </row>
    <row r="376" spans="1:13" x14ac:dyDescent="0.3">
      <c r="A376" s="3">
        <v>42545</v>
      </c>
      <c r="B376" s="8">
        <v>12.380289319999999</v>
      </c>
      <c r="C376" s="8">
        <v>115.63</v>
      </c>
      <c r="D376" s="8">
        <v>59.6</v>
      </c>
      <c r="E376">
        <v>1.0000000000000001E-5</v>
      </c>
      <c r="G376">
        <f t="shared" si="35"/>
        <v>95.923655414080471</v>
      </c>
      <c r="H376">
        <f t="shared" si="36"/>
        <v>-5.3904231961085736E-2</v>
      </c>
      <c r="I376">
        <f t="shared" si="37"/>
        <v>-5.3914231961085739E-2</v>
      </c>
      <c r="K376">
        <f t="shared" si="38"/>
        <v>-6.5671641791044788E-2</v>
      </c>
      <c r="L376">
        <f t="shared" si="39"/>
        <v>-1.4908843073777489E-2</v>
      </c>
      <c r="M376">
        <f t="shared" si="40"/>
        <v>-6.9476971116315345E-2</v>
      </c>
    </row>
    <row r="377" spans="1:13" x14ac:dyDescent="0.3">
      <c r="A377" s="3">
        <v>42548</v>
      </c>
      <c r="B377" s="8">
        <v>12.024306559999999</v>
      </c>
      <c r="C377" s="8">
        <v>116.55</v>
      </c>
      <c r="D377" s="8">
        <v>57.61</v>
      </c>
      <c r="E377">
        <v>1.0000000000000001E-5</v>
      </c>
      <c r="G377">
        <f t="shared" si="35"/>
        <v>98.855027752118303</v>
      </c>
      <c r="H377">
        <f t="shared" si="36"/>
        <v>3.0559431095320111E-2</v>
      </c>
      <c r="I377">
        <f t="shared" si="37"/>
        <v>3.0549431095320111E-2</v>
      </c>
      <c r="K377">
        <f t="shared" si="38"/>
        <v>-2.8753993610223683E-2</v>
      </c>
      <c r="L377">
        <f t="shared" si="39"/>
        <v>7.9564126956672698E-3</v>
      </c>
      <c r="M377">
        <f t="shared" si="40"/>
        <v>-3.3389261744966481E-2</v>
      </c>
    </row>
    <row r="378" spans="1:13" x14ac:dyDescent="0.3">
      <c r="A378" s="3">
        <v>42549</v>
      </c>
      <c r="B378" s="8">
        <v>12.251739990000001</v>
      </c>
      <c r="C378" s="8">
        <v>118.23</v>
      </c>
      <c r="D378" s="8">
        <v>59.52</v>
      </c>
      <c r="E378">
        <v>1.0000000000000001E-5</v>
      </c>
      <c r="G378">
        <f t="shared" si="35"/>
        <v>102.19379158050425</v>
      </c>
      <c r="H378">
        <f t="shared" si="36"/>
        <v>3.377434516287825E-2</v>
      </c>
      <c r="I378">
        <f t="shared" si="37"/>
        <v>3.3764345162878247E-2</v>
      </c>
      <c r="K378">
        <f t="shared" si="38"/>
        <v>1.891447368421062E-2</v>
      </c>
      <c r="L378">
        <f t="shared" si="39"/>
        <v>1.4414414414414489E-2</v>
      </c>
      <c r="M378">
        <f t="shared" si="40"/>
        <v>3.3153966325290884E-2</v>
      </c>
    </row>
    <row r="379" spans="1:13" x14ac:dyDescent="0.3">
      <c r="A379" s="3">
        <v>42550</v>
      </c>
      <c r="B379" s="8">
        <v>12.40995455</v>
      </c>
      <c r="C379" s="8">
        <v>119.33</v>
      </c>
      <c r="D379" s="8">
        <v>61.2</v>
      </c>
      <c r="E379">
        <v>1.0000000000000001E-5</v>
      </c>
      <c r="G379">
        <f t="shared" si="35"/>
        <v>101.68027153210978</v>
      </c>
      <c r="H379">
        <f t="shared" si="36"/>
        <v>-5.0249632629584262E-3</v>
      </c>
      <c r="I379">
        <f t="shared" si="37"/>
        <v>-5.0349632629584258E-3</v>
      </c>
      <c r="K379">
        <f t="shared" si="38"/>
        <v>1.2913640032284013E-2</v>
      </c>
      <c r="L379">
        <f t="shared" si="39"/>
        <v>9.3038991795653114E-3</v>
      </c>
      <c r="M379">
        <f t="shared" si="40"/>
        <v>2.8225806451612989E-2</v>
      </c>
    </row>
    <row r="380" spans="1:13" x14ac:dyDescent="0.3">
      <c r="A380" s="3">
        <v>42551</v>
      </c>
      <c r="B380" s="8">
        <v>12.429731370000001</v>
      </c>
      <c r="C380" s="8">
        <v>121.3</v>
      </c>
      <c r="D380" s="8">
        <v>62.14</v>
      </c>
      <c r="E380">
        <v>1.0000000000000001E-5</v>
      </c>
      <c r="G380">
        <f t="shared" si="35"/>
        <v>101.45131744965279</v>
      </c>
      <c r="H380">
        <f t="shared" si="36"/>
        <v>-2.251706048844393E-3</v>
      </c>
      <c r="I380">
        <f t="shared" si="37"/>
        <v>-2.261706048844393E-3</v>
      </c>
      <c r="K380">
        <f t="shared" si="38"/>
        <v>1.5936254980080111E-3</v>
      </c>
      <c r="L380">
        <f t="shared" si="39"/>
        <v>1.6508841029079013E-2</v>
      </c>
      <c r="M380">
        <f t="shared" si="40"/>
        <v>1.5359477124182952E-2</v>
      </c>
    </row>
    <row r="381" spans="1:13" x14ac:dyDescent="0.3">
      <c r="A381" s="3">
        <v>42552</v>
      </c>
      <c r="B381" s="8">
        <v>12.57805752</v>
      </c>
      <c r="C381" s="8">
        <v>121.29</v>
      </c>
      <c r="D381" s="8">
        <v>61.26</v>
      </c>
      <c r="E381">
        <v>1.0000000000000001E-5</v>
      </c>
      <c r="G381">
        <f t="shared" si="35"/>
        <v>99.587870346469614</v>
      </c>
      <c r="H381">
        <f t="shared" si="36"/>
        <v>-1.8367894572763444E-2</v>
      </c>
      <c r="I381">
        <f t="shared" si="37"/>
        <v>-1.8377894572763443E-2</v>
      </c>
      <c r="K381">
        <f t="shared" si="38"/>
        <v>1.193317422434359E-2</v>
      </c>
      <c r="L381">
        <f t="shared" si="39"/>
        <v>-8.2440230832592221E-5</v>
      </c>
      <c r="M381">
        <f t="shared" si="40"/>
        <v>-1.4161570646926358E-2</v>
      </c>
    </row>
    <row r="382" spans="1:13" x14ac:dyDescent="0.3">
      <c r="A382" s="3">
        <v>42556</v>
      </c>
      <c r="B382" s="8">
        <v>12.261628399999999</v>
      </c>
      <c r="C382" s="8">
        <v>122.27</v>
      </c>
      <c r="D382" s="8">
        <v>59.55</v>
      </c>
      <c r="E382">
        <v>1.0000000000000001E-5</v>
      </c>
      <c r="G382">
        <f t="shared" si="35"/>
        <v>99.10517234627163</v>
      </c>
      <c r="H382">
        <f t="shared" si="36"/>
        <v>-4.8469557438939326E-3</v>
      </c>
      <c r="I382">
        <f t="shared" si="37"/>
        <v>-4.8569557438939322E-3</v>
      </c>
      <c r="K382">
        <f t="shared" si="38"/>
        <v>-2.515723270440251E-2</v>
      </c>
      <c r="L382">
        <f t="shared" si="39"/>
        <v>8.0798087228954873E-3</v>
      </c>
      <c r="M382">
        <f t="shared" si="40"/>
        <v>-2.7913809990205651E-2</v>
      </c>
    </row>
    <row r="383" spans="1:13" x14ac:dyDescent="0.3">
      <c r="A383" s="3">
        <v>42557</v>
      </c>
      <c r="B383" s="8">
        <v>12.429731370000001</v>
      </c>
      <c r="C383" s="8">
        <v>122.64</v>
      </c>
      <c r="D383" s="8">
        <v>60.19</v>
      </c>
      <c r="E383">
        <v>1.0000000000000001E-5</v>
      </c>
      <c r="G383">
        <f t="shared" si="35"/>
        <v>100.70513139538787</v>
      </c>
      <c r="H383">
        <f t="shared" si="36"/>
        <v>1.6144051932284631E-2</v>
      </c>
      <c r="I383">
        <f t="shared" si="37"/>
        <v>1.6134051932284631E-2</v>
      </c>
      <c r="K383">
        <f t="shared" si="38"/>
        <v>1.3709677419355026E-2</v>
      </c>
      <c r="L383">
        <f t="shared" si="39"/>
        <v>3.0260898012595128E-3</v>
      </c>
      <c r="M383">
        <f t="shared" si="40"/>
        <v>1.074727120067176E-2</v>
      </c>
    </row>
    <row r="384" spans="1:13" x14ac:dyDescent="0.3">
      <c r="A384" s="3">
        <v>42558</v>
      </c>
      <c r="B384" s="8">
        <v>12.607722749999999</v>
      </c>
      <c r="C384" s="8">
        <v>122.51</v>
      </c>
      <c r="D384" s="8">
        <v>60.58</v>
      </c>
      <c r="E384">
        <v>1.0000000000000001E-5</v>
      </c>
      <c r="G384">
        <f t="shared" si="35"/>
        <v>100.33890168015991</v>
      </c>
      <c r="H384">
        <f t="shared" si="36"/>
        <v>-3.636653963441705E-3</v>
      </c>
      <c r="I384">
        <f t="shared" si="37"/>
        <v>-3.646653963441705E-3</v>
      </c>
      <c r="K384">
        <f t="shared" si="38"/>
        <v>1.4319809069212264E-2</v>
      </c>
      <c r="L384">
        <f t="shared" si="39"/>
        <v>-1.0600130463144231E-3</v>
      </c>
      <c r="M384">
        <f t="shared" si="40"/>
        <v>6.4794816414686096E-3</v>
      </c>
    </row>
    <row r="385" spans="1:13" x14ac:dyDescent="0.3">
      <c r="A385" s="3">
        <v>42559</v>
      </c>
      <c r="B385" s="8">
        <v>12.94392869</v>
      </c>
      <c r="C385" s="8">
        <v>122.85</v>
      </c>
      <c r="D385" s="8">
        <v>61.83</v>
      </c>
      <c r="E385">
        <v>1.0000000000000001E-5</v>
      </c>
      <c r="G385">
        <f t="shared" si="35"/>
        <v>101.199952534304</v>
      </c>
      <c r="H385">
        <f t="shared" si="36"/>
        <v>8.5814259447325458E-3</v>
      </c>
      <c r="I385">
        <f t="shared" si="37"/>
        <v>8.5714259447325462E-3</v>
      </c>
      <c r="K385">
        <f t="shared" si="38"/>
        <v>2.6666666666666838E-2</v>
      </c>
      <c r="L385">
        <f t="shared" si="39"/>
        <v>2.7752836503140976E-3</v>
      </c>
      <c r="M385">
        <f t="shared" si="40"/>
        <v>2.0633872565203104E-2</v>
      </c>
    </row>
    <row r="386" spans="1:13" x14ac:dyDescent="0.3">
      <c r="A386" s="3">
        <v>42562</v>
      </c>
      <c r="B386" s="8">
        <v>13.12192007</v>
      </c>
      <c r="C386" s="8">
        <v>122.93</v>
      </c>
      <c r="D386" s="8">
        <v>62.27</v>
      </c>
      <c r="E386">
        <v>1.0000000000000001E-5</v>
      </c>
      <c r="G386">
        <f t="shared" si="35"/>
        <v>100.44569631217746</v>
      </c>
      <c r="H386">
        <f t="shared" si="36"/>
        <v>-7.4531282203009752E-3</v>
      </c>
      <c r="I386">
        <f t="shared" si="37"/>
        <v>-7.4631282203009748E-3</v>
      </c>
      <c r="K386">
        <f t="shared" si="38"/>
        <v>1.3750954927425507E-2</v>
      </c>
      <c r="L386">
        <f t="shared" si="39"/>
        <v>6.512006512007229E-4</v>
      </c>
      <c r="M386">
        <f t="shared" si="40"/>
        <v>7.1162865922691498E-3</v>
      </c>
    </row>
    <row r="387" spans="1:13" x14ac:dyDescent="0.3">
      <c r="A387" s="3">
        <v>42563</v>
      </c>
      <c r="B387" s="8">
        <v>13.29991145</v>
      </c>
      <c r="C387" s="8">
        <v>122.92</v>
      </c>
      <c r="D387" s="8">
        <v>63.2</v>
      </c>
      <c r="E387">
        <v>1.0000000000000001E-5</v>
      </c>
      <c r="G387">
        <f t="shared" si="35"/>
        <v>100.6999552025821</v>
      </c>
      <c r="H387">
        <f t="shared" si="36"/>
        <v>2.531306962265667E-3</v>
      </c>
      <c r="I387">
        <f t="shared" si="37"/>
        <v>2.521306962265667E-3</v>
      </c>
      <c r="K387">
        <f t="shared" si="38"/>
        <v>1.35644310474754E-2</v>
      </c>
      <c r="L387">
        <f t="shared" si="39"/>
        <v>-8.1347108110363386E-5</v>
      </c>
      <c r="M387">
        <f t="shared" si="40"/>
        <v>1.493496065521116E-2</v>
      </c>
    </row>
    <row r="388" spans="1:13" x14ac:dyDescent="0.3">
      <c r="A388" s="3">
        <v>42564</v>
      </c>
      <c r="B388" s="8">
        <v>13.329576680000001</v>
      </c>
      <c r="C388" s="8">
        <v>123</v>
      </c>
      <c r="D388" s="8">
        <v>63.16</v>
      </c>
      <c r="E388">
        <v>1.0000000000000001E-5</v>
      </c>
      <c r="G388">
        <f t="shared" si="35"/>
        <v>100.03332962292315</v>
      </c>
      <c r="H388">
        <f t="shared" si="36"/>
        <v>-6.619919326854462E-3</v>
      </c>
      <c r="I388">
        <f t="shared" si="37"/>
        <v>-6.6299193268544616E-3</v>
      </c>
      <c r="K388">
        <f t="shared" si="38"/>
        <v>2.2304832713755385E-3</v>
      </c>
      <c r="L388">
        <f t="shared" si="39"/>
        <v>6.5082980800523771E-4</v>
      </c>
      <c r="M388">
        <f t="shared" si="40"/>
        <v>-6.3291139240517769E-4</v>
      </c>
    </row>
    <row r="389" spans="1:13" x14ac:dyDescent="0.3">
      <c r="A389" s="3">
        <v>42565</v>
      </c>
      <c r="B389" s="8">
        <v>13.43834919</v>
      </c>
      <c r="C389" s="8">
        <v>123.18</v>
      </c>
      <c r="D389" s="8">
        <v>64.12</v>
      </c>
      <c r="E389">
        <v>1.0000000000000001E-5</v>
      </c>
      <c r="G389">
        <f t="shared" ref="G389:G452" si="41">$G$4*(B389*$P$8/B388 + C389*$Q$8/C388 + D389*$R$8/D388)</f>
        <v>100.73342838718651</v>
      </c>
      <c r="H389">
        <f t="shared" ref="H389:H452" si="42">G389/G388-1</f>
        <v>6.9986550173066764E-3</v>
      </c>
      <c r="I389">
        <f t="shared" si="37"/>
        <v>6.9886550173066768E-3</v>
      </c>
      <c r="K389">
        <f t="shared" si="38"/>
        <v>8.1602373887239565E-3</v>
      </c>
      <c r="L389">
        <f t="shared" si="39"/>
        <v>1.4634146341463428E-3</v>
      </c>
      <c r="M389">
        <f t="shared" si="40"/>
        <v>1.5199493350221749E-2</v>
      </c>
    </row>
    <row r="390" spans="1:13" x14ac:dyDescent="0.3">
      <c r="A390" s="3">
        <v>42566</v>
      </c>
      <c r="B390" s="8">
        <v>13.41857237</v>
      </c>
      <c r="C390" s="8">
        <v>123</v>
      </c>
      <c r="D390" s="8">
        <v>64.180000000000007</v>
      </c>
      <c r="E390">
        <v>1.0000000000000001E-5</v>
      </c>
      <c r="G390">
        <f t="shared" si="41"/>
        <v>99.943965821426957</v>
      </c>
      <c r="H390">
        <f t="shared" si="42"/>
        <v>-7.8371458055126464E-3</v>
      </c>
      <c r="I390">
        <f t="shared" ref="I390:I453" si="43">H390-E390</f>
        <v>-7.847145805512646E-3</v>
      </c>
      <c r="K390">
        <f t="shared" ref="K390:K453" si="44">B390/B389-1</f>
        <v>-1.4716703458426128E-3</v>
      </c>
      <c r="L390">
        <f t="shared" ref="L390:L453" si="45">C390/C389-1</f>
        <v>-1.4612761811982899E-3</v>
      </c>
      <c r="M390">
        <f t="shared" ref="M390:M453" si="46">D390/D389-1</f>
        <v>9.3574547723029866E-4</v>
      </c>
    </row>
    <row r="391" spans="1:13" x14ac:dyDescent="0.3">
      <c r="A391" s="3">
        <v>42569</v>
      </c>
      <c r="B391" s="8">
        <v>13.49767965</v>
      </c>
      <c r="C391" s="8">
        <v>123.14</v>
      </c>
      <c r="D391" s="8">
        <v>63.96</v>
      </c>
      <c r="E391">
        <v>1.0000000000000001E-5</v>
      </c>
      <c r="G391">
        <f t="shared" si="41"/>
        <v>99.99185123438383</v>
      </c>
      <c r="H391">
        <f t="shared" si="42"/>
        <v>4.791226019831285E-4</v>
      </c>
      <c r="I391">
        <f t="shared" si="43"/>
        <v>4.6912260198312848E-4</v>
      </c>
      <c r="K391">
        <f t="shared" si="44"/>
        <v>5.8953574060427449E-3</v>
      </c>
      <c r="L391">
        <f t="shared" si="45"/>
        <v>1.1382113821138962E-3</v>
      </c>
      <c r="M391">
        <f t="shared" si="46"/>
        <v>-3.4278591461515129E-3</v>
      </c>
    </row>
    <row r="392" spans="1:13" x14ac:dyDescent="0.3">
      <c r="A392" s="3">
        <v>42570</v>
      </c>
      <c r="B392" s="8">
        <v>13.49767965</v>
      </c>
      <c r="C392" s="8">
        <v>125.25</v>
      </c>
      <c r="D392" s="8">
        <v>63.86</v>
      </c>
      <c r="E392">
        <v>1.0000000000000001E-5</v>
      </c>
      <c r="G392">
        <f t="shared" si="41"/>
        <v>100.83027679450626</v>
      </c>
      <c r="H392">
        <f t="shared" si="42"/>
        <v>8.3849388702399441E-3</v>
      </c>
      <c r="I392">
        <f t="shared" si="43"/>
        <v>8.3749388702399445E-3</v>
      </c>
      <c r="K392">
        <f t="shared" si="44"/>
        <v>0</v>
      </c>
      <c r="L392">
        <f t="shared" si="45"/>
        <v>1.7134968328731626E-2</v>
      </c>
      <c r="M392">
        <f t="shared" si="46"/>
        <v>-1.5634771732332409E-3</v>
      </c>
    </row>
    <row r="393" spans="1:13" x14ac:dyDescent="0.3">
      <c r="A393" s="3">
        <v>42571</v>
      </c>
      <c r="B393" s="8">
        <v>13.586675339999999</v>
      </c>
      <c r="C393" s="8">
        <v>125.14</v>
      </c>
      <c r="D393" s="8">
        <v>63.93</v>
      </c>
      <c r="E393">
        <v>1.0000000000000001E-5</v>
      </c>
      <c r="G393">
        <f t="shared" si="41"/>
        <v>100.06477863579038</v>
      </c>
      <c r="H393">
        <f t="shared" si="42"/>
        <v>-7.5919474095661466E-3</v>
      </c>
      <c r="I393">
        <f t="shared" si="43"/>
        <v>-7.6019474095661461E-3</v>
      </c>
      <c r="K393">
        <f t="shared" si="44"/>
        <v>6.59340659340657E-3</v>
      </c>
      <c r="L393">
        <f t="shared" si="45"/>
        <v>-8.782435129740529E-4</v>
      </c>
      <c r="M393">
        <f t="shared" si="46"/>
        <v>1.0961478233635358E-3</v>
      </c>
    </row>
    <row r="394" spans="1:13" x14ac:dyDescent="0.3">
      <c r="A394" s="3">
        <v>42572</v>
      </c>
      <c r="B394" s="8">
        <v>13.764666719999999</v>
      </c>
      <c r="C394" s="8">
        <v>125.15</v>
      </c>
      <c r="D394" s="8">
        <v>63.69</v>
      </c>
      <c r="E394">
        <v>1.0000000000000001E-5</v>
      </c>
      <c r="G394">
        <f t="shared" si="41"/>
        <v>100.00017122414486</v>
      </c>
      <c r="H394">
        <f t="shared" si="42"/>
        <v>-6.4565586939102637E-4</v>
      </c>
      <c r="I394">
        <f t="shared" si="43"/>
        <v>-6.556558693910264E-4</v>
      </c>
      <c r="K394">
        <f t="shared" si="44"/>
        <v>1.3100436681222627E-2</v>
      </c>
      <c r="L394">
        <f t="shared" si="45"/>
        <v>7.9910500239810389E-5</v>
      </c>
      <c r="M394">
        <f t="shared" si="46"/>
        <v>-3.7541060534960202E-3</v>
      </c>
    </row>
    <row r="395" spans="1:13" x14ac:dyDescent="0.3">
      <c r="A395" s="3">
        <v>42573</v>
      </c>
      <c r="B395" s="8">
        <v>13.685559439999999</v>
      </c>
      <c r="C395" s="8">
        <v>125.03</v>
      </c>
      <c r="D395" s="8">
        <v>64.040000000000006</v>
      </c>
      <c r="E395">
        <v>1.0000000000000001E-5</v>
      </c>
      <c r="G395">
        <f t="shared" si="41"/>
        <v>100.09681160665846</v>
      </c>
      <c r="H395">
        <f t="shared" si="42"/>
        <v>9.6640217042209819E-4</v>
      </c>
      <c r="I395">
        <f t="shared" si="43"/>
        <v>9.5640217042209817E-4</v>
      </c>
      <c r="K395">
        <f t="shared" si="44"/>
        <v>-5.7471264367816577E-3</v>
      </c>
      <c r="L395">
        <f t="shared" si="45"/>
        <v>-9.5884938074319859E-4</v>
      </c>
      <c r="M395">
        <f t="shared" si="46"/>
        <v>5.4953681896687812E-3</v>
      </c>
    </row>
    <row r="396" spans="1:13" x14ac:dyDescent="0.3">
      <c r="A396" s="3">
        <v>42576</v>
      </c>
      <c r="B396" s="8">
        <v>13.67567103</v>
      </c>
      <c r="C396" s="8">
        <v>124.89</v>
      </c>
      <c r="D396" s="8">
        <v>63.87</v>
      </c>
      <c r="E396">
        <v>1.0000000000000001E-5</v>
      </c>
      <c r="G396">
        <f t="shared" si="41"/>
        <v>99.834431160198619</v>
      </c>
      <c r="H396">
        <f t="shared" si="42"/>
        <v>-2.6212667741195572E-3</v>
      </c>
      <c r="I396">
        <f t="shared" si="43"/>
        <v>-2.6312667741195572E-3</v>
      </c>
      <c r="K396">
        <f t="shared" si="44"/>
        <v>-7.2254335260102387E-4</v>
      </c>
      <c r="L396">
        <f t="shared" si="45"/>
        <v>-1.119731264496493E-3</v>
      </c>
      <c r="M396">
        <f t="shared" si="46"/>
        <v>-2.6545908806997476E-3</v>
      </c>
    </row>
    <row r="397" spans="1:13" x14ac:dyDescent="0.3">
      <c r="A397" s="3">
        <v>42577</v>
      </c>
      <c r="B397" s="8">
        <v>13.705336259999999</v>
      </c>
      <c r="C397" s="8">
        <v>125.15</v>
      </c>
      <c r="D397" s="8">
        <v>64.13</v>
      </c>
      <c r="E397">
        <v>1.0000000000000001E-5</v>
      </c>
      <c r="G397">
        <f t="shared" si="41"/>
        <v>100.28394453117275</v>
      </c>
      <c r="H397">
        <f t="shared" si="42"/>
        <v>4.5025885934364407E-3</v>
      </c>
      <c r="I397">
        <f t="shared" si="43"/>
        <v>4.4925885934364411E-3</v>
      </c>
      <c r="K397">
        <f t="shared" si="44"/>
        <v>2.1691973969630851E-3</v>
      </c>
      <c r="L397">
        <f t="shared" si="45"/>
        <v>2.0818320121707146E-3</v>
      </c>
      <c r="M397">
        <f t="shared" si="46"/>
        <v>4.0707687490213473E-3</v>
      </c>
    </row>
    <row r="398" spans="1:13" x14ac:dyDescent="0.3">
      <c r="A398" s="3">
        <v>42578</v>
      </c>
      <c r="B398" s="8">
        <v>13.685559439999999</v>
      </c>
      <c r="C398" s="8">
        <v>124.77</v>
      </c>
      <c r="D398" s="8">
        <v>64.33</v>
      </c>
      <c r="E398">
        <v>1.0000000000000001E-5</v>
      </c>
      <c r="G398">
        <f t="shared" si="41"/>
        <v>99.944682839319185</v>
      </c>
      <c r="H398">
        <f t="shared" si="42"/>
        <v>-3.3830110436881E-3</v>
      </c>
      <c r="I398">
        <f t="shared" si="43"/>
        <v>-3.3930110436881E-3</v>
      </c>
      <c r="K398">
        <f t="shared" si="44"/>
        <v>-1.4430014430014682E-3</v>
      </c>
      <c r="L398">
        <f t="shared" si="45"/>
        <v>-3.0363563723532216E-3</v>
      </c>
      <c r="M398">
        <f t="shared" si="46"/>
        <v>3.1186652112895619E-3</v>
      </c>
    </row>
    <row r="399" spans="1:13" x14ac:dyDescent="0.3">
      <c r="A399" s="3">
        <v>42579</v>
      </c>
      <c r="B399" s="8">
        <v>12.568169110000001</v>
      </c>
      <c r="C399" s="8">
        <v>124.46</v>
      </c>
      <c r="D399" s="8">
        <v>64.099999999999994</v>
      </c>
      <c r="E399">
        <v>1.0000000000000001E-5</v>
      </c>
      <c r="G399">
        <f t="shared" si="41"/>
        <v>98.880852281736324</v>
      </c>
      <c r="H399">
        <f t="shared" si="42"/>
        <v>-1.0644193641528465E-2</v>
      </c>
      <c r="I399">
        <f t="shared" si="43"/>
        <v>-1.0654193641528465E-2</v>
      </c>
      <c r="K399">
        <f t="shared" si="44"/>
        <v>-8.1647398843930463E-2</v>
      </c>
      <c r="L399">
        <f t="shared" si="45"/>
        <v>-2.4845716117656291E-3</v>
      </c>
      <c r="M399">
        <f t="shared" si="46"/>
        <v>-3.5753147831494303E-3</v>
      </c>
    </row>
    <row r="400" spans="1:13" x14ac:dyDescent="0.3">
      <c r="A400" s="3">
        <v>42580</v>
      </c>
      <c r="B400" s="8">
        <v>12.51872706</v>
      </c>
      <c r="C400" s="8">
        <v>125.23</v>
      </c>
      <c r="D400" s="8">
        <v>63.97</v>
      </c>
      <c r="E400">
        <v>1.0000000000000001E-5</v>
      </c>
      <c r="G400">
        <f t="shared" si="41"/>
        <v>100.20347443909448</v>
      </c>
      <c r="H400">
        <f t="shared" si="42"/>
        <v>1.3375917853030606E-2</v>
      </c>
      <c r="I400">
        <f t="shared" si="43"/>
        <v>1.3365917853030606E-2</v>
      </c>
      <c r="K400">
        <f t="shared" si="44"/>
        <v>-3.9339103068450898E-3</v>
      </c>
      <c r="L400">
        <f t="shared" si="45"/>
        <v>6.1867266591677517E-3</v>
      </c>
      <c r="M400">
        <f t="shared" si="46"/>
        <v>-2.0280811232448182E-3</v>
      </c>
    </row>
    <row r="401" spans="1:13" x14ac:dyDescent="0.3">
      <c r="A401" s="3">
        <v>42583</v>
      </c>
      <c r="B401" s="8">
        <v>12.34073568</v>
      </c>
      <c r="C401" s="8">
        <v>125.4</v>
      </c>
      <c r="D401" s="8">
        <v>63.8</v>
      </c>
      <c r="E401">
        <v>1.0000000000000001E-5</v>
      </c>
      <c r="G401">
        <f t="shared" si="41"/>
        <v>99.821426776254711</v>
      </c>
      <c r="H401">
        <f t="shared" si="42"/>
        <v>-3.8127187203671475E-3</v>
      </c>
      <c r="I401">
        <f t="shared" si="43"/>
        <v>-3.8227187203671476E-3</v>
      </c>
      <c r="K401">
        <f t="shared" si="44"/>
        <v>-1.4218009478673022E-2</v>
      </c>
      <c r="L401">
        <f t="shared" si="45"/>
        <v>1.3575021959595368E-3</v>
      </c>
      <c r="M401">
        <f t="shared" si="46"/>
        <v>-2.6574957011099576E-3</v>
      </c>
    </row>
    <row r="402" spans="1:13" x14ac:dyDescent="0.3">
      <c r="A402" s="3">
        <v>42584</v>
      </c>
      <c r="B402" s="8">
        <v>11.806761539999998</v>
      </c>
      <c r="C402" s="8">
        <v>124.85</v>
      </c>
      <c r="D402" s="8">
        <v>63.65</v>
      </c>
      <c r="E402">
        <v>1.0000000000000001E-5</v>
      </c>
      <c r="G402">
        <f t="shared" si="41"/>
        <v>99.230472021038437</v>
      </c>
      <c r="H402">
        <f t="shared" si="42"/>
        <v>-5.9201193000464336E-3</v>
      </c>
      <c r="I402">
        <f t="shared" si="43"/>
        <v>-5.9301193000464332E-3</v>
      </c>
      <c r="K402">
        <f t="shared" si="44"/>
        <v>-4.3269230769230949E-2</v>
      </c>
      <c r="L402">
        <f t="shared" si="45"/>
        <v>-4.3859649122808264E-3</v>
      </c>
      <c r="M402">
        <f t="shared" si="46"/>
        <v>-2.3510971786833146E-3</v>
      </c>
    </row>
    <row r="403" spans="1:13" x14ac:dyDescent="0.3">
      <c r="A403" s="3">
        <v>42585</v>
      </c>
      <c r="B403" s="8">
        <v>11.99464133</v>
      </c>
      <c r="C403" s="8">
        <v>123.9</v>
      </c>
      <c r="D403" s="8">
        <v>64.66</v>
      </c>
      <c r="E403">
        <v>1.0000000000000001E-5</v>
      </c>
      <c r="G403">
        <f t="shared" si="41"/>
        <v>100.36907269434288</v>
      </c>
      <c r="H403">
        <f t="shared" si="42"/>
        <v>1.1474304718242623E-2</v>
      </c>
      <c r="I403">
        <f t="shared" si="43"/>
        <v>1.1464304718242623E-2</v>
      </c>
      <c r="K403">
        <f t="shared" si="44"/>
        <v>1.5912897822445649E-2</v>
      </c>
      <c r="L403">
        <f t="shared" si="45"/>
        <v>-7.6091309571484356E-3</v>
      </c>
      <c r="M403">
        <f t="shared" si="46"/>
        <v>1.5868028279654389E-2</v>
      </c>
    </row>
    <row r="404" spans="1:13" x14ac:dyDescent="0.3">
      <c r="A404" s="3">
        <v>42586</v>
      </c>
      <c r="B404" s="8">
        <v>11.945199279999999</v>
      </c>
      <c r="C404" s="8">
        <v>123.86</v>
      </c>
      <c r="D404" s="8">
        <v>64.56</v>
      </c>
      <c r="E404">
        <v>1.0000000000000001E-5</v>
      </c>
      <c r="G404">
        <f t="shared" si="41"/>
        <v>99.881850248000589</v>
      </c>
      <c r="H404">
        <f t="shared" si="42"/>
        <v>-4.8543085361169025E-3</v>
      </c>
      <c r="I404">
        <f t="shared" si="43"/>
        <v>-4.8643085361169021E-3</v>
      </c>
      <c r="K404">
        <f t="shared" si="44"/>
        <v>-4.1220115416323866E-3</v>
      </c>
      <c r="L404">
        <f t="shared" si="45"/>
        <v>-3.2284100080715028E-4</v>
      </c>
      <c r="M404">
        <f t="shared" si="46"/>
        <v>-1.5465511908443474E-3</v>
      </c>
    </row>
    <row r="405" spans="1:13" x14ac:dyDescent="0.3">
      <c r="A405" s="3">
        <v>42587</v>
      </c>
      <c r="B405" s="8">
        <v>12.053971789999999</v>
      </c>
      <c r="C405" s="8">
        <v>124.24</v>
      </c>
      <c r="D405" s="8">
        <v>66.3</v>
      </c>
      <c r="E405">
        <v>1.0000000000000001E-5</v>
      </c>
      <c r="G405">
        <f t="shared" si="41"/>
        <v>101.26884518348749</v>
      </c>
      <c r="H405">
        <f t="shared" si="42"/>
        <v>1.388635605010391E-2</v>
      </c>
      <c r="I405">
        <f t="shared" si="43"/>
        <v>1.387635605010391E-2</v>
      </c>
      <c r="K405">
        <f t="shared" si="44"/>
        <v>9.1059602649006255E-3</v>
      </c>
      <c r="L405">
        <f t="shared" si="45"/>
        <v>3.067979977393831E-3</v>
      </c>
      <c r="M405">
        <f t="shared" si="46"/>
        <v>2.695167286245348E-2</v>
      </c>
    </row>
    <row r="406" spans="1:13" x14ac:dyDescent="0.3">
      <c r="A406" s="3">
        <v>42590</v>
      </c>
      <c r="B406" s="8">
        <v>12.04408338</v>
      </c>
      <c r="C406" s="8">
        <v>123.65</v>
      </c>
      <c r="D406" s="8">
        <v>66.099999999999994</v>
      </c>
      <c r="E406">
        <v>1.0000000000000001E-5</v>
      </c>
      <c r="G406">
        <f t="shared" si="41"/>
        <v>99.631472112201095</v>
      </c>
      <c r="H406">
        <f t="shared" si="42"/>
        <v>-1.6168576508596044E-2</v>
      </c>
      <c r="I406">
        <f t="shared" si="43"/>
        <v>-1.6178576508596044E-2</v>
      </c>
      <c r="K406">
        <f t="shared" si="44"/>
        <v>-8.2034454470869544E-4</v>
      </c>
      <c r="L406">
        <f t="shared" si="45"/>
        <v>-4.7488731487442815E-3</v>
      </c>
      <c r="M406">
        <f t="shared" si="46"/>
        <v>-3.0165912518853588E-3</v>
      </c>
    </row>
    <row r="407" spans="1:13" x14ac:dyDescent="0.3">
      <c r="A407" s="3">
        <v>42591</v>
      </c>
      <c r="B407" s="8">
        <v>12.17263271</v>
      </c>
      <c r="C407" s="8">
        <v>123.43</v>
      </c>
      <c r="D407" s="8">
        <v>65.87</v>
      </c>
      <c r="E407">
        <v>1.0000000000000001E-5</v>
      </c>
      <c r="G407">
        <f t="shared" si="41"/>
        <v>99.88859669702272</v>
      </c>
      <c r="H407">
        <f t="shared" si="42"/>
        <v>2.5807566562106032E-3</v>
      </c>
      <c r="I407">
        <f t="shared" si="43"/>
        <v>2.5707566562106032E-3</v>
      </c>
      <c r="K407">
        <f t="shared" si="44"/>
        <v>1.0673234811165777E-2</v>
      </c>
      <c r="L407">
        <f t="shared" si="45"/>
        <v>-1.7792155276991073E-3</v>
      </c>
      <c r="M407">
        <f t="shared" si="46"/>
        <v>-3.4795763993946682E-3</v>
      </c>
    </row>
    <row r="408" spans="1:13" x14ac:dyDescent="0.3">
      <c r="A408" s="3">
        <v>42592</v>
      </c>
      <c r="B408" s="8">
        <v>12.11330225</v>
      </c>
      <c r="C408" s="8">
        <v>123.36</v>
      </c>
      <c r="D408" s="8">
        <v>65.28</v>
      </c>
      <c r="E408">
        <v>1.0000000000000001E-5</v>
      </c>
      <c r="G408">
        <f t="shared" si="41"/>
        <v>99.582428709031191</v>
      </c>
      <c r="H408">
        <f t="shared" si="42"/>
        <v>-3.0650944964236704E-3</v>
      </c>
      <c r="I408">
        <f t="shared" si="43"/>
        <v>-3.0750944964236704E-3</v>
      </c>
      <c r="K408">
        <f t="shared" si="44"/>
        <v>-4.8740861088545362E-3</v>
      </c>
      <c r="L408">
        <f t="shared" si="45"/>
        <v>-5.6712306570527726E-4</v>
      </c>
      <c r="M408">
        <f t="shared" si="46"/>
        <v>-8.9570365872172486E-3</v>
      </c>
    </row>
    <row r="409" spans="1:13" x14ac:dyDescent="0.3">
      <c r="A409" s="3">
        <v>42593</v>
      </c>
      <c r="B409" s="8">
        <v>12.17263271</v>
      </c>
      <c r="C409" s="8">
        <v>123.77</v>
      </c>
      <c r="D409" s="8">
        <v>65.459999999999994</v>
      </c>
      <c r="E409">
        <v>1.0000000000000001E-5</v>
      </c>
      <c r="G409">
        <f t="shared" si="41"/>
        <v>100.32755149020669</v>
      </c>
      <c r="H409">
        <f t="shared" si="42"/>
        <v>7.4824724686386457E-3</v>
      </c>
      <c r="I409">
        <f t="shared" si="43"/>
        <v>7.4724724686386461E-3</v>
      </c>
      <c r="K409">
        <f t="shared" si="44"/>
        <v>4.8979591836735281E-3</v>
      </c>
      <c r="L409">
        <f t="shared" si="45"/>
        <v>3.3236057068741776E-3</v>
      </c>
      <c r="M409">
        <f t="shared" si="46"/>
        <v>2.7573529411764053E-3</v>
      </c>
    </row>
    <row r="410" spans="1:13" x14ac:dyDescent="0.3">
      <c r="A410" s="3">
        <v>42594</v>
      </c>
      <c r="B410" s="8">
        <v>12.192409529999999</v>
      </c>
      <c r="C410" s="8">
        <v>123.22</v>
      </c>
      <c r="D410" s="8">
        <v>65.319999999999993</v>
      </c>
      <c r="E410">
        <v>1.0000000000000001E-5</v>
      </c>
      <c r="G410">
        <f t="shared" si="41"/>
        <v>99.705965929632796</v>
      </c>
      <c r="H410">
        <f t="shared" si="42"/>
        <v>-6.1955619502441772E-3</v>
      </c>
      <c r="I410">
        <f t="shared" si="43"/>
        <v>-6.2055619502441768E-3</v>
      </c>
      <c r="K410">
        <f t="shared" si="44"/>
        <v>1.6246953696181787E-3</v>
      </c>
      <c r="L410">
        <f t="shared" si="45"/>
        <v>-4.4437262664619448E-3</v>
      </c>
      <c r="M410">
        <f t="shared" si="46"/>
        <v>-2.1387106630003094E-3</v>
      </c>
    </row>
    <row r="411" spans="1:13" x14ac:dyDescent="0.3">
      <c r="A411" s="3">
        <v>42597</v>
      </c>
      <c r="B411" s="8">
        <v>12.29129363</v>
      </c>
      <c r="C411" s="8">
        <v>122.31</v>
      </c>
      <c r="D411" s="8">
        <v>65.72</v>
      </c>
      <c r="E411">
        <v>1.0000000000000001E-5</v>
      </c>
      <c r="G411">
        <f t="shared" si="41"/>
        <v>99.932231915322959</v>
      </c>
      <c r="H411">
        <f t="shared" si="42"/>
        <v>2.2693324675260307E-3</v>
      </c>
      <c r="I411">
        <f t="shared" si="43"/>
        <v>2.2593324675260307E-3</v>
      </c>
      <c r="K411">
        <f t="shared" si="44"/>
        <v>8.1103000811031389E-3</v>
      </c>
      <c r="L411">
        <f t="shared" si="45"/>
        <v>-7.3851647459827197E-3</v>
      </c>
      <c r="M411">
        <f t="shared" si="46"/>
        <v>6.1236987140234067E-3</v>
      </c>
    </row>
    <row r="412" spans="1:13" x14ac:dyDescent="0.3">
      <c r="A412" s="3">
        <v>42598</v>
      </c>
      <c r="B412" s="8">
        <v>12.202297939999999</v>
      </c>
      <c r="C412" s="8">
        <v>120.33</v>
      </c>
      <c r="D412" s="8">
        <v>65.709999999999994</v>
      </c>
      <c r="E412">
        <v>1.0000000000000001E-5</v>
      </c>
      <c r="G412">
        <f t="shared" si="41"/>
        <v>99.078396993428314</v>
      </c>
      <c r="H412">
        <f t="shared" si="42"/>
        <v>-8.5441394185825636E-3</v>
      </c>
      <c r="I412">
        <f t="shared" si="43"/>
        <v>-8.5541394185825632E-3</v>
      </c>
      <c r="K412">
        <f t="shared" si="44"/>
        <v>-7.2405470635560354E-3</v>
      </c>
      <c r="L412">
        <f t="shared" si="45"/>
        <v>-1.6188373804267853E-2</v>
      </c>
      <c r="M412">
        <f t="shared" si="46"/>
        <v>-1.521606816798915E-4</v>
      </c>
    </row>
    <row r="413" spans="1:13" x14ac:dyDescent="0.3">
      <c r="A413" s="3">
        <v>42599</v>
      </c>
      <c r="B413" s="8">
        <v>12.251739990000001</v>
      </c>
      <c r="C413" s="8">
        <v>121.31</v>
      </c>
      <c r="D413" s="8">
        <v>65.89</v>
      </c>
      <c r="E413">
        <v>1.0000000000000001E-5</v>
      </c>
      <c r="G413">
        <f t="shared" si="41"/>
        <v>100.56814343250124</v>
      </c>
      <c r="H413">
        <f t="shared" si="42"/>
        <v>1.5036036959416466E-2</v>
      </c>
      <c r="I413">
        <f t="shared" si="43"/>
        <v>1.5026036959416466E-2</v>
      </c>
      <c r="K413">
        <f t="shared" si="44"/>
        <v>4.0518638573745491E-3</v>
      </c>
      <c r="L413">
        <f t="shared" si="45"/>
        <v>8.1442699243745587E-3</v>
      </c>
      <c r="M413">
        <f t="shared" si="46"/>
        <v>2.739309085375341E-3</v>
      </c>
    </row>
    <row r="414" spans="1:13" x14ac:dyDescent="0.3">
      <c r="A414" s="3">
        <v>42600</v>
      </c>
      <c r="B414" s="8">
        <v>12.192409529999999</v>
      </c>
      <c r="C414" s="8">
        <v>120.72</v>
      </c>
      <c r="D414" s="8">
        <v>65.95</v>
      </c>
      <c r="E414">
        <v>1.0000000000000001E-5</v>
      </c>
      <c r="G414">
        <f t="shared" si="41"/>
        <v>99.73115071167301</v>
      </c>
      <c r="H414">
        <f t="shared" si="42"/>
        <v>-8.3226426605956805E-3</v>
      </c>
      <c r="I414">
        <f t="shared" si="43"/>
        <v>-8.3326426605956801E-3</v>
      </c>
      <c r="K414">
        <f t="shared" si="44"/>
        <v>-4.8426150121066991E-3</v>
      </c>
      <c r="L414">
        <f t="shared" si="45"/>
        <v>-4.8635726650729794E-3</v>
      </c>
      <c r="M414">
        <f t="shared" si="46"/>
        <v>9.1060859007430217E-4</v>
      </c>
    </row>
    <row r="415" spans="1:13" x14ac:dyDescent="0.3">
      <c r="A415" s="3">
        <v>42601</v>
      </c>
      <c r="B415" s="8">
        <v>12.251739990000001</v>
      </c>
      <c r="C415" s="8">
        <v>119.92</v>
      </c>
      <c r="D415" s="8">
        <v>65.86</v>
      </c>
      <c r="E415">
        <v>1.0000000000000001E-5</v>
      </c>
      <c r="G415">
        <f t="shared" si="41"/>
        <v>99.655782952007783</v>
      </c>
      <c r="H415">
        <f t="shared" si="42"/>
        <v>-7.5570931576951494E-4</v>
      </c>
      <c r="I415">
        <f t="shared" si="43"/>
        <v>-7.6570931576951497E-4</v>
      </c>
      <c r="K415">
        <f t="shared" si="44"/>
        <v>4.8661800486620166E-3</v>
      </c>
      <c r="L415">
        <f t="shared" si="45"/>
        <v>-6.6269052352551094E-3</v>
      </c>
      <c r="M415">
        <f t="shared" si="46"/>
        <v>-1.3646702047005466E-3</v>
      </c>
    </row>
    <row r="416" spans="1:13" x14ac:dyDescent="0.3">
      <c r="A416" s="3">
        <v>42604</v>
      </c>
      <c r="B416" s="8">
        <v>12.22207476</v>
      </c>
      <c r="C416" s="8">
        <v>119.13</v>
      </c>
      <c r="D416" s="8">
        <v>65.8</v>
      </c>
      <c r="E416">
        <v>1.0000000000000001E-5</v>
      </c>
      <c r="G416">
        <f t="shared" si="41"/>
        <v>99.598512592031824</v>
      </c>
      <c r="H416">
        <f t="shared" si="42"/>
        <v>-5.7468175232278096E-4</v>
      </c>
      <c r="I416">
        <f t="shared" si="43"/>
        <v>-5.8468175232278098E-4</v>
      </c>
      <c r="K416">
        <f t="shared" si="44"/>
        <v>-2.421307506053294E-3</v>
      </c>
      <c r="L416">
        <f t="shared" si="45"/>
        <v>-6.5877251501000877E-3</v>
      </c>
      <c r="M416">
        <f t="shared" si="46"/>
        <v>-9.1102338293358454E-4</v>
      </c>
    </row>
    <row r="417" spans="1:13" x14ac:dyDescent="0.3">
      <c r="A417" s="3">
        <v>42605</v>
      </c>
      <c r="B417" s="8">
        <v>12.28140522</v>
      </c>
      <c r="C417" s="8">
        <v>119.44</v>
      </c>
      <c r="D417" s="8">
        <v>65.77</v>
      </c>
      <c r="E417">
        <v>1.0000000000000001E-5</v>
      </c>
      <c r="G417">
        <f t="shared" si="41"/>
        <v>100.16874277109757</v>
      </c>
      <c r="H417">
        <f t="shared" si="42"/>
        <v>5.725288101454673E-3</v>
      </c>
      <c r="I417">
        <f t="shared" si="43"/>
        <v>5.7152881014546734E-3</v>
      </c>
      <c r="K417">
        <f t="shared" si="44"/>
        <v>4.8543689320388328E-3</v>
      </c>
      <c r="L417">
        <f t="shared" si="45"/>
        <v>2.6021992780995706E-3</v>
      </c>
      <c r="M417">
        <f t="shared" si="46"/>
        <v>-4.5592705167174508E-4</v>
      </c>
    </row>
    <row r="418" spans="1:13" x14ac:dyDescent="0.3">
      <c r="A418" s="3">
        <v>42606</v>
      </c>
      <c r="B418" s="8">
        <v>12.1627443</v>
      </c>
      <c r="C418" s="8">
        <v>118.71</v>
      </c>
      <c r="D418" s="8">
        <v>65.95</v>
      </c>
      <c r="E418">
        <v>1.0000000000000001E-5</v>
      </c>
      <c r="G418">
        <f t="shared" si="41"/>
        <v>99.684594165734211</v>
      </c>
      <c r="H418">
        <f t="shared" si="42"/>
        <v>-4.8333301583880495E-3</v>
      </c>
      <c r="I418">
        <f t="shared" si="43"/>
        <v>-4.8433301583880491E-3</v>
      </c>
      <c r="K418">
        <f t="shared" si="44"/>
        <v>-9.6618357487923134E-3</v>
      </c>
      <c r="L418">
        <f t="shared" si="45"/>
        <v>-6.111855324849369E-3</v>
      </c>
      <c r="M418">
        <f t="shared" si="46"/>
        <v>2.7368100957885222E-3</v>
      </c>
    </row>
    <row r="419" spans="1:13" x14ac:dyDescent="0.3">
      <c r="A419" s="3">
        <v>42607</v>
      </c>
      <c r="B419" s="8">
        <v>12.33084727</v>
      </c>
      <c r="C419" s="8">
        <v>118.57</v>
      </c>
      <c r="D419" s="8">
        <v>66.069999999999993</v>
      </c>
      <c r="E419">
        <v>1.0000000000000001E-5</v>
      </c>
      <c r="G419">
        <f t="shared" si="41"/>
        <v>100.15212592835307</v>
      </c>
      <c r="H419">
        <f t="shared" si="42"/>
        <v>4.6901105083654304E-3</v>
      </c>
      <c r="I419">
        <f t="shared" si="43"/>
        <v>4.6801105083654308E-3</v>
      </c>
      <c r="K419">
        <f t="shared" si="44"/>
        <v>1.3821138211381978E-2</v>
      </c>
      <c r="L419">
        <f t="shared" si="45"/>
        <v>-1.1793446213461678E-3</v>
      </c>
      <c r="M419">
        <f t="shared" si="46"/>
        <v>1.81956027293384E-3</v>
      </c>
    </row>
    <row r="420" spans="1:13" x14ac:dyDescent="0.3">
      <c r="A420" s="3">
        <v>42608</v>
      </c>
      <c r="B420" s="8">
        <v>12.241851580000001</v>
      </c>
      <c r="C420" s="8">
        <v>119.04</v>
      </c>
      <c r="D420" s="8">
        <v>66.22</v>
      </c>
      <c r="E420">
        <v>1.0000000000000001E-5</v>
      </c>
      <c r="G420">
        <f t="shared" si="41"/>
        <v>100.21547720233244</v>
      </c>
      <c r="H420">
        <f t="shared" si="42"/>
        <v>6.3255046652410662E-4</v>
      </c>
      <c r="I420">
        <f t="shared" si="43"/>
        <v>6.225504665241066E-4</v>
      </c>
      <c r="K420">
        <f t="shared" si="44"/>
        <v>-7.2173215717721284E-3</v>
      </c>
      <c r="L420">
        <f t="shared" si="45"/>
        <v>3.9639031795564161E-3</v>
      </c>
      <c r="M420">
        <f t="shared" si="46"/>
        <v>2.2703193582565007E-3</v>
      </c>
    </row>
    <row r="421" spans="1:13" x14ac:dyDescent="0.3">
      <c r="A421" s="3">
        <v>42611</v>
      </c>
      <c r="B421" s="8">
        <v>12.33084727</v>
      </c>
      <c r="C421" s="8">
        <v>119.92</v>
      </c>
      <c r="D421" s="8">
        <v>66.95</v>
      </c>
      <c r="E421">
        <v>1.0000000000000001E-5</v>
      </c>
      <c r="G421">
        <f t="shared" si="41"/>
        <v>100.87461435558068</v>
      </c>
      <c r="H421">
        <f t="shared" si="42"/>
        <v>6.5771991677239239E-3</v>
      </c>
      <c r="I421">
        <f t="shared" si="43"/>
        <v>6.5671991677239243E-3</v>
      </c>
      <c r="K421">
        <f t="shared" si="44"/>
        <v>7.2697899838447544E-3</v>
      </c>
      <c r="L421">
        <f t="shared" si="45"/>
        <v>7.3924731182795078E-3</v>
      </c>
      <c r="M421">
        <f t="shared" si="46"/>
        <v>1.1023859861069241E-2</v>
      </c>
    </row>
    <row r="422" spans="1:13" x14ac:dyDescent="0.3">
      <c r="A422" s="3">
        <v>42612</v>
      </c>
      <c r="B422" s="8">
        <v>12.40995455</v>
      </c>
      <c r="C422" s="8">
        <v>119.47</v>
      </c>
      <c r="D422" s="8">
        <v>67.5</v>
      </c>
      <c r="E422">
        <v>1.0000000000000001E-5</v>
      </c>
      <c r="G422">
        <f t="shared" si="41"/>
        <v>100.18166430816602</v>
      </c>
      <c r="H422">
        <f t="shared" si="42"/>
        <v>-6.8694195446638018E-3</v>
      </c>
      <c r="I422">
        <f t="shared" si="43"/>
        <v>-6.8794195446638014E-3</v>
      </c>
      <c r="K422">
        <f t="shared" si="44"/>
        <v>6.4153969526865584E-3</v>
      </c>
      <c r="L422">
        <f t="shared" si="45"/>
        <v>-3.7525016677785183E-3</v>
      </c>
      <c r="M422">
        <f t="shared" si="46"/>
        <v>8.2150858849887598E-3</v>
      </c>
    </row>
    <row r="423" spans="1:13" x14ac:dyDescent="0.3">
      <c r="A423" s="3">
        <v>42613</v>
      </c>
      <c r="B423" s="8">
        <v>12.4593966</v>
      </c>
      <c r="C423" s="8">
        <v>119.34</v>
      </c>
      <c r="D423" s="8">
        <v>67.5</v>
      </c>
      <c r="E423">
        <v>1.0000000000000001E-5</v>
      </c>
      <c r="G423">
        <f t="shared" si="41"/>
        <v>99.985291727533593</v>
      </c>
      <c r="H423">
        <f t="shared" si="42"/>
        <v>-1.9601648863445398E-3</v>
      </c>
      <c r="I423">
        <f t="shared" si="43"/>
        <v>-1.9701648863445398E-3</v>
      </c>
      <c r="K423">
        <f t="shared" si="44"/>
        <v>3.9840637450199168E-3</v>
      </c>
      <c r="L423">
        <f t="shared" si="45"/>
        <v>-1.0881392818280489E-3</v>
      </c>
      <c r="M423">
        <f t="shared" si="46"/>
        <v>0</v>
      </c>
    </row>
    <row r="424" spans="1:13" x14ac:dyDescent="0.3">
      <c r="A424" s="3">
        <v>42614</v>
      </c>
      <c r="B424" s="8">
        <v>12.301182039999999</v>
      </c>
      <c r="C424" s="8">
        <v>119.08</v>
      </c>
      <c r="D424" s="8">
        <v>67.209999999999994</v>
      </c>
      <c r="E424">
        <v>1.0000000000000001E-5</v>
      </c>
      <c r="G424">
        <f t="shared" si="41"/>
        <v>99.592196295592174</v>
      </c>
      <c r="H424">
        <f t="shared" si="42"/>
        <v>-3.9315325799381684E-3</v>
      </c>
      <c r="I424">
        <f t="shared" si="43"/>
        <v>-3.941532579938168E-3</v>
      </c>
      <c r="K424">
        <f t="shared" si="44"/>
        <v>-1.2698412698412764E-2</v>
      </c>
      <c r="L424">
        <f t="shared" si="45"/>
        <v>-2.1786492374727962E-3</v>
      </c>
      <c r="M424">
        <f t="shared" si="46"/>
        <v>-4.2962962962963536E-3</v>
      </c>
    </row>
    <row r="425" spans="1:13" x14ac:dyDescent="0.3">
      <c r="A425" s="3">
        <v>42615</v>
      </c>
      <c r="B425" s="8">
        <v>12.3605125</v>
      </c>
      <c r="C425" s="8">
        <v>119.32</v>
      </c>
      <c r="D425" s="8">
        <v>67.489999999999995</v>
      </c>
      <c r="E425">
        <v>1.0000000000000001E-5</v>
      </c>
      <c r="G425">
        <f t="shared" si="41"/>
        <v>100.31189960250622</v>
      </c>
      <c r="H425">
        <f t="shared" si="42"/>
        <v>7.2265030161393629E-3</v>
      </c>
      <c r="I425">
        <f t="shared" si="43"/>
        <v>7.2165030161393633E-3</v>
      </c>
      <c r="K425">
        <f t="shared" si="44"/>
        <v>4.8231511254019921E-3</v>
      </c>
      <c r="L425">
        <f t="shared" si="45"/>
        <v>2.0154517971111563E-3</v>
      </c>
      <c r="M425">
        <f t="shared" si="46"/>
        <v>4.1660467192381478E-3</v>
      </c>
    </row>
    <row r="426" spans="1:13" x14ac:dyDescent="0.3">
      <c r="A426" s="3">
        <v>42619</v>
      </c>
      <c r="B426" s="8">
        <v>12.52861547</v>
      </c>
      <c r="C426" s="8">
        <v>119.75</v>
      </c>
      <c r="D426" s="8">
        <v>67.44</v>
      </c>
      <c r="E426">
        <v>1.0000000000000001E-5</v>
      </c>
      <c r="G426">
        <f t="shared" si="41"/>
        <v>100.30164650279789</v>
      </c>
      <c r="H426">
        <f t="shared" si="42"/>
        <v>-1.022121976450574E-4</v>
      </c>
      <c r="I426">
        <f t="shared" si="43"/>
        <v>-1.122121976450574E-4</v>
      </c>
      <c r="K426">
        <f t="shared" si="44"/>
        <v>1.3600000000000056E-2</v>
      </c>
      <c r="L426">
        <f t="shared" si="45"/>
        <v>3.6037546094536133E-3</v>
      </c>
      <c r="M426">
        <f t="shared" si="46"/>
        <v>-7.4085049636973821E-4</v>
      </c>
    </row>
    <row r="427" spans="1:13" x14ac:dyDescent="0.3">
      <c r="A427" s="3">
        <v>42620</v>
      </c>
      <c r="B427" s="8">
        <v>12.558280699999999</v>
      </c>
      <c r="C427" s="8">
        <v>119.61</v>
      </c>
      <c r="D427" s="8">
        <v>67.16</v>
      </c>
      <c r="E427">
        <v>1.0000000000000001E-5</v>
      </c>
      <c r="G427">
        <f t="shared" si="41"/>
        <v>99.807913888990484</v>
      </c>
      <c r="H427">
        <f t="shared" si="42"/>
        <v>-4.9224776563726591E-3</v>
      </c>
      <c r="I427">
        <f t="shared" si="43"/>
        <v>-4.9324776563726587E-3</v>
      </c>
      <c r="K427">
        <f t="shared" si="44"/>
        <v>2.3677979479084232E-3</v>
      </c>
      <c r="L427">
        <f t="shared" si="45"/>
        <v>-1.1691022964509523E-3</v>
      </c>
      <c r="M427">
        <f t="shared" si="46"/>
        <v>-4.1518386714116673E-3</v>
      </c>
    </row>
    <row r="428" spans="1:13" x14ac:dyDescent="0.3">
      <c r="A428" s="3">
        <v>42621</v>
      </c>
      <c r="B428" s="8">
        <v>12.58794593</v>
      </c>
      <c r="C428" s="8">
        <v>119.47</v>
      </c>
      <c r="D428" s="8">
        <v>67.25</v>
      </c>
      <c r="E428">
        <v>1.0000000000000001E-5</v>
      </c>
      <c r="G428">
        <f t="shared" si="41"/>
        <v>100.01445090130825</v>
      </c>
      <c r="H428">
        <f t="shared" si="42"/>
        <v>2.0693450476030328E-3</v>
      </c>
      <c r="I428">
        <f t="shared" si="43"/>
        <v>2.0593450476030328E-3</v>
      </c>
      <c r="K428">
        <f t="shared" si="44"/>
        <v>2.3622047244096223E-3</v>
      </c>
      <c r="L428">
        <f t="shared" si="45"/>
        <v>-1.1704706964300593E-3</v>
      </c>
      <c r="M428">
        <f t="shared" si="46"/>
        <v>1.3400833829662062E-3</v>
      </c>
    </row>
    <row r="429" spans="1:13" x14ac:dyDescent="0.3">
      <c r="A429" s="3">
        <v>42622</v>
      </c>
      <c r="B429" s="8">
        <v>12.241851580000001</v>
      </c>
      <c r="C429" s="8">
        <v>118.23</v>
      </c>
      <c r="D429" s="8">
        <v>66.650000000000006</v>
      </c>
      <c r="E429">
        <v>1.0000000000000001E-5</v>
      </c>
      <c r="G429">
        <f t="shared" si="41"/>
        <v>98.83755154855406</v>
      </c>
      <c r="H429">
        <f t="shared" si="42"/>
        <v>-1.1767293047636906E-2</v>
      </c>
      <c r="I429">
        <f t="shared" si="43"/>
        <v>-1.1777293047636906E-2</v>
      </c>
      <c r="K429">
        <f t="shared" si="44"/>
        <v>-2.7494108405341722E-2</v>
      </c>
      <c r="L429">
        <f t="shared" si="45"/>
        <v>-1.037917468820615E-2</v>
      </c>
      <c r="M429">
        <f t="shared" si="46"/>
        <v>-8.9219330855018208E-3</v>
      </c>
    </row>
    <row r="430" spans="1:13" x14ac:dyDescent="0.3">
      <c r="A430" s="3">
        <v>42625</v>
      </c>
      <c r="B430" s="8">
        <v>12.558280699999999</v>
      </c>
      <c r="C430" s="8">
        <v>119.16</v>
      </c>
      <c r="D430" s="8">
        <v>67.06</v>
      </c>
      <c r="E430">
        <v>1.0000000000000001E-5</v>
      </c>
      <c r="G430">
        <f t="shared" si="41"/>
        <v>100.91054129523194</v>
      </c>
      <c r="H430">
        <f t="shared" si="42"/>
        <v>2.0973705987238134E-2</v>
      </c>
      <c r="I430">
        <f t="shared" si="43"/>
        <v>2.0963705987238134E-2</v>
      </c>
      <c r="K430">
        <f t="shared" si="44"/>
        <v>2.5848142164781818E-2</v>
      </c>
      <c r="L430">
        <f t="shared" si="45"/>
        <v>7.86602385181423E-3</v>
      </c>
      <c r="M430">
        <f t="shared" si="46"/>
        <v>6.1515378844709812E-3</v>
      </c>
    </row>
    <row r="431" spans="1:13" x14ac:dyDescent="0.3">
      <c r="A431" s="3">
        <v>42626</v>
      </c>
      <c r="B431" s="8">
        <v>12.241851580000001</v>
      </c>
      <c r="C431" s="8">
        <v>117.61</v>
      </c>
      <c r="D431" s="8">
        <v>66.53</v>
      </c>
      <c r="E431">
        <v>1.0000000000000001E-5</v>
      </c>
      <c r="G431">
        <f t="shared" si="41"/>
        <v>98.763564949950919</v>
      </c>
      <c r="H431">
        <f t="shared" si="42"/>
        <v>-2.1276036355801997E-2</v>
      </c>
      <c r="I431">
        <f t="shared" si="43"/>
        <v>-2.1286036355801997E-2</v>
      </c>
      <c r="K431">
        <f t="shared" si="44"/>
        <v>-2.5196850393700676E-2</v>
      </c>
      <c r="L431">
        <f t="shared" si="45"/>
        <v>-1.300772071164813E-2</v>
      </c>
      <c r="M431">
        <f t="shared" si="46"/>
        <v>-7.9033701163138126E-3</v>
      </c>
    </row>
    <row r="432" spans="1:13" x14ac:dyDescent="0.3">
      <c r="A432" s="3">
        <v>42627</v>
      </c>
      <c r="B432" s="8">
        <v>12.004529740000001</v>
      </c>
      <c r="C432" s="8">
        <v>117.86</v>
      </c>
      <c r="D432" s="8">
        <v>66.400000000000006</v>
      </c>
      <c r="E432">
        <v>1.0000000000000001E-5</v>
      </c>
      <c r="G432">
        <f t="shared" si="41"/>
        <v>99.833596210391363</v>
      </c>
      <c r="H432">
        <f t="shared" si="42"/>
        <v>1.083427133257775E-2</v>
      </c>
      <c r="I432">
        <f t="shared" si="43"/>
        <v>1.082427133257775E-2</v>
      </c>
      <c r="K432">
        <f t="shared" si="44"/>
        <v>-1.9386106623586419E-2</v>
      </c>
      <c r="L432">
        <f t="shared" si="45"/>
        <v>2.1256695859195318E-3</v>
      </c>
      <c r="M432">
        <f t="shared" si="46"/>
        <v>-1.9540057117088949E-3</v>
      </c>
    </row>
    <row r="433" spans="1:13" x14ac:dyDescent="0.3">
      <c r="A433" s="3">
        <v>42628</v>
      </c>
      <c r="B433" s="8">
        <v>11.97486451</v>
      </c>
      <c r="C433" s="8">
        <v>118.63</v>
      </c>
      <c r="D433" s="8">
        <v>66.64</v>
      </c>
      <c r="E433">
        <v>1.0000000000000001E-5</v>
      </c>
      <c r="G433">
        <f t="shared" si="41"/>
        <v>100.44911557064</v>
      </c>
      <c r="H433">
        <f t="shared" si="42"/>
        <v>6.1654531501749155E-3</v>
      </c>
      <c r="I433">
        <f t="shared" si="43"/>
        <v>6.1554531501749159E-3</v>
      </c>
      <c r="K433">
        <f t="shared" si="44"/>
        <v>-2.4711696869852418E-3</v>
      </c>
      <c r="L433">
        <f t="shared" si="45"/>
        <v>6.5331749533343864E-3</v>
      </c>
      <c r="M433">
        <f t="shared" si="46"/>
        <v>3.6144578313253017E-3</v>
      </c>
    </row>
    <row r="434" spans="1:13" x14ac:dyDescent="0.3">
      <c r="A434" s="3">
        <v>42629</v>
      </c>
      <c r="B434" s="8">
        <v>11.97486451</v>
      </c>
      <c r="C434" s="8">
        <v>118.25</v>
      </c>
      <c r="D434" s="8">
        <v>65.819999999999993</v>
      </c>
      <c r="E434">
        <v>1.0000000000000001E-5</v>
      </c>
      <c r="G434">
        <f t="shared" si="41"/>
        <v>99.370741268676753</v>
      </c>
      <c r="H434">
        <f t="shared" si="42"/>
        <v>-1.0735528091383673E-2</v>
      </c>
      <c r="I434">
        <f t="shared" si="43"/>
        <v>-1.0745528091383672E-2</v>
      </c>
      <c r="K434">
        <f t="shared" si="44"/>
        <v>0</v>
      </c>
      <c r="L434">
        <f t="shared" si="45"/>
        <v>-3.2032369552389417E-3</v>
      </c>
      <c r="M434">
        <f t="shared" si="46"/>
        <v>-1.230492196878763E-2</v>
      </c>
    </row>
    <row r="435" spans="1:13" x14ac:dyDescent="0.3">
      <c r="A435" s="3">
        <v>42632</v>
      </c>
      <c r="B435" s="8">
        <v>11.97486451</v>
      </c>
      <c r="C435" s="8">
        <v>117.66</v>
      </c>
      <c r="D435" s="8">
        <v>66.19</v>
      </c>
      <c r="E435">
        <v>1.0000000000000001E-5</v>
      </c>
      <c r="G435">
        <f t="shared" si="41"/>
        <v>99.952643480810224</v>
      </c>
      <c r="H435">
        <f t="shared" si="42"/>
        <v>5.8558706990032849E-3</v>
      </c>
      <c r="I435">
        <f t="shared" si="43"/>
        <v>5.8458706990032853E-3</v>
      </c>
      <c r="K435">
        <f t="shared" si="44"/>
        <v>0</v>
      </c>
      <c r="L435">
        <f t="shared" si="45"/>
        <v>-4.9894291754757347E-3</v>
      </c>
      <c r="M435">
        <f t="shared" si="46"/>
        <v>5.6213916742631209E-3</v>
      </c>
    </row>
    <row r="436" spans="1:13" x14ac:dyDescent="0.3">
      <c r="A436" s="3">
        <v>42633</v>
      </c>
      <c r="B436" s="8">
        <v>11.866092</v>
      </c>
      <c r="C436" s="8">
        <v>117.95</v>
      </c>
      <c r="D436" s="8">
        <v>66.459999999999994</v>
      </c>
      <c r="E436">
        <v>1.0000000000000001E-5</v>
      </c>
      <c r="G436">
        <f t="shared" si="41"/>
        <v>100.18619871706771</v>
      </c>
      <c r="H436">
        <f t="shared" si="42"/>
        <v>2.3366589229061319E-3</v>
      </c>
      <c r="I436">
        <f t="shared" si="43"/>
        <v>2.3266589229061318E-3</v>
      </c>
      <c r="K436">
        <f t="shared" si="44"/>
        <v>-9.0834021469858861E-3</v>
      </c>
      <c r="L436">
        <f t="shared" si="45"/>
        <v>2.4647288798231859E-3</v>
      </c>
      <c r="M436">
        <f t="shared" si="46"/>
        <v>4.0791660371657379E-3</v>
      </c>
    </row>
    <row r="437" spans="1:13" x14ac:dyDescent="0.3">
      <c r="A437" s="3">
        <v>42634</v>
      </c>
      <c r="B437" s="8">
        <v>11.955087689999999</v>
      </c>
      <c r="C437" s="8">
        <v>118.91</v>
      </c>
      <c r="D437" s="8">
        <v>66.84</v>
      </c>
      <c r="E437">
        <v>1.0000000000000001E-5</v>
      </c>
      <c r="G437">
        <f t="shared" si="41"/>
        <v>100.71609025671108</v>
      </c>
      <c r="H437">
        <f t="shared" si="42"/>
        <v>5.2890672211232115E-3</v>
      </c>
      <c r="I437">
        <f t="shared" si="43"/>
        <v>5.2790672211232119E-3</v>
      </c>
      <c r="K437">
        <f t="shared" si="44"/>
        <v>7.4999999999998401E-3</v>
      </c>
      <c r="L437">
        <f t="shared" si="45"/>
        <v>8.1390419669351566E-3</v>
      </c>
      <c r="M437">
        <f t="shared" si="46"/>
        <v>5.7177249473367997E-3</v>
      </c>
    </row>
    <row r="438" spans="1:13" x14ac:dyDescent="0.3">
      <c r="A438" s="3">
        <v>42635</v>
      </c>
      <c r="B438" s="8">
        <v>12.04408338</v>
      </c>
      <c r="C438" s="8">
        <v>119.46</v>
      </c>
      <c r="D438" s="8">
        <v>67.39</v>
      </c>
      <c r="E438">
        <v>1.0000000000000001E-5</v>
      </c>
      <c r="G438">
        <f t="shared" si="41"/>
        <v>100.6276709016408</v>
      </c>
      <c r="H438">
        <f t="shared" si="42"/>
        <v>-8.7790694460954111E-4</v>
      </c>
      <c r="I438">
        <f t="shared" si="43"/>
        <v>-8.8790694460954113E-4</v>
      </c>
      <c r="K438">
        <f t="shared" si="44"/>
        <v>7.4441687344914964E-3</v>
      </c>
      <c r="L438">
        <f t="shared" si="45"/>
        <v>4.6253469010175685E-3</v>
      </c>
      <c r="M438">
        <f t="shared" si="46"/>
        <v>8.2286056253739748E-3</v>
      </c>
    </row>
    <row r="439" spans="1:13" x14ac:dyDescent="0.3">
      <c r="A439" s="3">
        <v>42636</v>
      </c>
      <c r="B439" s="8">
        <v>12.03419497</v>
      </c>
      <c r="C439" s="8">
        <v>118.81</v>
      </c>
      <c r="D439" s="8">
        <v>67.25</v>
      </c>
      <c r="E439">
        <v>1.0000000000000001E-5</v>
      </c>
      <c r="G439">
        <f t="shared" si="41"/>
        <v>99.630884063619447</v>
      </c>
      <c r="H439">
        <f t="shared" si="42"/>
        <v>-9.9056932262266972E-3</v>
      </c>
      <c r="I439">
        <f t="shared" si="43"/>
        <v>-9.9156932262266968E-3</v>
      </c>
      <c r="K439">
        <f t="shared" si="44"/>
        <v>-8.2101806239742725E-4</v>
      </c>
      <c r="L439">
        <f t="shared" si="45"/>
        <v>-5.4411518499916101E-3</v>
      </c>
      <c r="M439">
        <f t="shared" si="46"/>
        <v>-2.077459563733508E-3</v>
      </c>
    </row>
    <row r="440" spans="1:13" x14ac:dyDescent="0.3">
      <c r="A440" s="3">
        <v>42639</v>
      </c>
      <c r="B440" s="8">
        <v>11.875980409999999</v>
      </c>
      <c r="C440" s="8">
        <v>117.78</v>
      </c>
      <c r="D440" s="8">
        <v>65.78</v>
      </c>
      <c r="E440">
        <v>1.0000000000000001E-5</v>
      </c>
      <c r="G440">
        <f t="shared" si="41"/>
        <v>98.589809644711337</v>
      </c>
      <c r="H440">
        <f t="shared" si="42"/>
        <v>-1.0449314273306309E-2</v>
      </c>
      <c r="I440">
        <f t="shared" si="43"/>
        <v>-1.0459314273306309E-2</v>
      </c>
      <c r="K440">
        <f t="shared" si="44"/>
        <v>-1.3147082990961456E-2</v>
      </c>
      <c r="L440">
        <f t="shared" si="45"/>
        <v>-8.6693039306455777E-3</v>
      </c>
      <c r="M440">
        <f t="shared" si="46"/>
        <v>-2.1858736059479522E-2</v>
      </c>
    </row>
    <row r="441" spans="1:13" x14ac:dyDescent="0.3">
      <c r="A441" s="3">
        <v>42640</v>
      </c>
      <c r="B441" s="8">
        <v>11.84631518</v>
      </c>
      <c r="C441" s="8">
        <v>119.22</v>
      </c>
      <c r="D441" s="8">
        <v>66.36</v>
      </c>
      <c r="E441">
        <v>1.0000000000000001E-5</v>
      </c>
      <c r="G441">
        <f t="shared" si="41"/>
        <v>100.940025488724</v>
      </c>
      <c r="H441">
        <f t="shared" si="42"/>
        <v>2.3838324188698135E-2</v>
      </c>
      <c r="I441">
        <f t="shared" si="43"/>
        <v>2.3828324188698135E-2</v>
      </c>
      <c r="K441">
        <f t="shared" si="44"/>
        <v>-2.4979184013321776E-3</v>
      </c>
      <c r="L441">
        <f t="shared" si="45"/>
        <v>1.2226184411614938E-2</v>
      </c>
      <c r="M441">
        <f t="shared" si="46"/>
        <v>8.8172696868349387E-3</v>
      </c>
    </row>
    <row r="442" spans="1:13" x14ac:dyDescent="0.3">
      <c r="A442" s="3">
        <v>42641</v>
      </c>
      <c r="B442" s="8">
        <v>11.955087689999999</v>
      </c>
      <c r="C442" s="8">
        <v>119.39</v>
      </c>
      <c r="D442" s="8">
        <v>66.709999999999994</v>
      </c>
      <c r="E442">
        <v>1.0000000000000001E-5</v>
      </c>
      <c r="G442">
        <f t="shared" si="41"/>
        <v>100.36869501664208</v>
      </c>
      <c r="H442">
        <f t="shared" si="42"/>
        <v>-5.6600983536084781E-3</v>
      </c>
      <c r="I442">
        <f t="shared" si="43"/>
        <v>-5.6700983536084777E-3</v>
      </c>
      <c r="K442">
        <f t="shared" si="44"/>
        <v>9.1819699499164908E-3</v>
      </c>
      <c r="L442">
        <f t="shared" si="45"/>
        <v>1.4259352457641761E-3</v>
      </c>
      <c r="M442">
        <f t="shared" si="46"/>
        <v>5.2742616033754075E-3</v>
      </c>
    </row>
    <row r="443" spans="1:13" x14ac:dyDescent="0.3">
      <c r="A443" s="3">
        <v>42642</v>
      </c>
      <c r="B443" s="8">
        <v>11.836426770000001</v>
      </c>
      <c r="C443" s="8">
        <v>117.27</v>
      </c>
      <c r="D443" s="8">
        <v>65.650000000000006</v>
      </c>
      <c r="E443">
        <v>1.0000000000000001E-5</v>
      </c>
      <c r="G443">
        <f t="shared" si="41"/>
        <v>98.376648371242339</v>
      </c>
      <c r="H443">
        <f t="shared" si="42"/>
        <v>-1.9847290483047897E-2</v>
      </c>
      <c r="I443">
        <f t="shared" si="43"/>
        <v>-1.9857290483047896E-2</v>
      </c>
      <c r="K443">
        <f t="shared" si="44"/>
        <v>-9.9255583126549585E-3</v>
      </c>
      <c r="L443">
        <f t="shared" si="45"/>
        <v>-1.7756931066253534E-2</v>
      </c>
      <c r="M443">
        <f t="shared" si="46"/>
        <v>-1.5889671713386067E-2</v>
      </c>
    </row>
    <row r="444" spans="1:13" x14ac:dyDescent="0.3">
      <c r="A444" s="3">
        <v>42643</v>
      </c>
      <c r="B444" s="8">
        <v>11.93531087</v>
      </c>
      <c r="C444" s="8">
        <v>118.13</v>
      </c>
      <c r="D444" s="8">
        <v>66.59</v>
      </c>
      <c r="E444">
        <v>1.0000000000000001E-5</v>
      </c>
      <c r="G444">
        <f t="shared" si="41"/>
        <v>101.00689479493499</v>
      </c>
      <c r="H444">
        <f t="shared" si="42"/>
        <v>2.6736491507282745E-2</v>
      </c>
      <c r="I444">
        <f t="shared" si="43"/>
        <v>2.6726491507282745E-2</v>
      </c>
      <c r="K444">
        <f t="shared" si="44"/>
        <v>8.3542188805345585E-3</v>
      </c>
      <c r="L444">
        <f t="shared" si="45"/>
        <v>7.3335038799351437E-3</v>
      </c>
      <c r="M444">
        <f t="shared" si="46"/>
        <v>1.4318354912414177E-2</v>
      </c>
    </row>
    <row r="445" spans="1:13" x14ac:dyDescent="0.3">
      <c r="A445" s="3">
        <v>42646</v>
      </c>
      <c r="B445" s="8">
        <v>11.964976099999999</v>
      </c>
      <c r="C445" s="8">
        <v>118.81</v>
      </c>
      <c r="D445" s="8">
        <v>66.510000000000005</v>
      </c>
      <c r="E445">
        <v>1.0000000000000001E-5</v>
      </c>
      <c r="G445">
        <f t="shared" si="41"/>
        <v>100.27953024511484</v>
      </c>
      <c r="H445">
        <f t="shared" si="42"/>
        <v>-7.2011376183462872E-3</v>
      </c>
      <c r="I445">
        <f t="shared" si="43"/>
        <v>-7.2111376183462868E-3</v>
      </c>
      <c r="K445">
        <f t="shared" si="44"/>
        <v>2.4855012427504874E-3</v>
      </c>
      <c r="L445">
        <f t="shared" si="45"/>
        <v>5.7563701007365964E-3</v>
      </c>
      <c r="M445">
        <f t="shared" si="46"/>
        <v>-1.2013815888270996E-3</v>
      </c>
    </row>
    <row r="446" spans="1:13" x14ac:dyDescent="0.3">
      <c r="A446" s="3">
        <v>42647</v>
      </c>
      <c r="B446" s="8">
        <v>12.063860199999999</v>
      </c>
      <c r="C446" s="8">
        <v>118.82</v>
      </c>
      <c r="D446" s="8">
        <v>66.599999999999994</v>
      </c>
      <c r="E446">
        <v>1.0000000000000001E-5</v>
      </c>
      <c r="G446">
        <f t="shared" si="41"/>
        <v>100.14190240202979</v>
      </c>
      <c r="H446">
        <f t="shared" si="42"/>
        <v>-1.3724420402514426E-3</v>
      </c>
      <c r="I446">
        <f t="shared" si="43"/>
        <v>-1.3824420402514426E-3</v>
      </c>
      <c r="K446">
        <f t="shared" si="44"/>
        <v>8.2644628099173278E-3</v>
      </c>
      <c r="L446">
        <f t="shared" si="45"/>
        <v>8.4167999326645315E-5</v>
      </c>
      <c r="M446">
        <f t="shared" si="46"/>
        <v>1.3531799729362692E-3</v>
      </c>
    </row>
    <row r="447" spans="1:13" x14ac:dyDescent="0.3">
      <c r="A447" s="3">
        <v>42648</v>
      </c>
      <c r="B447" s="8">
        <v>12.34073568</v>
      </c>
      <c r="C447" s="8">
        <v>119.18</v>
      </c>
      <c r="D447" s="8">
        <v>67.69</v>
      </c>
      <c r="E447">
        <v>1.0000000000000001E-5</v>
      </c>
      <c r="G447">
        <f t="shared" si="41"/>
        <v>101.01362514978763</v>
      </c>
      <c r="H447">
        <f t="shared" si="42"/>
        <v>8.7048750507876527E-3</v>
      </c>
      <c r="I447">
        <f t="shared" si="43"/>
        <v>8.6948750507876531E-3</v>
      </c>
      <c r="K447">
        <f t="shared" si="44"/>
        <v>2.2950819672131306E-2</v>
      </c>
      <c r="L447">
        <f t="shared" si="45"/>
        <v>3.0297929641476262E-3</v>
      </c>
      <c r="M447">
        <f t="shared" si="46"/>
        <v>1.6366366366366458E-2</v>
      </c>
    </row>
    <row r="448" spans="1:13" x14ac:dyDescent="0.3">
      <c r="A448" s="3">
        <v>42649</v>
      </c>
      <c r="B448" s="8">
        <v>12.251739990000001</v>
      </c>
      <c r="C448" s="8">
        <v>118.75</v>
      </c>
      <c r="D448" s="8">
        <v>67.87</v>
      </c>
      <c r="E448">
        <v>1.0000000000000001E-5</v>
      </c>
      <c r="G448">
        <f t="shared" si="41"/>
        <v>99.837275150793815</v>
      </c>
      <c r="H448">
        <f t="shared" si="42"/>
        <v>-1.1645458691829647E-2</v>
      </c>
      <c r="I448">
        <f t="shared" si="43"/>
        <v>-1.1655458691829646E-2</v>
      </c>
      <c r="K448">
        <f t="shared" si="44"/>
        <v>-7.2115384615384359E-3</v>
      </c>
      <c r="L448">
        <f t="shared" si="45"/>
        <v>-3.6079879174358842E-3</v>
      </c>
      <c r="M448">
        <f t="shared" si="46"/>
        <v>2.6591815630079285E-3</v>
      </c>
    </row>
    <row r="449" spans="1:13" x14ac:dyDescent="0.3">
      <c r="A449" s="3">
        <v>42650</v>
      </c>
      <c r="B449" s="8">
        <v>12.15285589</v>
      </c>
      <c r="C449" s="8">
        <v>119.24</v>
      </c>
      <c r="D449" s="8">
        <v>68.11</v>
      </c>
      <c r="E449">
        <v>1.0000000000000001E-5</v>
      </c>
      <c r="G449">
        <f t="shared" si="41"/>
        <v>100.26259291025501</v>
      </c>
      <c r="H449">
        <f t="shared" si="42"/>
        <v>4.2601098519445824E-3</v>
      </c>
      <c r="I449">
        <f t="shared" si="43"/>
        <v>4.2501098519445828E-3</v>
      </c>
      <c r="K449">
        <f t="shared" si="44"/>
        <v>-8.0710250201776468E-3</v>
      </c>
      <c r="L449">
        <f t="shared" si="45"/>
        <v>4.1263157894735336E-3</v>
      </c>
      <c r="M449">
        <f t="shared" si="46"/>
        <v>3.5361720937083785E-3</v>
      </c>
    </row>
    <row r="450" spans="1:13" x14ac:dyDescent="0.3">
      <c r="A450" s="3">
        <v>42653</v>
      </c>
      <c r="B450" s="8">
        <v>11.984752919999998</v>
      </c>
      <c r="C450" s="8">
        <v>119.8</v>
      </c>
      <c r="D450" s="8">
        <v>68.64</v>
      </c>
      <c r="E450">
        <v>1.0000000000000001E-5</v>
      </c>
      <c r="G450">
        <f t="shared" si="41"/>
        <v>100.39155118638266</v>
      </c>
      <c r="H450">
        <f t="shared" si="42"/>
        <v>1.2862052774067489E-3</v>
      </c>
      <c r="I450">
        <f t="shared" si="43"/>
        <v>1.2762052774067489E-3</v>
      </c>
      <c r="K450">
        <f t="shared" si="44"/>
        <v>-1.3832384052074986E-2</v>
      </c>
      <c r="L450">
        <f t="shared" si="45"/>
        <v>4.6964106004696582E-3</v>
      </c>
      <c r="M450">
        <f t="shared" si="46"/>
        <v>7.7815298781382936E-3</v>
      </c>
    </row>
    <row r="451" spans="1:13" x14ac:dyDescent="0.3">
      <c r="A451" s="3">
        <v>42654</v>
      </c>
      <c r="B451" s="8">
        <v>11.85620359</v>
      </c>
      <c r="C451" s="8">
        <v>117.64</v>
      </c>
      <c r="D451" s="8">
        <v>68.31</v>
      </c>
      <c r="E451">
        <v>1.0000000000000001E-5</v>
      </c>
      <c r="G451">
        <f t="shared" si="41"/>
        <v>98.771113194047501</v>
      </c>
      <c r="H451">
        <f t="shared" si="42"/>
        <v>-1.6141178945693557E-2</v>
      </c>
      <c r="I451">
        <f t="shared" si="43"/>
        <v>-1.6151178945693557E-2</v>
      </c>
      <c r="K451">
        <f t="shared" si="44"/>
        <v>-1.0726072607260551E-2</v>
      </c>
      <c r="L451">
        <f t="shared" si="45"/>
        <v>-1.8030050083472471E-2</v>
      </c>
      <c r="M451">
        <f t="shared" si="46"/>
        <v>-4.8076923076922906E-3</v>
      </c>
    </row>
    <row r="452" spans="1:13" x14ac:dyDescent="0.3">
      <c r="A452" s="3">
        <v>42655</v>
      </c>
      <c r="B452" s="8">
        <v>11.826538360000001</v>
      </c>
      <c r="C452" s="8">
        <v>117.97</v>
      </c>
      <c r="D452" s="8">
        <v>68.13</v>
      </c>
      <c r="E452">
        <v>1.0000000000000001E-5</v>
      </c>
      <c r="G452">
        <f t="shared" si="41"/>
        <v>100.020174761265</v>
      </c>
      <c r="H452">
        <f t="shared" si="42"/>
        <v>1.2646020955171089E-2</v>
      </c>
      <c r="I452">
        <f t="shared" si="43"/>
        <v>1.2636020955171089E-2</v>
      </c>
      <c r="K452">
        <f t="shared" si="44"/>
        <v>-2.5020850708923348E-3</v>
      </c>
      <c r="L452">
        <f t="shared" si="45"/>
        <v>2.8051683100986935E-3</v>
      </c>
      <c r="M452">
        <f t="shared" si="46"/>
        <v>-2.6350461133071157E-3</v>
      </c>
    </row>
    <row r="453" spans="1:13" x14ac:dyDescent="0.3">
      <c r="A453" s="3">
        <v>42656</v>
      </c>
      <c r="B453" s="8">
        <v>11.777096309999999</v>
      </c>
      <c r="C453" s="8">
        <v>118.26</v>
      </c>
      <c r="D453" s="8">
        <v>67.739999999999995</v>
      </c>
      <c r="E453">
        <v>1.0000000000000001E-5</v>
      </c>
      <c r="G453">
        <f t="shared" ref="G453:G516" si="47">$G$4*(B453*$P$8/B452 + C453*$Q$8/C452 + D453*$R$8/D452)</f>
        <v>99.868328788105771</v>
      </c>
      <c r="H453">
        <f t="shared" ref="H453:H516" si="48">G453/G452-1</f>
        <v>-1.518153447758519E-3</v>
      </c>
      <c r="I453">
        <f t="shared" si="43"/>
        <v>-1.528153447758519E-3</v>
      </c>
      <c r="K453">
        <f t="shared" si="44"/>
        <v>-4.180602006689127E-3</v>
      </c>
      <c r="L453">
        <f t="shared" si="45"/>
        <v>2.4582520979909983E-3</v>
      </c>
      <c r="M453">
        <f t="shared" si="46"/>
        <v>-5.7243505063848676E-3</v>
      </c>
    </row>
    <row r="454" spans="1:13" x14ac:dyDescent="0.3">
      <c r="A454" s="3">
        <v>42657</v>
      </c>
      <c r="B454" s="8">
        <v>11.777096309999999</v>
      </c>
      <c r="C454" s="8">
        <v>117.56</v>
      </c>
      <c r="D454" s="8">
        <v>67.52</v>
      </c>
      <c r="E454">
        <v>1.0000000000000001E-5</v>
      </c>
      <c r="G454">
        <f t="shared" si="47"/>
        <v>99.570647430331462</v>
      </c>
      <c r="H454">
        <f t="shared" si="48"/>
        <v>-2.9807383520545905E-3</v>
      </c>
      <c r="I454">
        <f t="shared" ref="I454:I517" si="49">H454-E454</f>
        <v>-2.9907383520545905E-3</v>
      </c>
      <c r="K454">
        <f t="shared" ref="K454:K517" si="50">B454/B453-1</f>
        <v>0</v>
      </c>
      <c r="L454">
        <f t="shared" ref="L454:L517" si="51">C454/C453-1</f>
        <v>-5.919161170302778E-3</v>
      </c>
      <c r="M454">
        <f t="shared" ref="M454:M517" si="52">D454/D453-1</f>
        <v>-3.2477118393858806E-3</v>
      </c>
    </row>
    <row r="455" spans="1:13" x14ac:dyDescent="0.3">
      <c r="A455" s="3">
        <v>42660</v>
      </c>
      <c r="B455" s="8">
        <v>11.74743108</v>
      </c>
      <c r="C455" s="8">
        <v>118.49</v>
      </c>
      <c r="D455" s="8">
        <v>67.17</v>
      </c>
      <c r="E455">
        <v>1.0000000000000001E-5</v>
      </c>
      <c r="G455">
        <f t="shared" si="47"/>
        <v>100.18901971881684</v>
      </c>
      <c r="H455">
        <f t="shared" si="48"/>
        <v>6.2103873424950162E-3</v>
      </c>
      <c r="I455">
        <f t="shared" si="49"/>
        <v>6.2003873424950166E-3</v>
      </c>
      <c r="K455">
        <f t="shared" si="50"/>
        <v>-2.5188916876573986E-3</v>
      </c>
      <c r="L455">
        <f t="shared" si="51"/>
        <v>7.9108540319836607E-3</v>
      </c>
      <c r="M455">
        <f t="shared" si="52"/>
        <v>-5.1836492890994235E-3</v>
      </c>
    </row>
    <row r="456" spans="1:13" x14ac:dyDescent="0.3">
      <c r="A456" s="3">
        <v>42661</v>
      </c>
      <c r="B456" s="8">
        <v>11.75731949</v>
      </c>
      <c r="C456" s="8">
        <v>115.41</v>
      </c>
      <c r="D456" s="8">
        <v>67.7</v>
      </c>
      <c r="E456">
        <v>1.0000000000000001E-5</v>
      </c>
      <c r="G456">
        <f t="shared" si="47"/>
        <v>98.956963215134962</v>
      </c>
      <c r="H456">
        <f t="shared" si="48"/>
        <v>-1.2297320675855206E-2</v>
      </c>
      <c r="I456">
        <f t="shared" si="49"/>
        <v>-1.2307320675855205E-2</v>
      </c>
      <c r="K456">
        <f t="shared" si="50"/>
        <v>8.4175084175086567E-4</v>
      </c>
      <c r="L456">
        <f t="shared" si="51"/>
        <v>-2.5993754747236086E-2</v>
      </c>
      <c r="M456">
        <f t="shared" si="52"/>
        <v>7.8904272740807357E-3</v>
      </c>
    </row>
    <row r="457" spans="1:13" x14ac:dyDescent="0.3">
      <c r="A457" s="3">
        <v>42662</v>
      </c>
      <c r="B457" s="8">
        <v>11.875980409999999</v>
      </c>
      <c r="C457" s="8">
        <v>114.59</v>
      </c>
      <c r="D457" s="8">
        <v>68.349999999999994</v>
      </c>
      <c r="E457">
        <v>1.0000000000000001E-5</v>
      </c>
      <c r="G457">
        <f t="shared" si="47"/>
        <v>100.0983992443262</v>
      </c>
      <c r="H457">
        <f t="shared" si="48"/>
        <v>1.1534671155073006E-2</v>
      </c>
      <c r="I457">
        <f t="shared" si="49"/>
        <v>1.1524671155073007E-2</v>
      </c>
      <c r="K457">
        <f t="shared" si="50"/>
        <v>1.0092514718250456E-2</v>
      </c>
      <c r="L457">
        <f t="shared" si="51"/>
        <v>-7.105103543886937E-3</v>
      </c>
      <c r="M457">
        <f t="shared" si="52"/>
        <v>9.6011816838994513E-3</v>
      </c>
    </row>
    <row r="458" spans="1:13" x14ac:dyDescent="0.3">
      <c r="A458" s="3">
        <v>42663</v>
      </c>
      <c r="B458" s="8">
        <v>11.836426770000001</v>
      </c>
      <c r="C458" s="8">
        <v>114.87</v>
      </c>
      <c r="D458" s="8">
        <v>68.260000000000005</v>
      </c>
      <c r="E458">
        <v>1.0000000000000001E-5</v>
      </c>
      <c r="G458">
        <f t="shared" si="47"/>
        <v>100.04233411100437</v>
      </c>
      <c r="H458">
        <f t="shared" si="48"/>
        <v>-5.6010019885521789E-4</v>
      </c>
      <c r="I458">
        <f t="shared" si="49"/>
        <v>-5.7010019885521792E-4</v>
      </c>
      <c r="K458">
        <f t="shared" si="50"/>
        <v>-3.3305578684427184E-3</v>
      </c>
      <c r="L458">
        <f t="shared" si="51"/>
        <v>2.4434941967013124E-3</v>
      </c>
      <c r="M458">
        <f t="shared" si="52"/>
        <v>-1.3167520117043363E-3</v>
      </c>
    </row>
    <row r="459" spans="1:13" x14ac:dyDescent="0.3">
      <c r="A459" s="3">
        <v>42664</v>
      </c>
      <c r="B459" s="8">
        <v>11.885868819999999</v>
      </c>
      <c r="C459" s="8">
        <v>113.44</v>
      </c>
      <c r="D459" s="8">
        <v>68.489999999999995</v>
      </c>
      <c r="E459">
        <v>1.0000000000000001E-5</v>
      </c>
      <c r="G459">
        <f t="shared" si="47"/>
        <v>99.524618159972718</v>
      </c>
      <c r="H459">
        <f t="shared" si="48"/>
        <v>-5.1749687333084715E-3</v>
      </c>
      <c r="I459">
        <f t="shared" si="49"/>
        <v>-5.1849687333084711E-3</v>
      </c>
      <c r="K459">
        <f t="shared" si="50"/>
        <v>4.1771094402671682E-3</v>
      </c>
      <c r="L459">
        <f t="shared" si="51"/>
        <v>-1.2448855227648714E-2</v>
      </c>
      <c r="M459">
        <f t="shared" si="52"/>
        <v>3.369469674772807E-3</v>
      </c>
    </row>
    <row r="460" spans="1:13" x14ac:dyDescent="0.3">
      <c r="A460" s="3">
        <v>42667</v>
      </c>
      <c r="B460" s="8">
        <v>12.053971789999999</v>
      </c>
      <c r="C460" s="8">
        <v>113.61</v>
      </c>
      <c r="D460" s="8">
        <v>68.87</v>
      </c>
      <c r="E460">
        <v>1.0000000000000001E-5</v>
      </c>
      <c r="G460">
        <f t="shared" si="47"/>
        <v>100.43476935645381</v>
      </c>
      <c r="H460">
        <f t="shared" si="48"/>
        <v>9.1449855654621715E-3</v>
      </c>
      <c r="I460">
        <f t="shared" si="49"/>
        <v>9.1349855654621719E-3</v>
      </c>
      <c r="K460">
        <f t="shared" si="50"/>
        <v>1.4143094841930104E-2</v>
      </c>
      <c r="L460">
        <f t="shared" si="51"/>
        <v>1.4985895627643853E-3</v>
      </c>
      <c r="M460">
        <f t="shared" si="52"/>
        <v>5.548255219740339E-3</v>
      </c>
    </row>
    <row r="461" spans="1:13" x14ac:dyDescent="0.3">
      <c r="A461" s="3">
        <v>42668</v>
      </c>
      <c r="B461" s="8">
        <v>11.717765849999999</v>
      </c>
      <c r="C461" s="8">
        <v>113.96</v>
      </c>
      <c r="D461" s="8">
        <v>68.8</v>
      </c>
      <c r="E461">
        <v>1.0000000000000001E-5</v>
      </c>
      <c r="G461">
        <f t="shared" si="47"/>
        <v>99.829294333595712</v>
      </c>
      <c r="H461">
        <f t="shared" si="48"/>
        <v>-6.0285399840885878E-3</v>
      </c>
      <c r="I461">
        <f t="shared" si="49"/>
        <v>-6.0385399840885874E-3</v>
      </c>
      <c r="K461">
        <f t="shared" si="50"/>
        <v>-2.7891714520098421E-2</v>
      </c>
      <c r="L461">
        <f t="shared" si="51"/>
        <v>3.0807147258162804E-3</v>
      </c>
      <c r="M461">
        <f t="shared" si="52"/>
        <v>-1.0164077246987979E-3</v>
      </c>
    </row>
    <row r="462" spans="1:13" x14ac:dyDescent="0.3">
      <c r="A462" s="3">
        <v>42669</v>
      </c>
      <c r="B462" s="8">
        <v>11.74743108</v>
      </c>
      <c r="C462" s="8">
        <v>114.56</v>
      </c>
      <c r="D462" s="8">
        <v>69.13</v>
      </c>
      <c r="E462">
        <v>1.0000000000000001E-5</v>
      </c>
      <c r="G462">
        <f t="shared" si="47"/>
        <v>100.48022438937542</v>
      </c>
      <c r="H462">
        <f t="shared" si="48"/>
        <v>6.5204313035061023E-3</v>
      </c>
      <c r="I462">
        <f t="shared" si="49"/>
        <v>6.5104313035061027E-3</v>
      </c>
      <c r="K462">
        <f t="shared" si="50"/>
        <v>2.5316455696202667E-3</v>
      </c>
      <c r="L462">
        <f t="shared" si="51"/>
        <v>5.2650052650053958E-3</v>
      </c>
      <c r="M462">
        <f t="shared" si="52"/>
        <v>4.796511627906952E-3</v>
      </c>
    </row>
    <row r="463" spans="1:13" x14ac:dyDescent="0.3">
      <c r="A463" s="3">
        <v>42670</v>
      </c>
      <c r="B463" s="8">
        <v>11.60899334</v>
      </c>
      <c r="C463" s="8">
        <v>115.7</v>
      </c>
      <c r="D463" s="8">
        <v>69.23</v>
      </c>
      <c r="E463">
        <v>1.0000000000000001E-5</v>
      </c>
      <c r="G463">
        <f t="shared" si="47"/>
        <v>100.44728174725677</v>
      </c>
      <c r="H463">
        <f t="shared" si="48"/>
        <v>-3.2785199594098646E-4</v>
      </c>
      <c r="I463">
        <f t="shared" si="49"/>
        <v>-3.3785199594098649E-4</v>
      </c>
      <c r="K463">
        <f t="shared" si="50"/>
        <v>-1.1784511784511786E-2</v>
      </c>
      <c r="L463">
        <f t="shared" si="51"/>
        <v>9.951117318435676E-3</v>
      </c>
      <c r="M463">
        <f t="shared" si="52"/>
        <v>1.4465499783018476E-3</v>
      </c>
    </row>
    <row r="464" spans="1:13" x14ac:dyDescent="0.3">
      <c r="A464" s="3">
        <v>42671</v>
      </c>
      <c r="B464" s="8">
        <v>11.589216520000001</v>
      </c>
      <c r="C464" s="8">
        <v>115.33</v>
      </c>
      <c r="D464" s="8">
        <v>69.11</v>
      </c>
      <c r="E464">
        <v>1.0000000000000001E-5</v>
      </c>
      <c r="G464">
        <f t="shared" si="47"/>
        <v>99.750981928545329</v>
      </c>
      <c r="H464">
        <f t="shared" si="48"/>
        <v>-6.9319926492730222E-3</v>
      </c>
      <c r="I464">
        <f t="shared" si="49"/>
        <v>-6.9419926492730218E-3</v>
      </c>
      <c r="K464">
        <f t="shared" si="50"/>
        <v>-1.7035775127767216E-3</v>
      </c>
      <c r="L464">
        <f t="shared" si="51"/>
        <v>-3.1979256698357883E-3</v>
      </c>
      <c r="M464">
        <f t="shared" si="52"/>
        <v>-1.7333525928066029E-3</v>
      </c>
    </row>
    <row r="465" spans="1:13" x14ac:dyDescent="0.3">
      <c r="A465" s="3">
        <v>42674</v>
      </c>
      <c r="B465" s="8">
        <v>11.60899334</v>
      </c>
      <c r="C465" s="8">
        <v>115.99</v>
      </c>
      <c r="D465" s="8">
        <v>69.260000000000005</v>
      </c>
      <c r="E465">
        <v>1.0000000000000001E-5</v>
      </c>
      <c r="G465">
        <f t="shared" si="47"/>
        <v>100.39650490031453</v>
      </c>
      <c r="H465">
        <f t="shared" si="48"/>
        <v>6.4713445350503829E-3</v>
      </c>
      <c r="I465">
        <f t="shared" si="49"/>
        <v>6.4613445350503833E-3</v>
      </c>
      <c r="K465">
        <f t="shared" si="50"/>
        <v>1.7064846416381396E-3</v>
      </c>
      <c r="L465">
        <f t="shared" si="51"/>
        <v>5.7227087488076478E-3</v>
      </c>
      <c r="M465">
        <f t="shared" si="52"/>
        <v>2.1704529011721263E-3</v>
      </c>
    </row>
    <row r="466" spans="1:13" x14ac:dyDescent="0.3">
      <c r="A466" s="3">
        <v>42675</v>
      </c>
      <c r="B466" s="8">
        <v>11.480444009999999</v>
      </c>
      <c r="C466" s="8">
        <v>115.34</v>
      </c>
      <c r="D466" s="8">
        <v>68.97</v>
      </c>
      <c r="E466">
        <v>1.0000000000000001E-5</v>
      </c>
      <c r="G466">
        <f t="shared" si="47"/>
        <v>99.435603117029075</v>
      </c>
      <c r="H466">
        <f t="shared" si="48"/>
        <v>-9.5710680789091729E-3</v>
      </c>
      <c r="I466">
        <f t="shared" si="49"/>
        <v>-9.5810680789091725E-3</v>
      </c>
      <c r="K466">
        <f t="shared" si="50"/>
        <v>-1.1073253833049468E-2</v>
      </c>
      <c r="L466">
        <f t="shared" si="51"/>
        <v>-5.6039313733942109E-3</v>
      </c>
      <c r="M466">
        <f t="shared" si="52"/>
        <v>-4.1871209933584952E-3</v>
      </c>
    </row>
    <row r="467" spans="1:13" x14ac:dyDescent="0.3">
      <c r="A467" s="3">
        <v>42676</v>
      </c>
      <c r="B467" s="8">
        <v>11.2727874</v>
      </c>
      <c r="C467" s="8">
        <v>114.86</v>
      </c>
      <c r="D467" s="8">
        <v>68.680000000000007</v>
      </c>
      <c r="E467">
        <v>1.0000000000000001E-5</v>
      </c>
      <c r="G467">
        <f t="shared" si="47"/>
        <v>99.436266240109077</v>
      </c>
      <c r="H467">
        <f t="shared" si="48"/>
        <v>6.6688696926942015E-6</v>
      </c>
      <c r="I467">
        <f t="shared" si="49"/>
        <v>-3.3311303073057993E-6</v>
      </c>
      <c r="K467">
        <f t="shared" si="50"/>
        <v>-1.8087855297157507E-2</v>
      </c>
      <c r="L467">
        <f t="shared" si="51"/>
        <v>-4.1616091555402024E-3</v>
      </c>
      <c r="M467">
        <f t="shared" si="52"/>
        <v>-4.2047266927648375E-3</v>
      </c>
    </row>
    <row r="468" spans="1:13" x14ac:dyDescent="0.3">
      <c r="A468" s="3">
        <v>42677</v>
      </c>
      <c r="B468" s="8">
        <v>11.223345349999999</v>
      </c>
      <c r="C468" s="8">
        <v>115.03</v>
      </c>
      <c r="D468" s="8">
        <v>68.38</v>
      </c>
      <c r="E468">
        <v>1.0000000000000001E-5</v>
      </c>
      <c r="G468">
        <f t="shared" si="47"/>
        <v>99.866457212876753</v>
      </c>
      <c r="H468">
        <f t="shared" si="48"/>
        <v>4.3262985330612125E-3</v>
      </c>
      <c r="I468">
        <f t="shared" si="49"/>
        <v>4.3162985330612129E-3</v>
      </c>
      <c r="K468">
        <f t="shared" si="50"/>
        <v>-4.3859649122808264E-3</v>
      </c>
      <c r="L468">
        <f t="shared" si="51"/>
        <v>1.4800626850077769E-3</v>
      </c>
      <c r="M468">
        <f t="shared" si="52"/>
        <v>-4.3680838672104372E-3</v>
      </c>
    </row>
    <row r="469" spans="1:13" x14ac:dyDescent="0.3">
      <c r="A469" s="3">
        <v>42678</v>
      </c>
      <c r="B469" s="8">
        <v>11.21345694</v>
      </c>
      <c r="C469" s="8">
        <v>115.11</v>
      </c>
      <c r="D469" s="8">
        <v>67.760000000000005</v>
      </c>
      <c r="E469">
        <v>1.0000000000000001E-5</v>
      </c>
      <c r="G469">
        <f t="shared" si="47"/>
        <v>99.685653755679922</v>
      </c>
      <c r="H469">
        <f t="shared" si="48"/>
        <v>-1.8104523004298656E-3</v>
      </c>
      <c r="I469">
        <f t="shared" si="49"/>
        <v>-1.8204523004298656E-3</v>
      </c>
      <c r="K469">
        <f t="shared" si="50"/>
        <v>-8.8105726872234058E-4</v>
      </c>
      <c r="L469">
        <f t="shared" si="51"/>
        <v>6.9547074676168386E-4</v>
      </c>
      <c r="M469">
        <f t="shared" si="52"/>
        <v>-9.0669786487275195E-3</v>
      </c>
    </row>
    <row r="470" spans="1:13" x14ac:dyDescent="0.3">
      <c r="A470" s="3">
        <v>42681</v>
      </c>
      <c r="B470" s="8">
        <v>11.45077878</v>
      </c>
      <c r="C470" s="8">
        <v>116.66</v>
      </c>
      <c r="D470" s="8">
        <v>69.88</v>
      </c>
      <c r="E470">
        <v>1.0000000000000001E-5</v>
      </c>
      <c r="G470">
        <f t="shared" si="47"/>
        <v>102.09786339812669</v>
      </c>
      <c r="H470">
        <f t="shared" si="48"/>
        <v>2.4198162439289961E-2</v>
      </c>
      <c r="I470">
        <f t="shared" si="49"/>
        <v>2.4188162439289961E-2</v>
      </c>
      <c r="K470">
        <f t="shared" si="50"/>
        <v>2.1164021164021163E-2</v>
      </c>
      <c r="L470">
        <f t="shared" si="51"/>
        <v>1.3465380939970517E-2</v>
      </c>
      <c r="M470">
        <f t="shared" si="52"/>
        <v>3.1286894923258313E-2</v>
      </c>
    </row>
    <row r="471" spans="1:13" x14ac:dyDescent="0.3">
      <c r="A471" s="3">
        <v>42682</v>
      </c>
      <c r="B471" s="8">
        <v>11.351894680000001</v>
      </c>
      <c r="C471" s="8">
        <v>117.05</v>
      </c>
      <c r="D471" s="8">
        <v>70.03</v>
      </c>
      <c r="E471">
        <v>1.0000000000000001E-5</v>
      </c>
      <c r="G471">
        <f t="shared" si="47"/>
        <v>100.16374009226274</v>
      </c>
      <c r="H471">
        <f t="shared" si="48"/>
        <v>-1.8943817642117611E-2</v>
      </c>
      <c r="I471">
        <f t="shared" si="49"/>
        <v>-1.895381764211761E-2</v>
      </c>
      <c r="K471">
        <f t="shared" si="50"/>
        <v>-8.6355785837650689E-3</v>
      </c>
      <c r="L471">
        <f t="shared" si="51"/>
        <v>3.3430481741814067E-3</v>
      </c>
      <c r="M471">
        <f t="shared" si="52"/>
        <v>2.1465369204352047E-3</v>
      </c>
    </row>
    <row r="472" spans="1:13" x14ac:dyDescent="0.3">
      <c r="A472" s="3">
        <v>42683</v>
      </c>
      <c r="B472" s="8">
        <v>11.45077878</v>
      </c>
      <c r="C472" s="8">
        <v>120.31</v>
      </c>
      <c r="D472" s="8">
        <v>73.25</v>
      </c>
      <c r="E472">
        <v>1.0000000000000001E-5</v>
      </c>
      <c r="G472">
        <f t="shared" si="47"/>
        <v>103.26674806648694</v>
      </c>
      <c r="H472">
        <f t="shared" si="48"/>
        <v>3.09793541192247E-2</v>
      </c>
      <c r="I472">
        <f t="shared" si="49"/>
        <v>3.0969354119224701E-2</v>
      </c>
      <c r="K472">
        <f t="shared" si="50"/>
        <v>8.7108013937282625E-3</v>
      </c>
      <c r="L472">
        <f t="shared" si="51"/>
        <v>2.7851345578812525E-2</v>
      </c>
      <c r="M472">
        <f t="shared" si="52"/>
        <v>4.5980294159645885E-2</v>
      </c>
    </row>
    <row r="473" spans="1:13" x14ac:dyDescent="0.3">
      <c r="A473" s="3">
        <v>42684</v>
      </c>
      <c r="B473" s="8">
        <v>11.806761539999998</v>
      </c>
      <c r="C473" s="8">
        <v>119.54</v>
      </c>
      <c r="D473" s="8">
        <v>76.650000000000006</v>
      </c>
      <c r="E473">
        <v>1.0000000000000001E-5</v>
      </c>
      <c r="G473">
        <f t="shared" si="47"/>
        <v>101.74041129638766</v>
      </c>
      <c r="H473">
        <f t="shared" si="48"/>
        <v>-1.4780525180444037E-2</v>
      </c>
      <c r="I473">
        <f t="shared" si="49"/>
        <v>-1.4790525180444037E-2</v>
      </c>
      <c r="K473">
        <f t="shared" si="50"/>
        <v>3.1088082901554293E-2</v>
      </c>
      <c r="L473">
        <f t="shared" si="51"/>
        <v>-6.4001329897763748E-3</v>
      </c>
      <c r="M473">
        <f t="shared" si="52"/>
        <v>4.641638225255984E-2</v>
      </c>
    </row>
    <row r="474" spans="1:13" x14ac:dyDescent="0.3">
      <c r="A474" s="3">
        <v>42685</v>
      </c>
      <c r="B474" s="8">
        <v>12.142967479999999</v>
      </c>
      <c r="C474" s="8">
        <v>118.47</v>
      </c>
      <c r="D474" s="8">
        <v>76.69</v>
      </c>
      <c r="E474">
        <v>1.0000000000000001E-5</v>
      </c>
      <c r="G474">
        <f t="shared" si="47"/>
        <v>99.853614833876634</v>
      </c>
      <c r="H474">
        <f t="shared" si="48"/>
        <v>-1.8545201837394387E-2</v>
      </c>
      <c r="I474">
        <f t="shared" si="49"/>
        <v>-1.8555201837394387E-2</v>
      </c>
      <c r="K474">
        <f t="shared" si="50"/>
        <v>2.8475711892797406E-2</v>
      </c>
      <c r="L474">
        <f t="shared" si="51"/>
        <v>-8.9509787518822215E-3</v>
      </c>
      <c r="M474">
        <f t="shared" si="52"/>
        <v>5.2185257664705276E-4</v>
      </c>
    </row>
    <row r="475" spans="1:13" x14ac:dyDescent="0.3">
      <c r="A475" s="3">
        <v>42688</v>
      </c>
      <c r="B475" s="8">
        <v>11.92542246</v>
      </c>
      <c r="C475" s="8">
        <v>116.6</v>
      </c>
      <c r="D475" s="8">
        <v>79.510000000000005</v>
      </c>
      <c r="E475">
        <v>1.0000000000000001E-5</v>
      </c>
      <c r="G475">
        <f t="shared" si="47"/>
        <v>100.3769469590984</v>
      </c>
      <c r="H475">
        <f t="shared" si="48"/>
        <v>5.2409932889503352E-3</v>
      </c>
      <c r="I475">
        <f t="shared" si="49"/>
        <v>5.2309932889503356E-3</v>
      </c>
      <c r="K475">
        <f t="shared" si="50"/>
        <v>-1.7915309446253969E-2</v>
      </c>
      <c r="L475">
        <f t="shared" si="51"/>
        <v>-1.5784586815227541E-2</v>
      </c>
      <c r="M475">
        <f t="shared" si="52"/>
        <v>3.6771417394706019E-2</v>
      </c>
    </row>
    <row r="476" spans="1:13" x14ac:dyDescent="0.3">
      <c r="A476" s="3">
        <v>42689</v>
      </c>
      <c r="B476" s="8">
        <v>11.905645639999999</v>
      </c>
      <c r="C476" s="8">
        <v>116.32</v>
      </c>
      <c r="D476" s="8">
        <v>79.36</v>
      </c>
      <c r="E476">
        <v>1.0000000000000001E-5</v>
      </c>
      <c r="G476">
        <f t="shared" si="47"/>
        <v>99.787022655683444</v>
      </c>
      <c r="H476">
        <f t="shared" si="48"/>
        <v>-5.8770895239057541E-3</v>
      </c>
      <c r="I476">
        <f t="shared" si="49"/>
        <v>-5.8870895239057537E-3</v>
      </c>
      <c r="K476">
        <f t="shared" si="50"/>
        <v>-1.6583747927032544E-3</v>
      </c>
      <c r="L476">
        <f t="shared" si="51"/>
        <v>-2.4013722126929871E-3</v>
      </c>
      <c r="M476">
        <f t="shared" si="52"/>
        <v>-1.8865551502956768E-3</v>
      </c>
    </row>
    <row r="477" spans="1:13" x14ac:dyDescent="0.3">
      <c r="A477" s="3">
        <v>42690</v>
      </c>
      <c r="B477" s="8">
        <v>11.866092</v>
      </c>
      <c r="C477" s="8">
        <v>116.36</v>
      </c>
      <c r="D477" s="8">
        <v>77.400000000000006</v>
      </c>
      <c r="E477">
        <v>1.0000000000000001E-5</v>
      </c>
      <c r="G477">
        <f t="shared" si="47"/>
        <v>99.053630221913252</v>
      </c>
      <c r="H477">
        <f t="shared" si="48"/>
        <v>-7.3495772721947628E-3</v>
      </c>
      <c r="I477">
        <f t="shared" si="49"/>
        <v>-7.3595772721947623E-3</v>
      </c>
      <c r="K477">
        <f t="shared" si="50"/>
        <v>-3.3222591362125353E-3</v>
      </c>
      <c r="L477">
        <f t="shared" si="51"/>
        <v>3.4387895460796791E-4</v>
      </c>
      <c r="M477">
        <f t="shared" si="52"/>
        <v>-2.4697580645161255E-2</v>
      </c>
    </row>
    <row r="478" spans="1:13" x14ac:dyDescent="0.3">
      <c r="A478" s="3">
        <v>42691</v>
      </c>
      <c r="B478" s="8">
        <v>11.737542669999998</v>
      </c>
      <c r="C478" s="8">
        <v>116.57</v>
      </c>
      <c r="D478" s="8">
        <v>78.02</v>
      </c>
      <c r="E478">
        <v>1.0000000000000001E-5</v>
      </c>
      <c r="G478">
        <f t="shared" si="47"/>
        <v>100.28154717590725</v>
      </c>
      <c r="H478">
        <f t="shared" si="48"/>
        <v>1.2396486138297469E-2</v>
      </c>
      <c r="I478">
        <f t="shared" si="49"/>
        <v>1.2386486138297469E-2</v>
      </c>
      <c r="K478">
        <f t="shared" si="50"/>
        <v>-1.0833333333333472E-2</v>
      </c>
      <c r="L478">
        <f t="shared" si="51"/>
        <v>1.8047438982466968E-3</v>
      </c>
      <c r="M478">
        <f t="shared" si="52"/>
        <v>8.0103359173124833E-3</v>
      </c>
    </row>
    <row r="479" spans="1:13" x14ac:dyDescent="0.3">
      <c r="A479" s="3">
        <v>42692</v>
      </c>
      <c r="B479" s="8">
        <v>11.62877016</v>
      </c>
      <c r="C479" s="8">
        <v>115.36</v>
      </c>
      <c r="D479" s="8">
        <v>77.709999999999994</v>
      </c>
      <c r="E479">
        <v>1.0000000000000001E-5</v>
      </c>
      <c r="G479">
        <f t="shared" si="47"/>
        <v>99.214751509456121</v>
      </c>
      <c r="H479">
        <f t="shared" si="48"/>
        <v>-1.0638005660002725E-2</v>
      </c>
      <c r="I479">
        <f t="shared" si="49"/>
        <v>-1.0648005660002725E-2</v>
      </c>
      <c r="K479">
        <f t="shared" si="50"/>
        <v>-9.2670598146585847E-3</v>
      </c>
      <c r="L479">
        <f t="shared" si="51"/>
        <v>-1.0380029167024074E-2</v>
      </c>
      <c r="M479">
        <f t="shared" si="52"/>
        <v>-3.9733401691873782E-3</v>
      </c>
    </row>
    <row r="480" spans="1:13" x14ac:dyDescent="0.3">
      <c r="A480" s="3">
        <v>42695</v>
      </c>
      <c r="B480" s="8">
        <v>11.658435389999999</v>
      </c>
      <c r="C480" s="8">
        <v>115</v>
      </c>
      <c r="D480" s="8">
        <v>78.05</v>
      </c>
      <c r="E480">
        <v>1.0000000000000001E-5</v>
      </c>
      <c r="G480">
        <f t="shared" si="47"/>
        <v>100.02945264721687</v>
      </c>
      <c r="H480">
        <f t="shared" si="48"/>
        <v>8.2114919945457387E-3</v>
      </c>
      <c r="I480">
        <f t="shared" si="49"/>
        <v>8.2014919945457392E-3</v>
      </c>
      <c r="K480">
        <f t="shared" si="50"/>
        <v>2.5510204081631294E-3</v>
      </c>
      <c r="L480">
        <f t="shared" si="51"/>
        <v>-3.1206657420249639E-3</v>
      </c>
      <c r="M480">
        <f t="shared" si="52"/>
        <v>4.3752412816884245E-3</v>
      </c>
    </row>
    <row r="481" spans="1:13" x14ac:dyDescent="0.3">
      <c r="A481" s="3">
        <v>42696</v>
      </c>
      <c r="B481" s="8">
        <v>11.75731949</v>
      </c>
      <c r="C481" s="8">
        <v>112.74</v>
      </c>
      <c r="D481" s="8">
        <v>78.53</v>
      </c>
      <c r="E481">
        <v>1.0000000000000001E-5</v>
      </c>
      <c r="G481">
        <f t="shared" si="47"/>
        <v>99.30059133806617</v>
      </c>
      <c r="H481">
        <f t="shared" si="48"/>
        <v>-7.2864670340768711E-3</v>
      </c>
      <c r="I481">
        <f t="shared" si="49"/>
        <v>-7.2964670340768707E-3</v>
      </c>
      <c r="K481">
        <f t="shared" si="50"/>
        <v>8.4817642069552335E-3</v>
      </c>
      <c r="L481">
        <f t="shared" si="51"/>
        <v>-1.9652173913043525E-2</v>
      </c>
      <c r="M481">
        <f t="shared" si="52"/>
        <v>6.1499039077514972E-3</v>
      </c>
    </row>
    <row r="482" spans="1:13" x14ac:dyDescent="0.3">
      <c r="A482" s="3">
        <v>42697</v>
      </c>
      <c r="B482" s="8">
        <v>11.767207900000001</v>
      </c>
      <c r="C482" s="8">
        <v>113.07</v>
      </c>
      <c r="D482" s="8">
        <v>78.86</v>
      </c>
      <c r="E482">
        <v>1.0000000000000001E-5</v>
      </c>
      <c r="G482">
        <f t="shared" si="47"/>
        <v>100.31883096729328</v>
      </c>
      <c r="H482">
        <f t="shared" si="48"/>
        <v>1.0254114456987873E-2</v>
      </c>
      <c r="I482">
        <f t="shared" si="49"/>
        <v>1.0244114456987873E-2</v>
      </c>
      <c r="K482">
        <f t="shared" si="50"/>
        <v>8.41042893187538E-4</v>
      </c>
      <c r="L482">
        <f t="shared" si="51"/>
        <v>2.9270888770622783E-3</v>
      </c>
      <c r="M482">
        <f t="shared" si="52"/>
        <v>4.2022157137400207E-3</v>
      </c>
    </row>
    <row r="483" spans="1:13" x14ac:dyDescent="0.3">
      <c r="A483" s="3">
        <v>42699</v>
      </c>
      <c r="B483" s="8">
        <v>11.905645639999999</v>
      </c>
      <c r="C483" s="8">
        <v>114.13</v>
      </c>
      <c r="D483" s="8">
        <v>78.83</v>
      </c>
      <c r="E483">
        <v>1.0000000000000001E-5</v>
      </c>
      <c r="G483">
        <f t="shared" si="47"/>
        <v>100.59542387639193</v>
      </c>
      <c r="H483">
        <f t="shared" si="48"/>
        <v>2.7571384797020482E-3</v>
      </c>
      <c r="I483">
        <f t="shared" si="49"/>
        <v>2.7471384797020481E-3</v>
      </c>
      <c r="K483">
        <f t="shared" si="50"/>
        <v>1.1764705882352899E-2</v>
      </c>
      <c r="L483">
        <f t="shared" si="51"/>
        <v>9.3747236225347752E-3</v>
      </c>
      <c r="M483">
        <f t="shared" si="52"/>
        <v>-3.8042099923918382E-4</v>
      </c>
    </row>
    <row r="484" spans="1:13" x14ac:dyDescent="0.3">
      <c r="A484" s="3">
        <v>42702</v>
      </c>
      <c r="B484" s="8">
        <v>11.78698472</v>
      </c>
      <c r="C484" s="8">
        <v>113.13</v>
      </c>
      <c r="D484" s="8">
        <v>78.319999999999993</v>
      </c>
      <c r="E484">
        <v>1.0000000000000001E-5</v>
      </c>
      <c r="G484">
        <f t="shared" si="47"/>
        <v>99.197441532679861</v>
      </c>
      <c r="H484">
        <f t="shared" si="48"/>
        <v>-1.3897076923000684E-2</v>
      </c>
      <c r="I484">
        <f t="shared" si="49"/>
        <v>-1.3907076923000684E-2</v>
      </c>
      <c r="K484">
        <f t="shared" si="50"/>
        <v>-9.966777408637828E-3</v>
      </c>
      <c r="L484">
        <f t="shared" si="51"/>
        <v>-8.7619381407166852E-3</v>
      </c>
      <c r="M484">
        <f t="shared" si="52"/>
        <v>-6.4696181656730412E-3</v>
      </c>
    </row>
    <row r="485" spans="1:13" x14ac:dyDescent="0.3">
      <c r="A485" s="3">
        <v>42703</v>
      </c>
      <c r="B485" s="8">
        <v>11.78698472</v>
      </c>
      <c r="C485" s="8">
        <v>112.48</v>
      </c>
      <c r="D485" s="8">
        <v>78.92</v>
      </c>
      <c r="E485">
        <v>1.0000000000000001E-5</v>
      </c>
      <c r="G485">
        <f t="shared" si="47"/>
        <v>99.990154569381076</v>
      </c>
      <c r="H485">
        <f t="shared" si="48"/>
        <v>7.9912649404376701E-3</v>
      </c>
      <c r="I485">
        <f t="shared" si="49"/>
        <v>7.9812649404376705E-3</v>
      </c>
      <c r="K485">
        <f t="shared" si="50"/>
        <v>0</v>
      </c>
      <c r="L485">
        <f t="shared" si="51"/>
        <v>-5.7456024043135434E-3</v>
      </c>
      <c r="M485">
        <f t="shared" si="52"/>
        <v>7.6608784473954916E-3</v>
      </c>
    </row>
    <row r="486" spans="1:13" x14ac:dyDescent="0.3">
      <c r="A486" s="3">
        <v>42704</v>
      </c>
      <c r="B486" s="8">
        <v>11.826538360000001</v>
      </c>
      <c r="C486" s="8">
        <v>111.3</v>
      </c>
      <c r="D486" s="8">
        <v>80.17</v>
      </c>
      <c r="E486">
        <v>1.0000000000000001E-5</v>
      </c>
      <c r="G486">
        <f t="shared" si="47"/>
        <v>100.08684761320868</v>
      </c>
      <c r="H486">
        <f t="shared" si="48"/>
        <v>9.6702564611494957E-4</v>
      </c>
      <c r="I486">
        <f t="shared" si="49"/>
        <v>9.5702564611494954E-4</v>
      </c>
      <c r="K486">
        <f t="shared" si="50"/>
        <v>3.3557046979866278E-3</v>
      </c>
      <c r="L486">
        <f t="shared" si="51"/>
        <v>-1.049075391180665E-2</v>
      </c>
      <c r="M486">
        <f t="shared" si="52"/>
        <v>1.5838824125696815E-2</v>
      </c>
    </row>
    <row r="487" spans="1:13" x14ac:dyDescent="0.3">
      <c r="A487" s="3">
        <v>42705</v>
      </c>
      <c r="B487" s="8">
        <v>12.29129363</v>
      </c>
      <c r="C487" s="8">
        <v>111.38</v>
      </c>
      <c r="D487" s="8">
        <v>81.790000000000006</v>
      </c>
      <c r="E487">
        <v>1.0000000000000001E-5</v>
      </c>
      <c r="G487">
        <f t="shared" si="47"/>
        <v>101.20955736988377</v>
      </c>
      <c r="H487">
        <f t="shared" si="48"/>
        <v>1.1217355561180975E-2</v>
      </c>
      <c r="I487">
        <f t="shared" si="49"/>
        <v>1.1207355561180975E-2</v>
      </c>
      <c r="K487">
        <f t="shared" si="50"/>
        <v>3.9297658862876172E-2</v>
      </c>
      <c r="L487">
        <f t="shared" si="51"/>
        <v>7.1877807726861143E-4</v>
      </c>
      <c r="M487">
        <f t="shared" si="52"/>
        <v>2.0207059997505272E-2</v>
      </c>
    </row>
    <row r="488" spans="1:13" x14ac:dyDescent="0.3">
      <c r="A488" s="3">
        <v>42706</v>
      </c>
      <c r="B488" s="8">
        <v>12.10341384</v>
      </c>
      <c r="C488" s="8">
        <v>111.96</v>
      </c>
      <c r="D488" s="8">
        <v>81.599999999999994</v>
      </c>
      <c r="E488">
        <v>1.0000000000000001E-5</v>
      </c>
      <c r="G488">
        <f t="shared" si="47"/>
        <v>100.02259103424886</v>
      </c>
      <c r="H488">
        <f t="shared" si="48"/>
        <v>-1.1727808780913618E-2</v>
      </c>
      <c r="I488">
        <f t="shared" si="49"/>
        <v>-1.1737808780913617E-2</v>
      </c>
      <c r="K488">
        <f t="shared" si="50"/>
        <v>-1.528559935639584E-2</v>
      </c>
      <c r="L488">
        <f t="shared" si="51"/>
        <v>5.2073980966063083E-3</v>
      </c>
      <c r="M488">
        <f t="shared" si="52"/>
        <v>-2.3230223743735401E-3</v>
      </c>
    </row>
    <row r="489" spans="1:13" x14ac:dyDescent="0.3">
      <c r="A489" s="3">
        <v>42709</v>
      </c>
      <c r="B489" s="8">
        <v>12.301182039999999</v>
      </c>
      <c r="C489" s="8">
        <v>111.94</v>
      </c>
      <c r="D489" s="8">
        <v>83.26</v>
      </c>
      <c r="E489">
        <v>1.0000000000000001E-5</v>
      </c>
      <c r="G489">
        <f t="shared" si="47"/>
        <v>100.92750948815269</v>
      </c>
      <c r="H489">
        <f t="shared" si="48"/>
        <v>9.0471406963850143E-3</v>
      </c>
      <c r="I489">
        <f t="shared" si="49"/>
        <v>9.0371406963850147E-3</v>
      </c>
      <c r="K489">
        <f t="shared" si="50"/>
        <v>1.6339869281045694E-2</v>
      </c>
      <c r="L489">
        <f t="shared" si="51"/>
        <v>-1.7863522686667466E-4</v>
      </c>
      <c r="M489">
        <f t="shared" si="52"/>
        <v>2.0343137254902111E-2</v>
      </c>
    </row>
    <row r="490" spans="1:13" x14ac:dyDescent="0.3">
      <c r="A490" s="3">
        <v>42710</v>
      </c>
      <c r="B490" s="8">
        <v>12.41984296</v>
      </c>
      <c r="C490" s="8">
        <v>112.06</v>
      </c>
      <c r="D490" s="8">
        <v>83.69</v>
      </c>
      <c r="E490">
        <v>1.0000000000000001E-5</v>
      </c>
      <c r="G490">
        <f t="shared" si="47"/>
        <v>100.35106746330192</v>
      </c>
      <c r="H490">
        <f t="shared" si="48"/>
        <v>-5.7114460445339965E-3</v>
      </c>
      <c r="I490">
        <f t="shared" si="49"/>
        <v>-5.7214460445339961E-3</v>
      </c>
      <c r="K490">
        <f t="shared" si="50"/>
        <v>9.6463022508039842E-3</v>
      </c>
      <c r="L490">
        <f t="shared" si="51"/>
        <v>1.0720028586743702E-3</v>
      </c>
      <c r="M490">
        <f t="shared" si="52"/>
        <v>5.1645447994232985E-3</v>
      </c>
    </row>
    <row r="491" spans="1:13" x14ac:dyDescent="0.3">
      <c r="A491" s="3">
        <v>42711</v>
      </c>
      <c r="B491" s="8">
        <v>12.914263460000001</v>
      </c>
      <c r="C491" s="8">
        <v>111.1</v>
      </c>
      <c r="D491" s="8">
        <v>84.07</v>
      </c>
      <c r="E491">
        <v>1.0000000000000001E-5</v>
      </c>
      <c r="G491">
        <f t="shared" si="47"/>
        <v>100.14355027675921</v>
      </c>
      <c r="H491">
        <f t="shared" si="48"/>
        <v>-2.067912098878133E-3</v>
      </c>
      <c r="I491">
        <f t="shared" si="49"/>
        <v>-2.077912098878133E-3</v>
      </c>
      <c r="K491">
        <f t="shared" si="50"/>
        <v>3.9808917197452276E-2</v>
      </c>
      <c r="L491">
        <f t="shared" si="51"/>
        <v>-8.5668391932893773E-3</v>
      </c>
      <c r="M491">
        <f t="shared" si="52"/>
        <v>4.5405663759110482E-3</v>
      </c>
    </row>
    <row r="492" spans="1:13" x14ac:dyDescent="0.3">
      <c r="A492" s="3">
        <v>42712</v>
      </c>
      <c r="B492" s="8">
        <v>12.884598229999998</v>
      </c>
      <c r="C492" s="8">
        <v>110.99</v>
      </c>
      <c r="D492" s="8">
        <v>85.12</v>
      </c>
      <c r="E492">
        <v>1.0000000000000001E-5</v>
      </c>
      <c r="G492">
        <f t="shared" si="47"/>
        <v>100.39454706497644</v>
      </c>
      <c r="H492">
        <f t="shared" si="48"/>
        <v>2.5063699811276319E-3</v>
      </c>
      <c r="I492">
        <f t="shared" si="49"/>
        <v>2.4963699811276318E-3</v>
      </c>
      <c r="K492">
        <f t="shared" si="50"/>
        <v>-2.2970903522206987E-3</v>
      </c>
      <c r="L492">
        <f t="shared" si="51"/>
        <v>-9.9009900990099098E-4</v>
      </c>
      <c r="M492">
        <f t="shared" si="52"/>
        <v>1.2489592006661221E-2</v>
      </c>
    </row>
    <row r="493" spans="1:13" x14ac:dyDescent="0.3">
      <c r="A493" s="3">
        <v>42713</v>
      </c>
      <c r="B493" s="8">
        <v>13.023035969999999</v>
      </c>
      <c r="C493" s="8">
        <v>112.26</v>
      </c>
      <c r="D493" s="8">
        <v>85.49</v>
      </c>
      <c r="E493">
        <v>1.0000000000000001E-5</v>
      </c>
      <c r="G493">
        <f t="shared" si="47"/>
        <v>100.86991442179118</v>
      </c>
      <c r="H493">
        <f t="shared" si="48"/>
        <v>4.7349917969854438E-3</v>
      </c>
      <c r="I493">
        <f t="shared" si="49"/>
        <v>4.7249917969854442E-3</v>
      </c>
      <c r="K493">
        <f t="shared" si="50"/>
        <v>1.0744435917114492E-2</v>
      </c>
      <c r="L493">
        <f t="shared" si="51"/>
        <v>1.1442472294801442E-2</v>
      </c>
      <c r="M493">
        <f t="shared" si="52"/>
        <v>4.3468045112780018E-3</v>
      </c>
    </row>
    <row r="494" spans="1:13" x14ac:dyDescent="0.3">
      <c r="A494" s="3">
        <v>42716</v>
      </c>
      <c r="B494" s="8">
        <v>12.676941619999999</v>
      </c>
      <c r="C494" s="8">
        <v>115.36</v>
      </c>
      <c r="D494" s="8">
        <v>84.73</v>
      </c>
      <c r="E494">
        <v>1.0000000000000001E-5</v>
      </c>
      <c r="G494">
        <f t="shared" si="47"/>
        <v>100.81982504049788</v>
      </c>
      <c r="H494">
        <f t="shared" si="48"/>
        <v>-4.9657404371195035E-4</v>
      </c>
      <c r="I494">
        <f t="shared" si="49"/>
        <v>-5.0657404371195038E-4</v>
      </c>
      <c r="K494">
        <f t="shared" si="50"/>
        <v>-2.6575550493545874E-2</v>
      </c>
      <c r="L494">
        <f t="shared" si="51"/>
        <v>2.761446641724552E-2</v>
      </c>
      <c r="M494">
        <f t="shared" si="52"/>
        <v>-8.8899286466251892E-3</v>
      </c>
    </row>
    <row r="495" spans="1:13" x14ac:dyDescent="0.3">
      <c r="A495" s="3">
        <v>42717</v>
      </c>
      <c r="B495" s="8">
        <v>12.627499569999999</v>
      </c>
      <c r="C495" s="8">
        <v>115.89</v>
      </c>
      <c r="D495" s="8">
        <v>84.76</v>
      </c>
      <c r="E495">
        <v>1.0000000000000001E-5</v>
      </c>
      <c r="G495">
        <f t="shared" si="47"/>
        <v>100.21084248942333</v>
      </c>
      <c r="H495">
        <f t="shared" si="48"/>
        <v>-6.0403055731342858E-3</v>
      </c>
      <c r="I495">
        <f t="shared" si="49"/>
        <v>-6.0503055731342854E-3</v>
      </c>
      <c r="K495">
        <f t="shared" si="50"/>
        <v>-3.900156006240274E-3</v>
      </c>
      <c r="L495">
        <f t="shared" si="51"/>
        <v>4.5943134535366692E-3</v>
      </c>
      <c r="M495">
        <f t="shared" si="52"/>
        <v>3.540658562493082E-4</v>
      </c>
    </row>
    <row r="496" spans="1:13" x14ac:dyDescent="0.3">
      <c r="A496" s="3">
        <v>42718</v>
      </c>
      <c r="B496" s="8">
        <v>12.39017773</v>
      </c>
      <c r="C496" s="8">
        <v>114.99</v>
      </c>
      <c r="D496" s="8">
        <v>84.73</v>
      </c>
      <c r="E496">
        <v>1.0000000000000001E-5</v>
      </c>
      <c r="G496">
        <f t="shared" si="47"/>
        <v>99.386747640793871</v>
      </c>
      <c r="H496">
        <f t="shared" si="48"/>
        <v>-8.2236096230449141E-3</v>
      </c>
      <c r="I496">
        <f t="shared" si="49"/>
        <v>-8.2336096230449136E-3</v>
      </c>
      <c r="K496">
        <f t="shared" si="50"/>
        <v>-1.8794048551292075E-2</v>
      </c>
      <c r="L496">
        <f t="shared" si="51"/>
        <v>-7.7659849857624197E-3</v>
      </c>
      <c r="M496">
        <f t="shared" si="52"/>
        <v>-3.5394053798964986E-4</v>
      </c>
    </row>
    <row r="497" spans="1:13" x14ac:dyDescent="0.3">
      <c r="A497" s="3">
        <v>42719</v>
      </c>
      <c r="B497" s="8">
        <v>12.439619779999999</v>
      </c>
      <c r="C497" s="8">
        <v>115.89</v>
      </c>
      <c r="D497" s="8">
        <v>86</v>
      </c>
      <c r="E497">
        <v>1.0000000000000001E-5</v>
      </c>
      <c r="G497">
        <f t="shared" si="47"/>
        <v>101.01198511455497</v>
      </c>
      <c r="H497">
        <f t="shared" si="48"/>
        <v>1.6352657797346071E-2</v>
      </c>
      <c r="I497">
        <f t="shared" si="49"/>
        <v>1.6342657797346071E-2</v>
      </c>
      <c r="K497">
        <f t="shared" si="50"/>
        <v>3.9904229848364281E-3</v>
      </c>
      <c r="L497">
        <f t="shared" si="51"/>
        <v>7.8267675450038876E-3</v>
      </c>
      <c r="M497">
        <f t="shared" si="52"/>
        <v>1.4988787914552049E-2</v>
      </c>
    </row>
    <row r="498" spans="1:13" x14ac:dyDescent="0.3">
      <c r="A498" s="3">
        <v>42720</v>
      </c>
      <c r="B498" s="8">
        <v>12.489061830000001</v>
      </c>
      <c r="C498" s="8">
        <v>115.88</v>
      </c>
      <c r="D498" s="8">
        <v>84.94</v>
      </c>
      <c r="E498">
        <v>1.0000000000000001E-5</v>
      </c>
      <c r="G498">
        <f t="shared" si="47"/>
        <v>99.57335271110837</v>
      </c>
      <c r="H498">
        <f t="shared" si="48"/>
        <v>-1.4242195139666736E-2</v>
      </c>
      <c r="I498">
        <f t="shared" si="49"/>
        <v>-1.4252195139666735E-2</v>
      </c>
      <c r="K498">
        <f t="shared" si="50"/>
        <v>3.9745627980922738E-3</v>
      </c>
      <c r="L498">
        <f t="shared" si="51"/>
        <v>-8.6288722064065126E-5</v>
      </c>
      <c r="M498">
        <f t="shared" si="52"/>
        <v>-1.2325581395348895E-2</v>
      </c>
    </row>
    <row r="499" spans="1:13" x14ac:dyDescent="0.3">
      <c r="A499" s="3">
        <v>42723</v>
      </c>
      <c r="B499" s="8">
        <v>12.51872706</v>
      </c>
      <c r="C499" s="8">
        <v>116.02</v>
      </c>
      <c r="D499" s="8">
        <v>85.43</v>
      </c>
      <c r="E499">
        <v>1.0000000000000001E-5</v>
      </c>
      <c r="G499">
        <f t="shared" si="47"/>
        <v>100.30466786859553</v>
      </c>
      <c r="H499">
        <f t="shared" si="48"/>
        <v>7.3444866279528398E-3</v>
      </c>
      <c r="I499">
        <f t="shared" si="49"/>
        <v>7.3344866279528402E-3</v>
      </c>
      <c r="K499">
        <f t="shared" si="50"/>
        <v>2.3752969121140222E-3</v>
      </c>
      <c r="L499">
        <f t="shared" si="51"/>
        <v>1.2081463583017982E-3</v>
      </c>
      <c r="M499">
        <f t="shared" si="52"/>
        <v>5.7687779609136847E-3</v>
      </c>
    </row>
    <row r="500" spans="1:13" x14ac:dyDescent="0.3">
      <c r="A500" s="3">
        <v>42724</v>
      </c>
      <c r="B500" s="8">
        <v>12.63738798</v>
      </c>
      <c r="C500" s="8">
        <v>115.66</v>
      </c>
      <c r="D500" s="8">
        <v>86.53</v>
      </c>
      <c r="E500">
        <v>1.0000000000000001E-5</v>
      </c>
      <c r="G500">
        <f t="shared" si="47"/>
        <v>100.42287089818234</v>
      </c>
      <c r="H500">
        <f t="shared" si="48"/>
        <v>1.1784399679350965E-3</v>
      </c>
      <c r="I500">
        <f t="shared" si="49"/>
        <v>1.1684399679350965E-3</v>
      </c>
      <c r="K500">
        <f t="shared" si="50"/>
        <v>9.4786729857820884E-3</v>
      </c>
      <c r="L500">
        <f t="shared" si="51"/>
        <v>-3.102913290811915E-3</v>
      </c>
      <c r="M500">
        <f t="shared" si="52"/>
        <v>1.2876038862226213E-2</v>
      </c>
    </row>
    <row r="501" spans="1:13" x14ac:dyDescent="0.3">
      <c r="A501" s="3">
        <v>42725</v>
      </c>
      <c r="B501" s="8">
        <v>12.498950240000001</v>
      </c>
      <c r="C501" s="8">
        <v>115.31</v>
      </c>
      <c r="D501" s="8">
        <v>86.75</v>
      </c>
      <c r="E501">
        <v>1.0000000000000001E-5</v>
      </c>
      <c r="G501">
        <f t="shared" si="47"/>
        <v>99.823847743385912</v>
      </c>
      <c r="H501">
        <f t="shared" si="48"/>
        <v>-5.9650072681527444E-3</v>
      </c>
      <c r="I501">
        <f t="shared" si="49"/>
        <v>-5.975007268152744E-3</v>
      </c>
      <c r="K501">
        <f t="shared" si="50"/>
        <v>-1.0954616588419341E-2</v>
      </c>
      <c r="L501">
        <f t="shared" si="51"/>
        <v>-3.0261110150440196E-3</v>
      </c>
      <c r="M501">
        <f t="shared" si="52"/>
        <v>2.5424708193690915E-3</v>
      </c>
    </row>
    <row r="502" spans="1:13" x14ac:dyDescent="0.3">
      <c r="A502" s="3">
        <v>42726</v>
      </c>
      <c r="B502" s="8">
        <v>12.261628399999999</v>
      </c>
      <c r="C502" s="8">
        <v>115.44</v>
      </c>
      <c r="D502" s="8">
        <v>86.89</v>
      </c>
      <c r="E502">
        <v>1.0000000000000001E-5</v>
      </c>
      <c r="G502">
        <f t="shared" si="47"/>
        <v>99.920237586745216</v>
      </c>
      <c r="H502">
        <f t="shared" si="48"/>
        <v>9.6559935865325741E-4</v>
      </c>
      <c r="I502">
        <f t="shared" si="49"/>
        <v>9.5559935865325739E-4</v>
      </c>
      <c r="K502">
        <f t="shared" si="50"/>
        <v>-1.8987341772152E-2</v>
      </c>
      <c r="L502">
        <f t="shared" si="51"/>
        <v>1.1273957158961512E-3</v>
      </c>
      <c r="M502">
        <f t="shared" si="52"/>
        <v>1.6138328530259649E-3</v>
      </c>
    </row>
    <row r="503" spans="1:13" x14ac:dyDescent="0.3">
      <c r="A503" s="3">
        <v>42727</v>
      </c>
      <c r="B503" s="8">
        <v>12.320958860000001</v>
      </c>
      <c r="C503" s="8">
        <v>115.96</v>
      </c>
      <c r="D503" s="8">
        <v>87.05</v>
      </c>
      <c r="E503">
        <v>1.0000000000000001E-5</v>
      </c>
      <c r="G503">
        <f t="shared" si="47"/>
        <v>100.35373798265464</v>
      </c>
      <c r="H503">
        <f t="shared" si="48"/>
        <v>4.3384644230162195E-3</v>
      </c>
      <c r="I503">
        <f t="shared" si="49"/>
        <v>4.3284644230162199E-3</v>
      </c>
      <c r="K503">
        <f t="shared" si="50"/>
        <v>4.8387096774193949E-3</v>
      </c>
      <c r="L503">
        <f t="shared" si="51"/>
        <v>4.5045045045044585E-3</v>
      </c>
      <c r="M503">
        <f t="shared" si="52"/>
        <v>1.8414086776383787E-3</v>
      </c>
    </row>
    <row r="504" spans="1:13" x14ac:dyDescent="0.3">
      <c r="A504" s="3">
        <v>42731</v>
      </c>
      <c r="B504" s="8">
        <v>12.251739990000001</v>
      </c>
      <c r="C504" s="8">
        <v>115.91</v>
      </c>
      <c r="D504" s="8">
        <v>87.13</v>
      </c>
      <c r="E504">
        <v>1.0000000000000001E-5</v>
      </c>
      <c r="G504">
        <f t="shared" si="47"/>
        <v>99.953332101487518</v>
      </c>
      <c r="H504">
        <f t="shared" si="48"/>
        <v>-3.9899448612100707E-3</v>
      </c>
      <c r="I504">
        <f t="shared" si="49"/>
        <v>-3.9999448612100703E-3</v>
      </c>
      <c r="K504">
        <f t="shared" si="50"/>
        <v>-5.6179775280899014E-3</v>
      </c>
      <c r="L504">
        <f t="shared" si="51"/>
        <v>-4.3118316660917255E-4</v>
      </c>
      <c r="M504">
        <f t="shared" si="52"/>
        <v>9.1901206203326424E-4</v>
      </c>
    </row>
    <row r="505" spans="1:13" x14ac:dyDescent="0.3">
      <c r="A505" s="3">
        <v>42732</v>
      </c>
      <c r="B505" s="8">
        <v>12.11330225</v>
      </c>
      <c r="C505" s="8">
        <v>115.1</v>
      </c>
      <c r="D505" s="8">
        <v>86.5</v>
      </c>
      <c r="E505">
        <v>1.0000000000000001E-5</v>
      </c>
      <c r="G505">
        <f t="shared" si="47"/>
        <v>99.246877451398063</v>
      </c>
      <c r="H505">
        <f t="shared" si="48"/>
        <v>-7.0678449155867629E-3</v>
      </c>
      <c r="I505">
        <f t="shared" si="49"/>
        <v>-7.0778449155867625E-3</v>
      </c>
      <c r="K505">
        <f t="shared" si="50"/>
        <v>-1.1299435028248594E-2</v>
      </c>
      <c r="L505">
        <f t="shared" si="51"/>
        <v>-6.9881804848589413E-3</v>
      </c>
      <c r="M505">
        <f t="shared" si="52"/>
        <v>-7.2305750028692772E-3</v>
      </c>
    </row>
    <row r="506" spans="1:13" x14ac:dyDescent="0.3">
      <c r="A506" s="3">
        <v>42733</v>
      </c>
      <c r="B506" s="8">
        <v>12.09352543</v>
      </c>
      <c r="C506" s="8">
        <v>115.49</v>
      </c>
      <c r="D506" s="8">
        <v>85.89</v>
      </c>
      <c r="E506">
        <v>1.0000000000000001E-5</v>
      </c>
      <c r="G506">
        <f t="shared" si="47"/>
        <v>99.893332234572625</v>
      </c>
      <c r="H506">
        <f t="shared" si="48"/>
        <v>6.5136032465216154E-3</v>
      </c>
      <c r="I506">
        <f t="shared" si="49"/>
        <v>6.5036032465216158E-3</v>
      </c>
      <c r="K506">
        <f t="shared" si="50"/>
        <v>-1.6326530612245094E-3</v>
      </c>
      <c r="L506">
        <f t="shared" si="51"/>
        <v>3.388357949609011E-3</v>
      </c>
      <c r="M506">
        <f t="shared" si="52"/>
        <v>-7.0520231213873075E-3</v>
      </c>
    </row>
    <row r="507" spans="1:13" x14ac:dyDescent="0.3">
      <c r="A507" s="3">
        <v>42734</v>
      </c>
      <c r="B507" s="8">
        <v>11.99464133</v>
      </c>
      <c r="C507" s="8">
        <v>115.21</v>
      </c>
      <c r="D507" s="8">
        <v>86.29</v>
      </c>
      <c r="E507">
        <v>1.0000000000000001E-5</v>
      </c>
      <c r="G507">
        <f t="shared" si="47"/>
        <v>99.963757552272114</v>
      </c>
      <c r="H507">
        <f t="shared" si="48"/>
        <v>7.0500519027749675E-4</v>
      </c>
      <c r="I507">
        <f t="shared" si="49"/>
        <v>6.9500519027749673E-4</v>
      </c>
      <c r="K507">
        <f t="shared" si="50"/>
        <v>-8.1766148814390593E-3</v>
      </c>
      <c r="L507">
        <f t="shared" si="51"/>
        <v>-2.4244523335353874E-3</v>
      </c>
      <c r="M507">
        <f t="shared" si="52"/>
        <v>4.6571195715450209E-3</v>
      </c>
    </row>
    <row r="508" spans="1:13" x14ac:dyDescent="0.3">
      <c r="A508" s="3">
        <v>42738</v>
      </c>
      <c r="B508" s="8">
        <v>12.44950819</v>
      </c>
      <c r="C508" s="8">
        <v>115.84</v>
      </c>
      <c r="D508" s="8">
        <v>87.23</v>
      </c>
      <c r="E508">
        <v>2.0000000000000002E-5</v>
      </c>
      <c r="G508">
        <f t="shared" si="47"/>
        <v>101.0911120885344</v>
      </c>
      <c r="H508">
        <f t="shared" si="48"/>
        <v>1.1277632652741953E-2</v>
      </c>
      <c r="I508">
        <f t="shared" si="49"/>
        <v>1.1257632652741954E-2</v>
      </c>
      <c r="K508">
        <f t="shared" si="50"/>
        <v>3.792250618301729E-2</v>
      </c>
      <c r="L508">
        <f t="shared" si="51"/>
        <v>5.4682753233226133E-3</v>
      </c>
      <c r="M508">
        <f t="shared" si="52"/>
        <v>1.0893498667284618E-2</v>
      </c>
    </row>
    <row r="509" spans="1:13" x14ac:dyDescent="0.3">
      <c r="A509" s="3">
        <v>42739</v>
      </c>
      <c r="B509" s="8">
        <v>13.023035969999999</v>
      </c>
      <c r="C509" s="8">
        <v>115.65</v>
      </c>
      <c r="D509" s="8">
        <v>86.91</v>
      </c>
      <c r="E509">
        <v>2.0000000000000002E-5</v>
      </c>
      <c r="G509">
        <f t="shared" si="47"/>
        <v>100.25965097154226</v>
      </c>
      <c r="H509">
        <f t="shared" si="48"/>
        <v>-8.2248686339898569E-3</v>
      </c>
      <c r="I509">
        <f t="shared" si="49"/>
        <v>-8.2448686339898561E-3</v>
      </c>
      <c r="K509">
        <f t="shared" si="50"/>
        <v>4.6068308181095974E-2</v>
      </c>
      <c r="L509">
        <f t="shared" si="51"/>
        <v>-1.6401933701657434E-3</v>
      </c>
      <c r="M509">
        <f t="shared" si="52"/>
        <v>-3.6684626848562107E-3</v>
      </c>
    </row>
    <row r="510" spans="1:13" x14ac:dyDescent="0.3">
      <c r="A510" s="3">
        <v>42740</v>
      </c>
      <c r="B510" s="8">
        <v>12.627499569999999</v>
      </c>
      <c r="C510" s="8">
        <v>116.86</v>
      </c>
      <c r="D510" s="8">
        <v>86.11</v>
      </c>
      <c r="E510">
        <v>2.0000000000000002E-5</v>
      </c>
      <c r="G510">
        <f t="shared" si="47"/>
        <v>99.878194425569362</v>
      </c>
      <c r="H510">
        <f t="shared" si="48"/>
        <v>-3.8046865541270236E-3</v>
      </c>
      <c r="I510">
        <f t="shared" si="49"/>
        <v>-3.8246865541270237E-3</v>
      </c>
      <c r="K510">
        <f t="shared" si="50"/>
        <v>-3.0372057706909539E-2</v>
      </c>
      <c r="L510">
        <f t="shared" si="51"/>
        <v>1.0462602680501476E-2</v>
      </c>
      <c r="M510">
        <f t="shared" si="52"/>
        <v>-9.2049246346794789E-3</v>
      </c>
    </row>
    <row r="511" spans="1:13" x14ac:dyDescent="0.3">
      <c r="A511" s="3">
        <v>42741</v>
      </c>
      <c r="B511" s="8">
        <v>12.617611159999999</v>
      </c>
      <c r="C511" s="8">
        <v>116.3</v>
      </c>
      <c r="D511" s="8">
        <v>86.12</v>
      </c>
      <c r="E511">
        <v>2.0000000000000002E-5</v>
      </c>
      <c r="G511">
        <f t="shared" si="47"/>
        <v>99.747509263722534</v>
      </c>
      <c r="H511">
        <f t="shared" si="48"/>
        <v>-1.3084453778768879E-3</v>
      </c>
      <c r="I511">
        <f t="shared" si="49"/>
        <v>-1.3284453778768879E-3</v>
      </c>
      <c r="K511">
        <f t="shared" si="50"/>
        <v>-7.8308535630389198E-4</v>
      </c>
      <c r="L511">
        <f t="shared" si="51"/>
        <v>-4.792058873866134E-3</v>
      </c>
      <c r="M511">
        <f t="shared" si="52"/>
        <v>1.1613053071668489E-4</v>
      </c>
    </row>
    <row r="512" spans="1:13" x14ac:dyDescent="0.3">
      <c r="A512" s="3">
        <v>42744</v>
      </c>
      <c r="B512" s="8">
        <v>12.489061830000001</v>
      </c>
      <c r="C512" s="8">
        <v>116.28</v>
      </c>
      <c r="D512" s="8">
        <v>86.18</v>
      </c>
      <c r="E512">
        <v>2.0000000000000002E-5</v>
      </c>
      <c r="G512">
        <f t="shared" si="47"/>
        <v>99.910520838534495</v>
      </c>
      <c r="H512">
        <f t="shared" si="48"/>
        <v>1.6342420579242845E-3</v>
      </c>
      <c r="I512">
        <f t="shared" si="49"/>
        <v>1.6142420579242844E-3</v>
      </c>
      <c r="K512">
        <f t="shared" si="50"/>
        <v>-1.0188087774294585E-2</v>
      </c>
      <c r="L512">
        <f t="shared" si="51"/>
        <v>-1.7196904557181814E-4</v>
      </c>
      <c r="M512">
        <f t="shared" si="52"/>
        <v>6.9670227589413436E-4</v>
      </c>
    </row>
    <row r="513" spans="1:13" x14ac:dyDescent="0.3">
      <c r="A513" s="3">
        <v>42745</v>
      </c>
      <c r="B513" s="8">
        <v>12.70660685</v>
      </c>
      <c r="C513" s="8">
        <v>116.16</v>
      </c>
      <c r="D513" s="8">
        <v>86.43</v>
      </c>
      <c r="E513">
        <v>2.0000000000000002E-5</v>
      </c>
      <c r="G513">
        <f t="shared" si="47"/>
        <v>100.23816878472789</v>
      </c>
      <c r="H513">
        <f t="shared" si="48"/>
        <v>3.2794138539513629E-3</v>
      </c>
      <c r="I513">
        <f t="shared" si="49"/>
        <v>3.2594138539513628E-3</v>
      </c>
      <c r="K513">
        <f t="shared" si="50"/>
        <v>1.7418844022169422E-2</v>
      </c>
      <c r="L513">
        <f t="shared" si="51"/>
        <v>-1.0319917440660964E-3</v>
      </c>
      <c r="M513">
        <f t="shared" si="52"/>
        <v>2.9009050823856075E-3</v>
      </c>
    </row>
    <row r="514" spans="1:13" x14ac:dyDescent="0.3">
      <c r="A514" s="3">
        <v>42746</v>
      </c>
      <c r="B514" s="8">
        <v>12.52861547</v>
      </c>
      <c r="C514" s="8">
        <v>114.73</v>
      </c>
      <c r="D514" s="8">
        <v>87.08</v>
      </c>
      <c r="E514">
        <v>2.0000000000000002E-5</v>
      </c>
      <c r="G514">
        <f t="shared" si="47"/>
        <v>99.497418754614912</v>
      </c>
      <c r="H514">
        <f t="shared" si="48"/>
        <v>-7.3898998664253535E-3</v>
      </c>
      <c r="I514">
        <f t="shared" si="49"/>
        <v>-7.4098998664253535E-3</v>
      </c>
      <c r="K514">
        <f t="shared" si="50"/>
        <v>-1.4007782101167265E-2</v>
      </c>
      <c r="L514">
        <f t="shared" si="51"/>
        <v>-1.2310606060605966E-2</v>
      </c>
      <c r="M514">
        <f t="shared" si="52"/>
        <v>7.520536850630366E-3</v>
      </c>
    </row>
    <row r="515" spans="1:13" x14ac:dyDescent="0.3">
      <c r="A515" s="3">
        <v>42747</v>
      </c>
      <c r="B515" s="8">
        <v>12.44950819</v>
      </c>
      <c r="C515" s="8">
        <v>114.62</v>
      </c>
      <c r="D515" s="8">
        <v>86.24</v>
      </c>
      <c r="E515">
        <v>2.0000000000000002E-5</v>
      </c>
      <c r="G515">
        <f t="shared" si="47"/>
        <v>99.521076754431292</v>
      </c>
      <c r="H515">
        <f t="shared" si="48"/>
        <v>2.3777501077404395E-4</v>
      </c>
      <c r="I515">
        <f t="shared" si="49"/>
        <v>2.1777501077404395E-4</v>
      </c>
      <c r="K515">
        <f t="shared" si="50"/>
        <v>-6.3141278610892027E-3</v>
      </c>
      <c r="L515">
        <f t="shared" si="51"/>
        <v>-9.5877277085332224E-4</v>
      </c>
      <c r="M515">
        <f t="shared" si="52"/>
        <v>-9.6463022508038732E-3</v>
      </c>
    </row>
    <row r="516" spans="1:13" x14ac:dyDescent="0.3">
      <c r="A516" s="3">
        <v>42748</v>
      </c>
      <c r="B516" s="8">
        <v>12.489061830000001</v>
      </c>
      <c r="C516" s="8">
        <v>114.6</v>
      </c>
      <c r="D516" s="8">
        <v>86.7</v>
      </c>
      <c r="E516">
        <v>2.0000000000000002E-5</v>
      </c>
      <c r="G516">
        <f t="shared" si="47"/>
        <v>100.22496500738578</v>
      </c>
      <c r="H516">
        <f t="shared" si="48"/>
        <v>7.0727556002165848E-3</v>
      </c>
      <c r="I516">
        <f t="shared" si="49"/>
        <v>7.0527556002165847E-3</v>
      </c>
      <c r="K516">
        <f t="shared" si="50"/>
        <v>3.1771247021445959E-3</v>
      </c>
      <c r="L516">
        <f t="shared" si="51"/>
        <v>-1.7448961786781236E-4</v>
      </c>
      <c r="M516">
        <f t="shared" si="52"/>
        <v>5.3339517625232702E-3</v>
      </c>
    </row>
    <row r="517" spans="1:13" x14ac:dyDescent="0.3">
      <c r="A517" s="3">
        <v>42752</v>
      </c>
      <c r="B517" s="8">
        <v>12.469285009999998</v>
      </c>
      <c r="C517" s="8">
        <v>114.87</v>
      </c>
      <c r="D517" s="8">
        <v>83.55</v>
      </c>
      <c r="E517">
        <v>2.0000000000000002E-5</v>
      </c>
      <c r="G517">
        <f t="shared" ref="G517:G580" si="53">$G$4*(B517*$P$8/B516 + C517*$Q$8/C516 + D517*$R$8/D516)</f>
        <v>98.738438167355184</v>
      </c>
      <c r="H517">
        <f t="shared" ref="H517:H580" si="54">G517/G516-1</f>
        <v>-1.4831901811300674E-2</v>
      </c>
      <c r="I517">
        <f t="shared" si="49"/>
        <v>-1.4851901811300673E-2</v>
      </c>
      <c r="K517">
        <f t="shared" si="50"/>
        <v>-1.5835312747428665E-3</v>
      </c>
      <c r="L517">
        <f t="shared" si="51"/>
        <v>2.3560209424084988E-3</v>
      </c>
      <c r="M517">
        <f t="shared" si="52"/>
        <v>-3.633217993079596E-2</v>
      </c>
    </row>
    <row r="518" spans="1:13" x14ac:dyDescent="0.3">
      <c r="A518" s="3">
        <v>42753</v>
      </c>
      <c r="B518" s="8">
        <v>12.27151681</v>
      </c>
      <c r="C518" s="8">
        <v>114.7</v>
      </c>
      <c r="D518" s="8">
        <v>83.94</v>
      </c>
      <c r="E518">
        <v>2.0000000000000002E-5</v>
      </c>
      <c r="G518">
        <f t="shared" si="53"/>
        <v>99.932643595748829</v>
      </c>
      <c r="H518">
        <f t="shared" si="54"/>
        <v>1.209463559034174E-2</v>
      </c>
      <c r="I518">
        <f t="shared" ref="I518:I581" si="55">H518-E518</f>
        <v>1.2074635590341741E-2</v>
      </c>
      <c r="K518">
        <f t="shared" ref="K518:K581" si="56">B518/B517-1</f>
        <v>-1.5860428231562196E-2</v>
      </c>
      <c r="L518">
        <f t="shared" ref="L518:L581" si="57">C518/C517-1</f>
        <v>-1.4799338382519567E-3</v>
      </c>
      <c r="M518">
        <f t="shared" ref="M518:M581" si="58">D518/D517-1</f>
        <v>4.6678635547576786E-3</v>
      </c>
    </row>
    <row r="519" spans="1:13" x14ac:dyDescent="0.3">
      <c r="A519" s="3">
        <v>42754</v>
      </c>
      <c r="B519" s="8">
        <v>12.29129363</v>
      </c>
      <c r="C519" s="8">
        <v>114.2</v>
      </c>
      <c r="D519" s="8">
        <v>83.3</v>
      </c>
      <c r="E519">
        <v>2.0000000000000002E-5</v>
      </c>
      <c r="G519">
        <f t="shared" si="53"/>
        <v>99.503779177777616</v>
      </c>
      <c r="H519">
        <f t="shared" si="54"/>
        <v>-4.2915348032427358E-3</v>
      </c>
      <c r="I519">
        <f t="shared" si="55"/>
        <v>-4.3115348032427359E-3</v>
      </c>
      <c r="K519">
        <f t="shared" si="56"/>
        <v>1.6116035455278066E-3</v>
      </c>
      <c r="L519">
        <f t="shared" si="57"/>
        <v>-4.3591979075849885E-3</v>
      </c>
      <c r="M519">
        <f t="shared" si="58"/>
        <v>-7.6244936859661827E-3</v>
      </c>
    </row>
    <row r="520" spans="1:13" x14ac:dyDescent="0.3">
      <c r="A520" s="3">
        <v>42755</v>
      </c>
      <c r="B520" s="8">
        <v>12.22207476</v>
      </c>
      <c r="C520" s="8">
        <v>114.15</v>
      </c>
      <c r="D520" s="8">
        <v>83.67</v>
      </c>
      <c r="E520">
        <v>2.0000000000000002E-5</v>
      </c>
      <c r="G520">
        <f t="shared" si="53"/>
        <v>100.08541041898651</v>
      </c>
      <c r="H520">
        <f t="shared" si="54"/>
        <v>5.8453180976143493E-3</v>
      </c>
      <c r="I520">
        <f t="shared" si="55"/>
        <v>5.8253180976143492E-3</v>
      </c>
      <c r="K520">
        <f t="shared" si="56"/>
        <v>-5.6315366049879412E-3</v>
      </c>
      <c r="L520">
        <f t="shared" si="57"/>
        <v>-4.378283712784814E-4</v>
      </c>
      <c r="M520">
        <f t="shared" si="58"/>
        <v>4.4417767106843531E-3</v>
      </c>
    </row>
    <row r="521" spans="1:13" x14ac:dyDescent="0.3">
      <c r="A521" s="3">
        <v>42758</v>
      </c>
      <c r="B521" s="8">
        <v>12.17263271</v>
      </c>
      <c r="C521" s="8">
        <v>113.91</v>
      </c>
      <c r="D521" s="8">
        <v>83.71</v>
      </c>
      <c r="E521">
        <v>2.0000000000000002E-5</v>
      </c>
      <c r="G521">
        <f t="shared" si="53"/>
        <v>99.866498529907858</v>
      </c>
      <c r="H521">
        <f t="shared" si="54"/>
        <v>-2.1872507507559869E-3</v>
      </c>
      <c r="I521">
        <f t="shared" si="55"/>
        <v>-2.2072507507559869E-3</v>
      </c>
      <c r="K521">
        <f t="shared" si="56"/>
        <v>-4.04530744336562E-3</v>
      </c>
      <c r="L521">
        <f t="shared" si="57"/>
        <v>-2.1024967148489671E-3</v>
      </c>
      <c r="M521">
        <f t="shared" si="58"/>
        <v>4.7806860284449471E-4</v>
      </c>
    </row>
    <row r="522" spans="1:13" x14ac:dyDescent="0.3">
      <c r="A522" s="3">
        <v>42759</v>
      </c>
      <c r="B522" s="8">
        <v>12.469285009999998</v>
      </c>
      <c r="C522" s="8">
        <v>111.76</v>
      </c>
      <c r="D522" s="8">
        <v>84.72</v>
      </c>
      <c r="E522">
        <v>2.0000000000000002E-5</v>
      </c>
      <c r="G522">
        <f t="shared" si="53"/>
        <v>99.730066741115053</v>
      </c>
      <c r="H522">
        <f t="shared" si="54"/>
        <v>-1.3661417071907378E-3</v>
      </c>
      <c r="I522">
        <f t="shared" si="55"/>
        <v>-1.3861417071907378E-3</v>
      </c>
      <c r="K522">
        <f t="shared" si="56"/>
        <v>2.4370430544272681E-2</v>
      </c>
      <c r="L522">
        <f t="shared" si="57"/>
        <v>-1.8874550083399111E-2</v>
      </c>
      <c r="M522">
        <f t="shared" si="58"/>
        <v>1.206546410225795E-2</v>
      </c>
    </row>
    <row r="523" spans="1:13" x14ac:dyDescent="0.3">
      <c r="A523" s="3">
        <v>42760</v>
      </c>
      <c r="B523" s="8">
        <v>12.647276389999998</v>
      </c>
      <c r="C523" s="8">
        <v>112.8</v>
      </c>
      <c r="D523" s="8">
        <v>86.03</v>
      </c>
      <c r="E523">
        <v>2.0000000000000002E-5</v>
      </c>
      <c r="G523">
        <f t="shared" si="53"/>
        <v>101.21433486071523</v>
      </c>
      <c r="H523">
        <f t="shared" si="54"/>
        <v>1.4882854971441262E-2</v>
      </c>
      <c r="I523">
        <f t="shared" si="55"/>
        <v>1.4862854971441262E-2</v>
      </c>
      <c r="K523">
        <f t="shared" si="56"/>
        <v>1.4274385408405976E-2</v>
      </c>
      <c r="L523">
        <f t="shared" si="57"/>
        <v>9.3056549749461759E-3</v>
      </c>
      <c r="M523">
        <f t="shared" si="58"/>
        <v>1.5462700661000861E-2</v>
      </c>
    </row>
    <row r="524" spans="1:13" x14ac:dyDescent="0.3">
      <c r="A524" s="3">
        <v>42761</v>
      </c>
      <c r="B524" s="8">
        <v>12.231963169999998</v>
      </c>
      <c r="C524" s="8">
        <v>111.84</v>
      </c>
      <c r="D524" s="8">
        <v>86.75</v>
      </c>
      <c r="E524">
        <v>2.0000000000000002E-5</v>
      </c>
      <c r="G524">
        <f t="shared" si="53"/>
        <v>99.529182715535839</v>
      </c>
      <c r="H524">
        <f t="shared" si="54"/>
        <v>-1.6649342679556089E-2</v>
      </c>
      <c r="I524">
        <f t="shared" si="55"/>
        <v>-1.6669342679556089E-2</v>
      </c>
      <c r="K524">
        <f t="shared" si="56"/>
        <v>-3.2838154808444098E-2</v>
      </c>
      <c r="L524">
        <f t="shared" si="57"/>
        <v>-8.5106382978722417E-3</v>
      </c>
      <c r="M524">
        <f t="shared" si="58"/>
        <v>8.3691735441124848E-3</v>
      </c>
    </row>
    <row r="525" spans="1:13" x14ac:dyDescent="0.3">
      <c r="A525" s="3">
        <v>42762</v>
      </c>
      <c r="B525" s="8">
        <v>12.35062409</v>
      </c>
      <c r="C525" s="8">
        <v>113.38</v>
      </c>
      <c r="D525" s="8">
        <v>86.93</v>
      </c>
      <c r="E525">
        <v>2.0000000000000002E-5</v>
      </c>
      <c r="G525">
        <f t="shared" si="53"/>
        <v>100.89424019874545</v>
      </c>
      <c r="H525">
        <f t="shared" si="54"/>
        <v>1.3715148120035048E-2</v>
      </c>
      <c r="I525">
        <f t="shared" si="55"/>
        <v>1.3695148120035049E-2</v>
      </c>
      <c r="K525">
        <f t="shared" si="56"/>
        <v>9.7008892481811326E-3</v>
      </c>
      <c r="L525">
        <f t="shared" si="57"/>
        <v>1.3769670958512004E-2</v>
      </c>
      <c r="M525">
        <f t="shared" si="58"/>
        <v>2.0749279538905263E-3</v>
      </c>
    </row>
    <row r="526" spans="1:13" x14ac:dyDescent="0.3">
      <c r="A526" s="3">
        <v>42765</v>
      </c>
      <c r="B526" s="8">
        <v>12.231963169999998</v>
      </c>
      <c r="C526" s="8">
        <v>113.13</v>
      </c>
      <c r="D526" s="8">
        <v>86.03</v>
      </c>
      <c r="E526">
        <v>2.0000000000000002E-5</v>
      </c>
      <c r="G526">
        <f t="shared" si="53"/>
        <v>99.395295965070645</v>
      </c>
      <c r="H526">
        <f t="shared" si="54"/>
        <v>-1.4856588748001109E-2</v>
      </c>
      <c r="I526">
        <f t="shared" si="55"/>
        <v>-1.4876588748001109E-2</v>
      </c>
      <c r="K526">
        <f t="shared" si="56"/>
        <v>-9.60768614891927E-3</v>
      </c>
      <c r="L526">
        <f t="shared" si="57"/>
        <v>-2.2049744222967238E-3</v>
      </c>
      <c r="M526">
        <f t="shared" si="58"/>
        <v>-1.0353157713102523E-2</v>
      </c>
    </row>
    <row r="527" spans="1:13" x14ac:dyDescent="0.3">
      <c r="A527" s="3">
        <v>42766</v>
      </c>
      <c r="B527" s="8">
        <v>12.22207476</v>
      </c>
      <c r="C527" s="8">
        <v>113.25</v>
      </c>
      <c r="D527" s="8">
        <v>84.63</v>
      </c>
      <c r="E527">
        <v>2.0000000000000002E-5</v>
      </c>
      <c r="G527">
        <f t="shared" si="53"/>
        <v>99.434183080017277</v>
      </c>
      <c r="H527">
        <f t="shared" si="54"/>
        <v>3.9123697524168222E-4</v>
      </c>
      <c r="I527">
        <f t="shared" si="55"/>
        <v>3.7123697524168222E-4</v>
      </c>
      <c r="K527">
        <f t="shared" si="56"/>
        <v>-8.084074373483352E-4</v>
      </c>
      <c r="L527">
        <f t="shared" si="57"/>
        <v>1.0607265977193858E-3</v>
      </c>
      <c r="M527">
        <f t="shared" si="58"/>
        <v>-1.6273393002441128E-2</v>
      </c>
    </row>
    <row r="528" spans="1:13" x14ac:dyDescent="0.3">
      <c r="A528" s="3">
        <v>42767</v>
      </c>
      <c r="B528" s="8">
        <v>12.182521120000001</v>
      </c>
      <c r="C528" s="8">
        <v>113.23</v>
      </c>
      <c r="D528" s="8">
        <v>84.95</v>
      </c>
      <c r="E528">
        <v>2.0000000000000002E-5</v>
      </c>
      <c r="G528">
        <f t="shared" si="53"/>
        <v>100.0992089195607</v>
      </c>
      <c r="H528">
        <f t="shared" si="54"/>
        <v>6.6881008013939258E-3</v>
      </c>
      <c r="I528">
        <f t="shared" si="55"/>
        <v>6.6681008013939258E-3</v>
      </c>
      <c r="K528">
        <f t="shared" si="56"/>
        <v>-3.2362459546925182E-3</v>
      </c>
      <c r="L528">
        <f t="shared" si="57"/>
        <v>-1.7660044150102916E-4</v>
      </c>
      <c r="M528">
        <f t="shared" si="58"/>
        <v>3.7811650714878464E-3</v>
      </c>
    </row>
    <row r="529" spans="1:13" x14ac:dyDescent="0.3">
      <c r="A529" s="3">
        <v>42768</v>
      </c>
      <c r="B529" s="8">
        <v>12.142967479999999</v>
      </c>
      <c r="C529" s="8">
        <v>113.57</v>
      </c>
      <c r="D529" s="8">
        <v>84.59</v>
      </c>
      <c r="E529">
        <v>2.0000000000000002E-5</v>
      </c>
      <c r="G529">
        <f t="shared" si="53"/>
        <v>99.962309325212857</v>
      </c>
      <c r="H529">
        <f t="shared" si="54"/>
        <v>-1.3676391234804797E-3</v>
      </c>
      <c r="I529">
        <f t="shared" si="55"/>
        <v>-1.3876391234804797E-3</v>
      </c>
      <c r="K529">
        <f t="shared" si="56"/>
        <v>-3.2467532467533866E-3</v>
      </c>
      <c r="L529">
        <f t="shared" si="57"/>
        <v>3.0027377903381058E-3</v>
      </c>
      <c r="M529">
        <f t="shared" si="58"/>
        <v>-4.2377869334903062E-3</v>
      </c>
    </row>
    <row r="530" spans="1:13" x14ac:dyDescent="0.3">
      <c r="A530" s="3">
        <v>42769</v>
      </c>
      <c r="B530" s="8">
        <v>12.41984296</v>
      </c>
      <c r="C530" s="8">
        <v>113.64</v>
      </c>
      <c r="D530" s="8">
        <v>87.18</v>
      </c>
      <c r="E530">
        <v>2.0000000000000002E-5</v>
      </c>
      <c r="G530">
        <f t="shared" si="53"/>
        <v>101.42314209279932</v>
      </c>
      <c r="H530">
        <f t="shared" si="54"/>
        <v>1.4613835729163194E-2</v>
      </c>
      <c r="I530">
        <f t="shared" si="55"/>
        <v>1.4593835729163195E-2</v>
      </c>
      <c r="K530">
        <f t="shared" si="56"/>
        <v>2.2801302931596101E-2</v>
      </c>
      <c r="L530">
        <f t="shared" si="57"/>
        <v>6.1635995421327472E-4</v>
      </c>
      <c r="M530">
        <f t="shared" si="58"/>
        <v>3.0618276392008648E-2</v>
      </c>
    </row>
    <row r="531" spans="1:13" x14ac:dyDescent="0.3">
      <c r="A531" s="3">
        <v>42772</v>
      </c>
      <c r="B531" s="8">
        <v>12.380289319999999</v>
      </c>
      <c r="C531" s="8">
        <v>113.4</v>
      </c>
      <c r="D531" s="8">
        <v>86.77</v>
      </c>
      <c r="E531">
        <v>2.0000000000000002E-5</v>
      </c>
      <c r="G531">
        <f t="shared" si="53"/>
        <v>99.680062500665287</v>
      </c>
      <c r="H531">
        <f t="shared" si="54"/>
        <v>-1.7186211708361099E-2</v>
      </c>
      <c r="I531">
        <f t="shared" si="55"/>
        <v>-1.7206211708361098E-2</v>
      </c>
      <c r="K531">
        <f t="shared" si="56"/>
        <v>-3.1847133757962887E-3</v>
      </c>
      <c r="L531">
        <f t="shared" si="57"/>
        <v>-2.1119324181625432E-3</v>
      </c>
      <c r="M531">
        <f t="shared" si="58"/>
        <v>-4.7029135122735877E-3</v>
      </c>
    </row>
    <row r="532" spans="1:13" x14ac:dyDescent="0.3">
      <c r="A532" s="3">
        <v>42773</v>
      </c>
      <c r="B532" s="8">
        <v>12.202297939999999</v>
      </c>
      <c r="C532" s="8">
        <v>113.48</v>
      </c>
      <c r="D532" s="8">
        <v>86.72</v>
      </c>
      <c r="E532">
        <v>2.0000000000000002E-5</v>
      </c>
      <c r="G532">
        <f t="shared" si="53"/>
        <v>99.864247209097982</v>
      </c>
      <c r="H532">
        <f t="shared" si="54"/>
        <v>1.8477587574894372E-3</v>
      </c>
      <c r="I532">
        <f t="shared" si="55"/>
        <v>1.8277587574894371E-3</v>
      </c>
      <c r="K532">
        <f t="shared" si="56"/>
        <v>-1.4376996805111841E-2</v>
      </c>
      <c r="L532">
        <f t="shared" si="57"/>
        <v>7.0546737213406097E-4</v>
      </c>
      <c r="M532">
        <f t="shared" si="58"/>
        <v>-5.762360262763222E-4</v>
      </c>
    </row>
    <row r="533" spans="1:13" x14ac:dyDescent="0.3">
      <c r="A533" s="3">
        <v>42774</v>
      </c>
      <c r="B533" s="8">
        <v>12.241851580000001</v>
      </c>
      <c r="C533" s="8">
        <v>113.4</v>
      </c>
      <c r="D533" s="8">
        <v>85.96</v>
      </c>
      <c r="E533">
        <v>2.0000000000000002E-5</v>
      </c>
      <c r="G533">
        <f t="shared" si="53"/>
        <v>99.667599406075865</v>
      </c>
      <c r="H533">
        <f t="shared" si="54"/>
        <v>-1.969151207943054E-3</v>
      </c>
      <c r="I533">
        <f t="shared" si="55"/>
        <v>-1.989151207943054E-3</v>
      </c>
      <c r="K533">
        <f t="shared" si="56"/>
        <v>3.2414910858995505E-3</v>
      </c>
      <c r="L533">
        <f t="shared" si="57"/>
        <v>-7.0497003877334485E-4</v>
      </c>
      <c r="M533">
        <f t="shared" si="58"/>
        <v>-8.7638376383764038E-3</v>
      </c>
    </row>
    <row r="534" spans="1:13" x14ac:dyDescent="0.3">
      <c r="A534" s="3">
        <v>42775</v>
      </c>
      <c r="B534" s="8">
        <v>12.241851580000001</v>
      </c>
      <c r="C534" s="8">
        <v>114.08</v>
      </c>
      <c r="D534" s="8">
        <v>87.2</v>
      </c>
      <c r="E534">
        <v>2.0000000000000002E-5</v>
      </c>
      <c r="G534">
        <f t="shared" si="53"/>
        <v>100.85398875357808</v>
      </c>
      <c r="H534">
        <f t="shared" si="54"/>
        <v>1.1903460648916564E-2</v>
      </c>
      <c r="I534">
        <f t="shared" si="55"/>
        <v>1.1883460648916565E-2</v>
      </c>
      <c r="K534">
        <f t="shared" si="56"/>
        <v>0</v>
      </c>
      <c r="L534">
        <f t="shared" si="57"/>
        <v>5.9964726631391851E-3</v>
      </c>
      <c r="M534">
        <f t="shared" si="58"/>
        <v>1.4425314099581366E-2</v>
      </c>
    </row>
    <row r="535" spans="1:13" x14ac:dyDescent="0.3">
      <c r="A535" s="3">
        <v>42776</v>
      </c>
      <c r="B535" s="8">
        <v>12.370400909999999</v>
      </c>
      <c r="C535" s="8">
        <v>115.24</v>
      </c>
      <c r="D535" s="8">
        <v>87</v>
      </c>
      <c r="E535">
        <v>2.0000000000000002E-5</v>
      </c>
      <c r="G535">
        <f t="shared" si="53"/>
        <v>100.55136171687116</v>
      </c>
      <c r="H535">
        <f t="shared" si="54"/>
        <v>-3.0006451945727708E-3</v>
      </c>
      <c r="I535">
        <f t="shared" si="55"/>
        <v>-3.0206451945727708E-3</v>
      </c>
      <c r="K535">
        <f t="shared" si="56"/>
        <v>1.050080775444262E-2</v>
      </c>
      <c r="L535">
        <f t="shared" si="57"/>
        <v>1.0168302945301466E-2</v>
      </c>
      <c r="M535">
        <f t="shared" si="58"/>
        <v>-2.2935779816514179E-3</v>
      </c>
    </row>
    <row r="536" spans="1:13" x14ac:dyDescent="0.3">
      <c r="A536" s="3">
        <v>42779</v>
      </c>
      <c r="B536" s="8">
        <v>12.41984296</v>
      </c>
      <c r="C536" s="8">
        <v>115.88</v>
      </c>
      <c r="D536" s="8">
        <v>88.15</v>
      </c>
      <c r="E536">
        <v>2.0000000000000002E-5</v>
      </c>
      <c r="G536">
        <f t="shared" si="53"/>
        <v>100.82747971913204</v>
      </c>
      <c r="H536">
        <f t="shared" si="54"/>
        <v>2.7460394125577992E-3</v>
      </c>
      <c r="I536">
        <f t="shared" si="55"/>
        <v>2.7260394125577991E-3</v>
      </c>
      <c r="K536">
        <f t="shared" si="56"/>
        <v>3.9968025579537603E-3</v>
      </c>
      <c r="L536">
        <f t="shared" si="57"/>
        <v>5.5536272127734154E-3</v>
      </c>
      <c r="M536">
        <f t="shared" si="58"/>
        <v>1.3218390804597746E-2</v>
      </c>
    </row>
    <row r="537" spans="1:13" x14ac:dyDescent="0.3">
      <c r="A537" s="3">
        <v>42780</v>
      </c>
      <c r="B537" s="8">
        <v>12.50883865</v>
      </c>
      <c r="C537" s="8">
        <v>116.36</v>
      </c>
      <c r="D537" s="8">
        <v>89.56</v>
      </c>
      <c r="E537">
        <v>2.0000000000000002E-5</v>
      </c>
      <c r="G537">
        <f t="shared" si="53"/>
        <v>100.89195718476518</v>
      </c>
      <c r="H537">
        <f t="shared" si="54"/>
        <v>6.394830636722304E-4</v>
      </c>
      <c r="I537">
        <f t="shared" si="55"/>
        <v>6.1948306367223035E-4</v>
      </c>
      <c r="K537">
        <f t="shared" si="56"/>
        <v>7.1656050955413164E-3</v>
      </c>
      <c r="L537">
        <f t="shared" si="57"/>
        <v>4.1422160856059431E-3</v>
      </c>
      <c r="M537">
        <f t="shared" si="58"/>
        <v>1.5995462280204098E-2</v>
      </c>
    </row>
    <row r="538" spans="1:13" x14ac:dyDescent="0.3">
      <c r="A538" s="3">
        <v>42781</v>
      </c>
      <c r="B538" s="8">
        <v>12.489061830000001</v>
      </c>
      <c r="C538" s="8">
        <v>117.2</v>
      </c>
      <c r="D538" s="8">
        <v>90.59</v>
      </c>
      <c r="E538">
        <v>2.0000000000000002E-5</v>
      </c>
      <c r="G538">
        <f t="shared" si="53"/>
        <v>100.79079601620393</v>
      </c>
      <c r="H538">
        <f t="shared" si="54"/>
        <v>-1.0026683135504477E-3</v>
      </c>
      <c r="I538">
        <f t="shared" si="55"/>
        <v>-1.0226683135504478E-3</v>
      </c>
      <c r="K538">
        <f t="shared" si="56"/>
        <v>-1.5810276679840696E-3</v>
      </c>
      <c r="L538">
        <f t="shared" si="57"/>
        <v>7.2189755929872312E-3</v>
      </c>
      <c r="M538">
        <f t="shared" si="58"/>
        <v>1.1500669941938435E-2</v>
      </c>
    </row>
    <row r="539" spans="1:13" x14ac:dyDescent="0.3">
      <c r="A539" s="3">
        <v>42782</v>
      </c>
      <c r="B539" s="8">
        <v>12.400066139999998</v>
      </c>
      <c r="C539" s="8">
        <v>118.08</v>
      </c>
      <c r="D539" s="8">
        <v>90.53</v>
      </c>
      <c r="E539">
        <v>2.0000000000000002E-5</v>
      </c>
      <c r="G539">
        <f t="shared" si="53"/>
        <v>100.29000339592098</v>
      </c>
      <c r="H539">
        <f t="shared" si="54"/>
        <v>-4.9686344396212556E-3</v>
      </c>
      <c r="I539">
        <f t="shared" si="55"/>
        <v>-4.9886344396212557E-3</v>
      </c>
      <c r="K539">
        <f t="shared" si="56"/>
        <v>-7.1258907363422885E-3</v>
      </c>
      <c r="L539">
        <f t="shared" si="57"/>
        <v>7.5085324232082584E-3</v>
      </c>
      <c r="M539">
        <f t="shared" si="58"/>
        <v>-6.6232475990735118E-4</v>
      </c>
    </row>
    <row r="540" spans="1:13" x14ac:dyDescent="0.3">
      <c r="A540" s="3">
        <v>42783</v>
      </c>
      <c r="B540" s="8">
        <v>12.439619779999999</v>
      </c>
      <c r="C540" s="8">
        <v>118.86</v>
      </c>
      <c r="D540" s="8">
        <v>90.23</v>
      </c>
      <c r="E540">
        <v>2.0000000000000002E-5</v>
      </c>
      <c r="G540">
        <f t="shared" si="53"/>
        <v>100.2514884198911</v>
      </c>
      <c r="H540">
        <f t="shared" si="54"/>
        <v>-3.8403604273329339E-4</v>
      </c>
      <c r="I540">
        <f t="shared" si="55"/>
        <v>-4.0403604273329339E-4</v>
      </c>
      <c r="K540">
        <f t="shared" si="56"/>
        <v>3.1897926634769647E-3</v>
      </c>
      <c r="L540">
        <f t="shared" si="57"/>
        <v>6.6056910569105565E-3</v>
      </c>
      <c r="M540">
        <f t="shared" si="58"/>
        <v>-3.3138186236606471E-3</v>
      </c>
    </row>
    <row r="541" spans="1:13" x14ac:dyDescent="0.3">
      <c r="A541" s="3">
        <v>42787</v>
      </c>
      <c r="B541" s="8">
        <v>12.548392289999999</v>
      </c>
      <c r="C541" s="8">
        <v>119.66</v>
      </c>
      <c r="D541" s="8">
        <v>91.01</v>
      </c>
      <c r="E541">
        <v>2.0000000000000002E-5</v>
      </c>
      <c r="G541">
        <f t="shared" si="53"/>
        <v>100.76618651728739</v>
      </c>
      <c r="H541">
        <f t="shared" si="54"/>
        <v>5.1340693839929674E-3</v>
      </c>
      <c r="I541">
        <f t="shared" si="55"/>
        <v>5.1140693839929674E-3</v>
      </c>
      <c r="K541">
        <f t="shared" si="56"/>
        <v>8.7440381558028246E-3</v>
      </c>
      <c r="L541">
        <f t="shared" si="57"/>
        <v>6.7306074373212343E-3</v>
      </c>
      <c r="M541">
        <f t="shared" si="58"/>
        <v>8.6445749750636569E-3</v>
      </c>
    </row>
    <row r="542" spans="1:13" x14ac:dyDescent="0.3">
      <c r="A542" s="3">
        <v>42788</v>
      </c>
      <c r="B542" s="8">
        <v>12.52861547</v>
      </c>
      <c r="C542" s="8">
        <v>119.52</v>
      </c>
      <c r="D542" s="8">
        <v>91.06</v>
      </c>
      <c r="E542">
        <v>2.0000000000000002E-5</v>
      </c>
      <c r="G542">
        <f t="shared" si="53"/>
        <v>99.943447925576393</v>
      </c>
      <c r="H542">
        <f t="shared" si="54"/>
        <v>-8.164828105009736E-3</v>
      </c>
      <c r="I542">
        <f t="shared" si="55"/>
        <v>-8.1848281050097352E-3</v>
      </c>
      <c r="K542">
        <f t="shared" si="56"/>
        <v>-1.5760441292355098E-3</v>
      </c>
      <c r="L542">
        <f t="shared" si="57"/>
        <v>-1.1699816145746E-3</v>
      </c>
      <c r="M542">
        <f t="shared" si="58"/>
        <v>5.4939017690358583E-4</v>
      </c>
    </row>
    <row r="543" spans="1:13" x14ac:dyDescent="0.3">
      <c r="A543" s="3">
        <v>42789</v>
      </c>
      <c r="B543" s="8">
        <v>12.41984296</v>
      </c>
      <c r="C543" s="8">
        <v>121.7</v>
      </c>
      <c r="D543" s="8">
        <v>91.13</v>
      </c>
      <c r="E543">
        <v>2.0000000000000002E-5</v>
      </c>
      <c r="G543">
        <f t="shared" si="53"/>
        <v>100.88437056767555</v>
      </c>
      <c r="H543">
        <f t="shared" si="54"/>
        <v>9.4145505446221467E-3</v>
      </c>
      <c r="I543">
        <f t="shared" si="55"/>
        <v>9.3945505446221475E-3</v>
      </c>
      <c r="K543">
        <f t="shared" si="56"/>
        <v>-8.6819258089976259E-3</v>
      </c>
      <c r="L543">
        <f t="shared" si="57"/>
        <v>1.8239625167336015E-2</v>
      </c>
      <c r="M543">
        <f t="shared" si="58"/>
        <v>7.6872391829563291E-4</v>
      </c>
    </row>
    <row r="544" spans="1:13" x14ac:dyDescent="0.3">
      <c r="A544" s="3">
        <v>42790</v>
      </c>
      <c r="B544" s="8">
        <v>12.33084727</v>
      </c>
      <c r="C544" s="8">
        <v>122.73</v>
      </c>
      <c r="D544" s="8">
        <v>90.33</v>
      </c>
      <c r="E544">
        <v>2.0000000000000002E-5</v>
      </c>
      <c r="G544">
        <f t="shared" si="53"/>
        <v>100.03370958338587</v>
      </c>
      <c r="H544">
        <f t="shared" si="54"/>
        <v>-8.432039368467259E-3</v>
      </c>
      <c r="I544">
        <f t="shared" si="55"/>
        <v>-8.4520393684672582E-3</v>
      </c>
      <c r="K544">
        <f t="shared" si="56"/>
        <v>-7.1656050955414274E-3</v>
      </c>
      <c r="L544">
        <f t="shared" si="57"/>
        <v>8.4634346754313139E-3</v>
      </c>
      <c r="M544">
        <f t="shared" si="58"/>
        <v>-8.7786678371556404E-3</v>
      </c>
    </row>
    <row r="545" spans="1:13" x14ac:dyDescent="0.3">
      <c r="A545" s="3">
        <v>42793</v>
      </c>
      <c r="B545" s="8">
        <v>12.51872706</v>
      </c>
      <c r="C545" s="8">
        <v>122.4</v>
      </c>
      <c r="D545" s="8">
        <v>90.43</v>
      </c>
      <c r="E545">
        <v>2.0000000000000002E-5</v>
      </c>
      <c r="G545">
        <f t="shared" si="53"/>
        <v>100.06182228102503</v>
      </c>
      <c r="H545">
        <f t="shared" si="54"/>
        <v>2.810322415938149E-4</v>
      </c>
      <c r="I545">
        <f t="shared" si="55"/>
        <v>2.610322415938149E-4</v>
      </c>
      <c r="K545">
        <f t="shared" si="56"/>
        <v>1.5236567762630271E-2</v>
      </c>
      <c r="L545">
        <f t="shared" si="57"/>
        <v>-2.6888291371303108E-3</v>
      </c>
      <c r="M545">
        <f t="shared" si="58"/>
        <v>1.1070519207352358E-3</v>
      </c>
    </row>
    <row r="546" spans="1:13" x14ac:dyDescent="0.3">
      <c r="A546" s="3">
        <v>42794</v>
      </c>
      <c r="B546" s="8">
        <v>12.39017773</v>
      </c>
      <c r="C546" s="8">
        <v>122.21</v>
      </c>
      <c r="D546" s="8">
        <v>90.62</v>
      </c>
      <c r="E546">
        <v>2.0000000000000002E-5</v>
      </c>
      <c r="G546">
        <f t="shared" si="53"/>
        <v>99.890902337840615</v>
      </c>
      <c r="H546">
        <f t="shared" si="54"/>
        <v>-1.7081434186195787E-3</v>
      </c>
      <c r="I546">
        <f t="shared" si="55"/>
        <v>-1.7281434186195788E-3</v>
      </c>
      <c r="K546">
        <f t="shared" si="56"/>
        <v>-1.0268562401263837E-2</v>
      </c>
      <c r="L546">
        <f t="shared" si="57"/>
        <v>-1.5522875816994519E-3</v>
      </c>
      <c r="M546">
        <f t="shared" si="58"/>
        <v>2.1010726528807311E-3</v>
      </c>
    </row>
    <row r="547" spans="1:13" x14ac:dyDescent="0.3">
      <c r="A547" s="3">
        <v>42795</v>
      </c>
      <c r="B547" s="8">
        <v>12.548392289999999</v>
      </c>
      <c r="C547" s="8">
        <v>123.86</v>
      </c>
      <c r="D547" s="8">
        <v>93.6</v>
      </c>
      <c r="E547">
        <v>1.0000000000000001E-5</v>
      </c>
      <c r="G547">
        <f t="shared" si="53"/>
        <v>102.07187398766268</v>
      </c>
      <c r="H547">
        <f t="shared" si="54"/>
        <v>2.1833536375973628E-2</v>
      </c>
      <c r="I547">
        <f t="shared" si="55"/>
        <v>2.1823536375973628E-2</v>
      </c>
      <c r="K547">
        <f t="shared" si="56"/>
        <v>1.2769353551476348E-2</v>
      </c>
      <c r="L547">
        <f t="shared" si="57"/>
        <v>1.3501350135013634E-2</v>
      </c>
      <c r="M547">
        <f t="shared" si="58"/>
        <v>3.2884572941955348E-2</v>
      </c>
    </row>
    <row r="548" spans="1:13" x14ac:dyDescent="0.3">
      <c r="A548" s="3">
        <v>42796</v>
      </c>
      <c r="B548" s="8">
        <v>12.51872706</v>
      </c>
      <c r="C548" s="8">
        <v>123.63</v>
      </c>
      <c r="D548" s="8">
        <v>92.14</v>
      </c>
      <c r="E548">
        <v>1.0000000000000001E-5</v>
      </c>
      <c r="G548">
        <f t="shared" si="53"/>
        <v>99.291890391015784</v>
      </c>
      <c r="H548">
        <f t="shared" si="54"/>
        <v>-2.7235549696901895E-2</v>
      </c>
      <c r="I548">
        <f t="shared" si="55"/>
        <v>-2.7245549696901895E-2</v>
      </c>
      <c r="K548">
        <f t="shared" si="56"/>
        <v>-2.3640661938533203E-3</v>
      </c>
      <c r="L548">
        <f t="shared" si="57"/>
        <v>-1.8569352494752778E-3</v>
      </c>
      <c r="M548">
        <f t="shared" si="58"/>
        <v>-1.5598290598290543E-2</v>
      </c>
    </row>
    <row r="549" spans="1:13" x14ac:dyDescent="0.3">
      <c r="A549" s="3">
        <v>42797</v>
      </c>
      <c r="B549" s="8">
        <v>12.50883865</v>
      </c>
      <c r="C549" s="8">
        <v>123.79</v>
      </c>
      <c r="D549" s="8">
        <v>92.8</v>
      </c>
      <c r="E549">
        <v>1.0000000000000001E-5</v>
      </c>
      <c r="G549">
        <f t="shared" si="53"/>
        <v>100.32842686215804</v>
      </c>
      <c r="H549">
        <f t="shared" si="54"/>
        <v>1.0439286300828021E-2</v>
      </c>
      <c r="I549">
        <f t="shared" si="55"/>
        <v>1.0429286300828022E-2</v>
      </c>
      <c r="K549">
        <f t="shared" si="56"/>
        <v>-7.898894154818592E-4</v>
      </c>
      <c r="L549">
        <f t="shared" si="57"/>
        <v>1.2941842594840214E-3</v>
      </c>
      <c r="M549">
        <f t="shared" si="58"/>
        <v>7.1630128065987009E-3</v>
      </c>
    </row>
    <row r="550" spans="1:13" x14ac:dyDescent="0.3">
      <c r="A550" s="3">
        <v>42800</v>
      </c>
      <c r="B550" s="8">
        <v>12.380289319999999</v>
      </c>
      <c r="C550" s="8">
        <v>123.71</v>
      </c>
      <c r="D550" s="8">
        <v>91.92</v>
      </c>
      <c r="E550">
        <v>1.0000000000000001E-5</v>
      </c>
      <c r="G550">
        <f t="shared" si="53"/>
        <v>99.501918721387554</v>
      </c>
      <c r="H550">
        <f t="shared" si="54"/>
        <v>-8.2380255189891116E-3</v>
      </c>
      <c r="I550">
        <f t="shared" si="55"/>
        <v>-8.2480255189891112E-3</v>
      </c>
      <c r="K550">
        <f t="shared" si="56"/>
        <v>-1.0276679841897285E-2</v>
      </c>
      <c r="L550">
        <f t="shared" si="57"/>
        <v>-6.4625575571541916E-4</v>
      </c>
      <c r="M550">
        <f t="shared" si="58"/>
        <v>-9.4827586206895909E-3</v>
      </c>
    </row>
    <row r="551" spans="1:13" x14ac:dyDescent="0.3">
      <c r="A551" s="3">
        <v>42801</v>
      </c>
      <c r="B551" s="8">
        <v>12.320958860000001</v>
      </c>
      <c r="C551" s="8">
        <v>123.83</v>
      </c>
      <c r="D551" s="8">
        <v>91.41</v>
      </c>
      <c r="E551">
        <v>1.0000000000000001E-5</v>
      </c>
      <c r="G551">
        <f t="shared" si="53"/>
        <v>99.791319574060452</v>
      </c>
      <c r="H551">
        <f t="shared" si="54"/>
        <v>2.9084951967934813E-3</v>
      </c>
      <c r="I551">
        <f t="shared" si="55"/>
        <v>2.8984951967934813E-3</v>
      </c>
      <c r="K551">
        <f t="shared" si="56"/>
        <v>-4.7923322683705027E-3</v>
      </c>
      <c r="L551">
        <f t="shared" si="57"/>
        <v>9.7001050844713887E-4</v>
      </c>
      <c r="M551">
        <f t="shared" si="58"/>
        <v>-5.5483028720627603E-3</v>
      </c>
    </row>
    <row r="552" spans="1:13" x14ac:dyDescent="0.3">
      <c r="A552" s="3">
        <v>42802</v>
      </c>
      <c r="B552" s="8">
        <v>12.39017773</v>
      </c>
      <c r="C552" s="8">
        <v>124.1</v>
      </c>
      <c r="D552" s="8">
        <v>91.21</v>
      </c>
      <c r="E552">
        <v>1.0000000000000001E-5</v>
      </c>
      <c r="G552">
        <f t="shared" si="53"/>
        <v>100.08968179514821</v>
      </c>
      <c r="H552">
        <f t="shared" si="54"/>
        <v>2.9898614665209156E-3</v>
      </c>
      <c r="I552">
        <f t="shared" si="55"/>
        <v>2.9798614665209155E-3</v>
      </c>
      <c r="K552">
        <f t="shared" si="56"/>
        <v>5.6179775280897903E-3</v>
      </c>
      <c r="L552">
        <f t="shared" si="57"/>
        <v>2.180408624727459E-3</v>
      </c>
      <c r="M552">
        <f t="shared" si="58"/>
        <v>-2.1879444262116188E-3</v>
      </c>
    </row>
    <row r="553" spans="1:13" x14ac:dyDescent="0.3">
      <c r="A553" s="3">
        <v>42803</v>
      </c>
      <c r="B553" s="8">
        <v>12.3605125</v>
      </c>
      <c r="C553" s="8">
        <v>125.95</v>
      </c>
      <c r="D553" s="8">
        <v>91.57</v>
      </c>
      <c r="E553">
        <v>1.0000000000000001E-5</v>
      </c>
      <c r="G553">
        <f t="shared" si="53"/>
        <v>100.89695770460176</v>
      </c>
      <c r="H553">
        <f t="shared" si="54"/>
        <v>8.0655257862223273E-3</v>
      </c>
      <c r="I553">
        <f t="shared" si="55"/>
        <v>8.0555257862223277E-3</v>
      </c>
      <c r="K553">
        <f t="shared" si="56"/>
        <v>-2.3942537909017458E-3</v>
      </c>
      <c r="L553">
        <f t="shared" si="57"/>
        <v>1.4907332796132211E-2</v>
      </c>
      <c r="M553">
        <f t="shared" si="58"/>
        <v>3.9469356430215097E-3</v>
      </c>
    </row>
    <row r="554" spans="1:13" x14ac:dyDescent="0.3">
      <c r="A554" s="3">
        <v>42804</v>
      </c>
      <c r="B554" s="8">
        <v>12.39017773</v>
      </c>
      <c r="C554" s="8">
        <v>126.21</v>
      </c>
      <c r="D554" s="8">
        <v>91.28</v>
      </c>
      <c r="E554">
        <v>1.0000000000000001E-5</v>
      </c>
      <c r="G554">
        <f t="shared" si="53"/>
        <v>100.01309053563885</v>
      </c>
      <c r="H554">
        <f t="shared" si="54"/>
        <v>-8.7600973217708544E-3</v>
      </c>
      <c r="I554">
        <f t="shared" si="55"/>
        <v>-8.770097321770854E-3</v>
      </c>
      <c r="K554">
        <f t="shared" si="56"/>
        <v>2.3999999999999577E-3</v>
      </c>
      <c r="L554">
        <f t="shared" si="57"/>
        <v>2.0643112346168113E-3</v>
      </c>
      <c r="M554">
        <f t="shared" si="58"/>
        <v>-3.1669760838701766E-3</v>
      </c>
    </row>
    <row r="555" spans="1:13" x14ac:dyDescent="0.3">
      <c r="A555" s="3">
        <v>42807</v>
      </c>
      <c r="B555" s="8">
        <v>12.400066139999998</v>
      </c>
      <c r="C555" s="8">
        <v>126.68</v>
      </c>
      <c r="D555" s="8">
        <v>91.36</v>
      </c>
      <c r="E555">
        <v>1.0000000000000001E-5</v>
      </c>
      <c r="G555">
        <f t="shared" si="53"/>
        <v>100.23457605953408</v>
      </c>
      <c r="H555">
        <f t="shared" si="54"/>
        <v>2.2145653404870291E-3</v>
      </c>
      <c r="I555">
        <f t="shared" si="55"/>
        <v>2.2045653404870291E-3</v>
      </c>
      <c r="K555">
        <f t="shared" si="56"/>
        <v>7.9808459696706358E-4</v>
      </c>
      <c r="L555">
        <f t="shared" si="57"/>
        <v>3.723952143253495E-3</v>
      </c>
      <c r="M555">
        <f t="shared" si="58"/>
        <v>8.7642418930755639E-4</v>
      </c>
    </row>
    <row r="556" spans="1:13" x14ac:dyDescent="0.3">
      <c r="A556" s="3">
        <v>42808</v>
      </c>
      <c r="B556" s="8">
        <v>12.40995455</v>
      </c>
      <c r="C556" s="8">
        <v>127.05</v>
      </c>
      <c r="D556" s="8">
        <v>91.51</v>
      </c>
      <c r="E556">
        <v>1.0000000000000001E-5</v>
      </c>
      <c r="G556">
        <f t="shared" si="53"/>
        <v>100.22169598234105</v>
      </c>
      <c r="H556">
        <f t="shared" si="54"/>
        <v>-1.2849934323444501E-4</v>
      </c>
      <c r="I556">
        <f t="shared" si="55"/>
        <v>-1.3849934323444501E-4</v>
      </c>
      <c r="K556">
        <f t="shared" si="56"/>
        <v>7.9744816586946321E-4</v>
      </c>
      <c r="L556">
        <f t="shared" si="57"/>
        <v>2.9207451847172994E-3</v>
      </c>
      <c r="M556">
        <f t="shared" si="58"/>
        <v>1.6418563922941942E-3</v>
      </c>
    </row>
    <row r="557" spans="1:13" x14ac:dyDescent="0.3">
      <c r="A557" s="3">
        <v>42809</v>
      </c>
      <c r="B557" s="8">
        <v>12.50883865</v>
      </c>
      <c r="C557" s="8">
        <v>128.96</v>
      </c>
      <c r="D557" s="8">
        <v>91.73</v>
      </c>
      <c r="E557">
        <v>1.0000000000000001E-5</v>
      </c>
      <c r="G557">
        <f t="shared" si="53"/>
        <v>100.95404385031077</v>
      </c>
      <c r="H557">
        <f t="shared" si="54"/>
        <v>7.3072787363204217E-3</v>
      </c>
      <c r="I557">
        <f t="shared" si="55"/>
        <v>7.2972787363204221E-3</v>
      </c>
      <c r="K557">
        <f t="shared" si="56"/>
        <v>7.9681274900398336E-3</v>
      </c>
      <c r="L557">
        <f t="shared" si="57"/>
        <v>1.5033451397087783E-2</v>
      </c>
      <c r="M557">
        <f t="shared" si="58"/>
        <v>2.4041088405639677E-3</v>
      </c>
    </row>
    <row r="558" spans="1:13" x14ac:dyDescent="0.3">
      <c r="A558" s="3">
        <v>42810</v>
      </c>
      <c r="B558" s="8">
        <v>12.558280699999999</v>
      </c>
      <c r="C558" s="8">
        <v>128.46</v>
      </c>
      <c r="D558" s="8">
        <v>91.64</v>
      </c>
      <c r="E558">
        <v>1.0000000000000001E-5</v>
      </c>
      <c r="G558">
        <f t="shared" si="53"/>
        <v>99.803320973050802</v>
      </c>
      <c r="H558">
        <f t="shared" si="54"/>
        <v>-1.139848225363016E-2</v>
      </c>
      <c r="I558">
        <f t="shared" si="55"/>
        <v>-1.140848225363016E-2</v>
      </c>
      <c r="K558">
        <f t="shared" si="56"/>
        <v>3.9525691699604515E-3</v>
      </c>
      <c r="L558">
        <f t="shared" si="57"/>
        <v>-3.8771712158809368E-3</v>
      </c>
      <c r="M558">
        <f t="shared" si="58"/>
        <v>-9.8114030306339917E-4</v>
      </c>
    </row>
    <row r="559" spans="1:13" x14ac:dyDescent="0.3">
      <c r="A559" s="3">
        <v>42811</v>
      </c>
      <c r="B559" s="8">
        <v>12.34073568</v>
      </c>
      <c r="C559" s="8">
        <v>128.06</v>
      </c>
      <c r="D559" s="8">
        <v>90.68</v>
      </c>
      <c r="E559">
        <v>1.0000000000000001E-5</v>
      </c>
      <c r="G559">
        <f t="shared" si="53"/>
        <v>99.262666889292319</v>
      </c>
      <c r="H559">
        <f t="shared" si="54"/>
        <v>-5.4171953246372473E-3</v>
      </c>
      <c r="I559">
        <f t="shared" si="55"/>
        <v>-5.4271953246372469E-3</v>
      </c>
      <c r="K559">
        <f t="shared" si="56"/>
        <v>-1.7322834645669194E-2</v>
      </c>
      <c r="L559">
        <f t="shared" si="57"/>
        <v>-3.1138097462245495E-3</v>
      </c>
      <c r="M559">
        <f t="shared" si="58"/>
        <v>-1.0475774770842383E-2</v>
      </c>
    </row>
    <row r="560" spans="1:13" x14ac:dyDescent="0.3">
      <c r="A560" s="3">
        <v>42814</v>
      </c>
      <c r="B560" s="8">
        <v>12.142967479999999</v>
      </c>
      <c r="C560" s="8">
        <v>128.07</v>
      </c>
      <c r="D560" s="8">
        <v>90.03</v>
      </c>
      <c r="E560">
        <v>1.0000000000000001E-5</v>
      </c>
      <c r="G560">
        <f t="shared" si="53"/>
        <v>99.566357926512964</v>
      </c>
      <c r="H560">
        <f t="shared" si="54"/>
        <v>3.0594688490421795E-3</v>
      </c>
      <c r="I560">
        <f t="shared" si="55"/>
        <v>3.0494688490421795E-3</v>
      </c>
      <c r="K560">
        <f t="shared" si="56"/>
        <v>-1.602564102564108E-2</v>
      </c>
      <c r="L560">
        <f t="shared" si="57"/>
        <v>7.808839606426865E-5</v>
      </c>
      <c r="M560">
        <f t="shared" si="58"/>
        <v>-7.1680635200706E-3</v>
      </c>
    </row>
    <row r="561" spans="1:13" x14ac:dyDescent="0.3">
      <c r="A561" s="3">
        <v>42815</v>
      </c>
      <c r="B561" s="8">
        <v>11.589216520000001</v>
      </c>
      <c r="C561" s="8">
        <v>127.25</v>
      </c>
      <c r="D561" s="8">
        <v>87.39</v>
      </c>
      <c r="E561">
        <v>1.0000000000000001E-5</v>
      </c>
      <c r="G561">
        <f t="shared" si="53"/>
        <v>98.086368060858078</v>
      </c>
      <c r="H561">
        <f t="shared" si="54"/>
        <v>-1.4864356761419617E-2</v>
      </c>
      <c r="I561">
        <f t="shared" si="55"/>
        <v>-1.4874356761419617E-2</v>
      </c>
      <c r="K561">
        <f t="shared" si="56"/>
        <v>-4.5602605863192092E-2</v>
      </c>
      <c r="L561">
        <f t="shared" si="57"/>
        <v>-6.4027484969156889E-3</v>
      </c>
      <c r="M561">
        <f t="shared" si="58"/>
        <v>-2.9323558813728723E-2</v>
      </c>
    </row>
    <row r="562" spans="1:13" x14ac:dyDescent="0.3">
      <c r="A562" s="3">
        <v>42816</v>
      </c>
      <c r="B562" s="8">
        <v>11.638658569999999</v>
      </c>
      <c r="C562" s="8">
        <v>126.26</v>
      </c>
      <c r="D562" s="8">
        <v>87.53</v>
      </c>
      <c r="E562">
        <v>1.0000000000000001E-5</v>
      </c>
      <c r="G562">
        <f t="shared" si="53"/>
        <v>99.701303894595966</v>
      </c>
      <c r="H562">
        <f t="shared" si="54"/>
        <v>1.6464426868531667E-2</v>
      </c>
      <c r="I562">
        <f t="shared" si="55"/>
        <v>1.6454426868531668E-2</v>
      </c>
      <c r="K562">
        <f t="shared" si="56"/>
        <v>4.2662116040954601E-3</v>
      </c>
      <c r="L562">
        <f t="shared" si="57"/>
        <v>-7.7799607072691623E-3</v>
      </c>
      <c r="M562">
        <f t="shared" si="58"/>
        <v>1.602013960407378E-3</v>
      </c>
    </row>
    <row r="563" spans="1:13" x14ac:dyDescent="0.3">
      <c r="A563" s="3">
        <v>42817</v>
      </c>
      <c r="B563" s="8">
        <v>11.539774469999999</v>
      </c>
      <c r="C563" s="8">
        <v>125.9</v>
      </c>
      <c r="D563" s="8">
        <v>87.39</v>
      </c>
      <c r="E563">
        <v>1.0000000000000001E-5</v>
      </c>
      <c r="G563">
        <f t="shared" si="53"/>
        <v>99.702820828186717</v>
      </c>
      <c r="H563">
        <f t="shared" si="54"/>
        <v>1.5214781868388982E-5</v>
      </c>
      <c r="I563">
        <f t="shared" si="55"/>
        <v>5.2147818683889816E-6</v>
      </c>
      <c r="K563">
        <f t="shared" si="56"/>
        <v>-8.4961767204757566E-3</v>
      </c>
      <c r="L563">
        <f t="shared" si="57"/>
        <v>-2.8512593061935654E-3</v>
      </c>
      <c r="M563">
        <f t="shared" si="58"/>
        <v>-1.5994516165885875E-3</v>
      </c>
    </row>
    <row r="564" spans="1:13" x14ac:dyDescent="0.3">
      <c r="A564" s="3">
        <v>42818</v>
      </c>
      <c r="B564" s="8">
        <v>11.49033242</v>
      </c>
      <c r="C564" s="8">
        <v>125.48</v>
      </c>
      <c r="D564" s="8">
        <v>87.29</v>
      </c>
      <c r="E564">
        <v>1.0000000000000001E-5</v>
      </c>
      <c r="G564">
        <f t="shared" si="53"/>
        <v>99.738936664039102</v>
      </c>
      <c r="H564">
        <f t="shared" si="54"/>
        <v>3.6223484503628001E-4</v>
      </c>
      <c r="I564">
        <f t="shared" si="55"/>
        <v>3.5223484503627998E-4</v>
      </c>
      <c r="K564">
        <f t="shared" si="56"/>
        <v>-4.2844901456726703E-3</v>
      </c>
      <c r="L564">
        <f t="shared" si="57"/>
        <v>-3.3359809372518479E-3</v>
      </c>
      <c r="M564">
        <f t="shared" si="58"/>
        <v>-1.144295686005159E-3</v>
      </c>
    </row>
    <row r="565" spans="1:13" x14ac:dyDescent="0.3">
      <c r="A565" s="3">
        <v>42821</v>
      </c>
      <c r="B565" s="8">
        <v>11.33211786</v>
      </c>
      <c r="C565" s="8">
        <v>125.8</v>
      </c>
      <c r="D565" s="8">
        <v>87.24</v>
      </c>
      <c r="E565">
        <v>1.0000000000000001E-5</v>
      </c>
      <c r="G565">
        <f t="shared" si="53"/>
        <v>99.966465765988303</v>
      </c>
      <c r="H565">
        <f t="shared" si="54"/>
        <v>2.2812465177528551E-3</v>
      </c>
      <c r="I565">
        <f t="shared" si="55"/>
        <v>2.2712465177528551E-3</v>
      </c>
      <c r="K565">
        <f t="shared" si="56"/>
        <v>-1.376936316695343E-2</v>
      </c>
      <c r="L565">
        <f t="shared" si="57"/>
        <v>2.5502072043352975E-3</v>
      </c>
      <c r="M565">
        <f t="shared" si="58"/>
        <v>-5.7280329934716878E-4</v>
      </c>
    </row>
    <row r="566" spans="1:13" x14ac:dyDescent="0.3">
      <c r="A566" s="3">
        <v>42822</v>
      </c>
      <c r="B566" s="8">
        <v>11.519997650000001</v>
      </c>
      <c r="C566" s="8">
        <v>125.66</v>
      </c>
      <c r="D566" s="8">
        <v>88.6</v>
      </c>
      <c r="E566">
        <v>1.0000000000000001E-5</v>
      </c>
      <c r="G566">
        <f t="shared" si="53"/>
        <v>100.70264693637571</v>
      </c>
      <c r="H566">
        <f t="shared" si="54"/>
        <v>7.3642812591847573E-3</v>
      </c>
      <c r="I566">
        <f t="shared" si="55"/>
        <v>7.3542812591847577E-3</v>
      </c>
      <c r="K566">
        <f t="shared" si="56"/>
        <v>1.6579406631762605E-2</v>
      </c>
      <c r="L566">
        <f t="shared" si="57"/>
        <v>-1.1128775834657878E-3</v>
      </c>
      <c r="M566">
        <f t="shared" si="58"/>
        <v>1.5589179275561582E-2</v>
      </c>
    </row>
    <row r="567" spans="1:13" x14ac:dyDescent="0.3">
      <c r="A567" s="3">
        <v>42823</v>
      </c>
      <c r="B567" s="8">
        <v>11.54966288</v>
      </c>
      <c r="C567" s="8">
        <v>124.92</v>
      </c>
      <c r="D567" s="8">
        <v>88.27</v>
      </c>
      <c r="E567">
        <v>1.0000000000000001E-5</v>
      </c>
      <c r="G567">
        <f t="shared" si="53"/>
        <v>99.581259049428354</v>
      </c>
      <c r="H567">
        <f t="shared" si="54"/>
        <v>-1.1135634673593575E-2</v>
      </c>
      <c r="I567">
        <f t="shared" si="55"/>
        <v>-1.1145634673593575E-2</v>
      </c>
      <c r="K567">
        <f t="shared" si="56"/>
        <v>2.5751072961373023E-3</v>
      </c>
      <c r="L567">
        <f t="shared" si="57"/>
        <v>-5.8889065732929957E-3</v>
      </c>
      <c r="M567">
        <f t="shared" si="58"/>
        <v>-3.7246049661399105E-3</v>
      </c>
    </row>
    <row r="568" spans="1:13" x14ac:dyDescent="0.3">
      <c r="A568" s="3">
        <v>42824</v>
      </c>
      <c r="B568" s="8">
        <v>11.54966288</v>
      </c>
      <c r="C568" s="8">
        <v>124.66</v>
      </c>
      <c r="D568" s="8">
        <v>89.03</v>
      </c>
      <c r="E568">
        <v>1.0000000000000001E-5</v>
      </c>
      <c r="G568">
        <f t="shared" si="53"/>
        <v>100.216003376307</v>
      </c>
      <c r="H568">
        <f t="shared" si="54"/>
        <v>6.3741343796785976E-3</v>
      </c>
      <c r="I568">
        <f t="shared" si="55"/>
        <v>6.364134379678598E-3</v>
      </c>
      <c r="K568">
        <f t="shared" si="56"/>
        <v>0</v>
      </c>
      <c r="L568">
        <f t="shared" si="57"/>
        <v>-2.0813320525135959E-3</v>
      </c>
      <c r="M568">
        <f t="shared" si="58"/>
        <v>8.6099467542766206E-3</v>
      </c>
    </row>
    <row r="569" spans="1:13" x14ac:dyDescent="0.3">
      <c r="A569" s="3">
        <v>42825</v>
      </c>
      <c r="B569" s="8">
        <v>11.51010924</v>
      </c>
      <c r="C569" s="8">
        <v>124.55</v>
      </c>
      <c r="D569" s="8">
        <v>87.84</v>
      </c>
      <c r="E569">
        <v>1.0000000000000001E-5</v>
      </c>
      <c r="G569">
        <f t="shared" si="53"/>
        <v>99.415335353710816</v>
      </c>
      <c r="H569">
        <f t="shared" si="54"/>
        <v>-7.9894228029600001E-3</v>
      </c>
      <c r="I569">
        <f t="shared" si="55"/>
        <v>-7.9994228029599997E-3</v>
      </c>
      <c r="K569">
        <f t="shared" si="56"/>
        <v>-3.424657534246478E-3</v>
      </c>
      <c r="L569">
        <f t="shared" si="57"/>
        <v>-8.8240012834905901E-4</v>
      </c>
      <c r="M569">
        <f t="shared" si="58"/>
        <v>-1.3366281028866611E-2</v>
      </c>
    </row>
    <row r="570" spans="1:13" x14ac:dyDescent="0.3">
      <c r="A570" s="3">
        <v>42828</v>
      </c>
      <c r="B570" s="8">
        <v>11.31234104</v>
      </c>
      <c r="C570" s="8">
        <v>124.69</v>
      </c>
      <c r="D570" s="8">
        <v>87.52</v>
      </c>
      <c r="E570">
        <v>3.0000000000000001E-5</v>
      </c>
      <c r="G570">
        <f t="shared" si="53"/>
        <v>99.741163326670758</v>
      </c>
      <c r="H570">
        <f t="shared" si="54"/>
        <v>3.2774417729486416E-3</v>
      </c>
      <c r="I570">
        <f t="shared" si="55"/>
        <v>3.2474417729486415E-3</v>
      </c>
      <c r="K570">
        <f t="shared" si="56"/>
        <v>-1.718213058419249E-2</v>
      </c>
      <c r="L570">
        <f t="shared" si="57"/>
        <v>1.1240465676434219E-3</v>
      </c>
      <c r="M570">
        <f t="shared" si="58"/>
        <v>-3.6429872495447047E-3</v>
      </c>
    </row>
    <row r="571" spans="1:13" x14ac:dyDescent="0.3">
      <c r="A571" s="3">
        <v>42829</v>
      </c>
      <c r="B571" s="8">
        <v>11.243122169999999</v>
      </c>
      <c r="C571" s="8">
        <v>124.68</v>
      </c>
      <c r="D571" s="8">
        <v>87.31</v>
      </c>
      <c r="E571">
        <v>3.0000000000000001E-5</v>
      </c>
      <c r="G571">
        <f t="shared" si="53"/>
        <v>99.841417475308475</v>
      </c>
      <c r="H571">
        <f t="shared" si="54"/>
        <v>1.005143165508926E-3</v>
      </c>
      <c r="I571">
        <f t="shared" si="55"/>
        <v>9.7514316550892605E-4</v>
      </c>
      <c r="K571">
        <f t="shared" si="56"/>
        <v>-6.1188811188811476E-3</v>
      </c>
      <c r="L571">
        <f t="shared" si="57"/>
        <v>-8.0198893255167825E-5</v>
      </c>
      <c r="M571">
        <f t="shared" si="58"/>
        <v>-2.3994515539305095E-3</v>
      </c>
    </row>
    <row r="572" spans="1:13" x14ac:dyDescent="0.3">
      <c r="A572" s="3">
        <v>42830</v>
      </c>
      <c r="B572" s="8">
        <v>11.13434966</v>
      </c>
      <c r="C572" s="8">
        <v>124.8</v>
      </c>
      <c r="D572" s="8">
        <v>86.19</v>
      </c>
      <c r="E572">
        <v>3.0000000000000001E-5</v>
      </c>
      <c r="G572">
        <f t="shared" si="53"/>
        <v>99.465823907475965</v>
      </c>
      <c r="H572">
        <f t="shared" si="54"/>
        <v>-3.7619013965360937E-3</v>
      </c>
      <c r="I572">
        <f t="shared" si="55"/>
        <v>-3.7919013965360938E-3</v>
      </c>
      <c r="K572">
        <f t="shared" si="56"/>
        <v>-9.6745822339489029E-3</v>
      </c>
      <c r="L572">
        <f t="shared" si="57"/>
        <v>9.6246390760335032E-4</v>
      </c>
      <c r="M572">
        <f t="shared" si="58"/>
        <v>-1.2827854770358527E-2</v>
      </c>
    </row>
    <row r="573" spans="1:13" x14ac:dyDescent="0.3">
      <c r="A573" s="3">
        <v>42831</v>
      </c>
      <c r="B573" s="8">
        <v>11.14423807</v>
      </c>
      <c r="C573" s="8">
        <v>125.05</v>
      </c>
      <c r="D573" s="8">
        <v>86.48</v>
      </c>
      <c r="E573">
        <v>3.0000000000000001E-5</v>
      </c>
      <c r="G573">
        <f t="shared" si="53"/>
        <v>100.23986686433074</v>
      </c>
      <c r="H573">
        <f t="shared" si="54"/>
        <v>7.7819991475140959E-3</v>
      </c>
      <c r="I573">
        <f t="shared" si="55"/>
        <v>7.7519991475140963E-3</v>
      </c>
      <c r="K573">
        <f t="shared" si="56"/>
        <v>8.8809946714030197E-4</v>
      </c>
      <c r="L573">
        <f t="shared" si="57"/>
        <v>2.0032051282050656E-3</v>
      </c>
      <c r="M573">
        <f t="shared" si="58"/>
        <v>3.3646594732568147E-3</v>
      </c>
    </row>
    <row r="574" spans="1:13" x14ac:dyDescent="0.3">
      <c r="A574" s="3">
        <v>42832</v>
      </c>
      <c r="B574" s="8">
        <v>11.104684430000001</v>
      </c>
      <c r="C574" s="8">
        <v>124.92</v>
      </c>
      <c r="D574" s="8">
        <v>86.18</v>
      </c>
      <c r="E574">
        <v>3.0000000000000001E-5</v>
      </c>
      <c r="G574">
        <f t="shared" si="53"/>
        <v>99.778317966292164</v>
      </c>
      <c r="H574">
        <f t="shared" si="54"/>
        <v>-4.6044444438783083E-3</v>
      </c>
      <c r="I574">
        <f t="shared" si="55"/>
        <v>-4.634444443878308E-3</v>
      </c>
      <c r="K574">
        <f t="shared" si="56"/>
        <v>-3.549245785270605E-3</v>
      </c>
      <c r="L574">
        <f t="shared" si="57"/>
        <v>-1.0395841663334293E-3</v>
      </c>
      <c r="M574">
        <f t="shared" si="58"/>
        <v>-3.4690101757631764E-3</v>
      </c>
    </row>
    <row r="575" spans="1:13" x14ac:dyDescent="0.3">
      <c r="A575" s="3">
        <v>42835</v>
      </c>
      <c r="B575" s="8">
        <v>11.12446125</v>
      </c>
      <c r="C575" s="8">
        <v>124.34</v>
      </c>
      <c r="D575" s="8">
        <v>85.88</v>
      </c>
      <c r="E575">
        <v>3.0000000000000001E-5</v>
      </c>
      <c r="G575">
        <f t="shared" si="53"/>
        <v>99.646749906375248</v>
      </c>
      <c r="H575">
        <f t="shared" si="54"/>
        <v>-1.3186037066826861E-3</v>
      </c>
      <c r="I575">
        <f t="shared" si="55"/>
        <v>-1.3486037066826862E-3</v>
      </c>
      <c r="K575">
        <f t="shared" si="56"/>
        <v>1.7809439002669514E-3</v>
      </c>
      <c r="L575">
        <f t="shared" si="57"/>
        <v>-4.6429715017610729E-3</v>
      </c>
      <c r="M575">
        <f t="shared" si="58"/>
        <v>-3.4810860988629955E-3</v>
      </c>
    </row>
    <row r="576" spans="1:13" x14ac:dyDescent="0.3">
      <c r="A576" s="3">
        <v>42836</v>
      </c>
      <c r="B576" s="8">
        <v>11.154126479999999</v>
      </c>
      <c r="C576" s="8">
        <v>124.22</v>
      </c>
      <c r="D576" s="8">
        <v>85.73</v>
      </c>
      <c r="E576">
        <v>3.0000000000000001E-5</v>
      </c>
      <c r="G576">
        <f t="shared" si="53"/>
        <v>99.912142463369563</v>
      </c>
      <c r="H576">
        <f t="shared" si="54"/>
        <v>2.6633337990820127E-3</v>
      </c>
      <c r="I576">
        <f t="shared" si="55"/>
        <v>2.6333337990820127E-3</v>
      </c>
      <c r="K576">
        <f t="shared" si="56"/>
        <v>2.666666666666595E-3</v>
      </c>
      <c r="L576">
        <f t="shared" si="57"/>
        <v>-9.6509570532410383E-4</v>
      </c>
      <c r="M576">
        <f t="shared" si="58"/>
        <v>-1.7466231951559497E-3</v>
      </c>
    </row>
    <row r="577" spans="1:13" x14ac:dyDescent="0.3">
      <c r="A577" s="3">
        <v>42837</v>
      </c>
      <c r="B577" s="8">
        <v>11.104684430000001</v>
      </c>
      <c r="C577" s="8">
        <v>125.4</v>
      </c>
      <c r="D577" s="8">
        <v>85.4</v>
      </c>
      <c r="E577">
        <v>3.0000000000000001E-5</v>
      </c>
      <c r="G577">
        <f t="shared" si="53"/>
        <v>100.30159769909308</v>
      </c>
      <c r="H577">
        <f t="shared" si="54"/>
        <v>3.8979770238267708E-3</v>
      </c>
      <c r="I577">
        <f t="shared" si="55"/>
        <v>3.8679770238267707E-3</v>
      </c>
      <c r="K577">
        <f t="shared" si="56"/>
        <v>-4.4326241134750033E-3</v>
      </c>
      <c r="L577">
        <f t="shared" si="57"/>
        <v>9.4992754789888778E-3</v>
      </c>
      <c r="M577">
        <f t="shared" si="58"/>
        <v>-3.8492942960457466E-3</v>
      </c>
    </row>
    <row r="578" spans="1:13" x14ac:dyDescent="0.3">
      <c r="A578" s="3">
        <v>42838</v>
      </c>
      <c r="B578" s="8">
        <v>10.986023509999999</v>
      </c>
      <c r="C578" s="8">
        <v>124.99</v>
      </c>
      <c r="D578" s="8">
        <v>84.4</v>
      </c>
      <c r="E578">
        <v>3.0000000000000001E-5</v>
      </c>
      <c r="G578">
        <f t="shared" si="53"/>
        <v>99.277715291465071</v>
      </c>
      <c r="H578">
        <f t="shared" si="54"/>
        <v>-1.0208036871951709E-2</v>
      </c>
      <c r="I578">
        <f t="shared" si="55"/>
        <v>-1.0238036871951709E-2</v>
      </c>
      <c r="K578">
        <f t="shared" si="56"/>
        <v>-1.0685663401603041E-2</v>
      </c>
      <c r="L578">
        <f t="shared" si="57"/>
        <v>-3.2695374800638666E-3</v>
      </c>
      <c r="M578">
        <f t="shared" si="58"/>
        <v>-1.1709601873536313E-2</v>
      </c>
    </row>
    <row r="579" spans="1:13" x14ac:dyDescent="0.3">
      <c r="A579" s="3">
        <v>42842</v>
      </c>
      <c r="B579" s="8">
        <v>11.154126479999999</v>
      </c>
      <c r="C579" s="8">
        <v>125.72</v>
      </c>
      <c r="D579" s="8">
        <v>85.86</v>
      </c>
      <c r="E579">
        <v>3.0000000000000001E-5</v>
      </c>
      <c r="G579">
        <f t="shared" si="53"/>
        <v>101.11438127227417</v>
      </c>
      <c r="H579">
        <f t="shared" si="54"/>
        <v>1.8500284534317846E-2</v>
      </c>
      <c r="I579">
        <f t="shared" si="55"/>
        <v>1.8470284534317847E-2</v>
      </c>
      <c r="K579">
        <f t="shared" si="56"/>
        <v>1.5301530153015275E-2</v>
      </c>
      <c r="L579">
        <f t="shared" si="57"/>
        <v>5.8404672373790767E-3</v>
      </c>
      <c r="M579">
        <f t="shared" si="58"/>
        <v>1.7298578199052006E-2</v>
      </c>
    </row>
    <row r="580" spans="1:13" x14ac:dyDescent="0.3">
      <c r="A580" s="3">
        <v>42843</v>
      </c>
      <c r="B580" s="8">
        <v>11.01568874</v>
      </c>
      <c r="C580" s="8">
        <v>121.82</v>
      </c>
      <c r="D580" s="8">
        <v>85.16</v>
      </c>
      <c r="E580">
        <v>3.0000000000000001E-5</v>
      </c>
      <c r="G580">
        <f t="shared" si="53"/>
        <v>97.953470470694143</v>
      </c>
      <c r="H580">
        <f t="shared" si="54"/>
        <v>-3.1260744137557861E-2</v>
      </c>
      <c r="I580">
        <f t="shared" si="55"/>
        <v>-3.1290744137557863E-2</v>
      </c>
      <c r="K580">
        <f t="shared" si="56"/>
        <v>-1.2411347517730431E-2</v>
      </c>
      <c r="L580">
        <f t="shared" si="57"/>
        <v>-3.102131721285406E-2</v>
      </c>
      <c r="M580">
        <f t="shared" si="58"/>
        <v>-8.1528068949452415E-3</v>
      </c>
    </row>
    <row r="581" spans="1:13" x14ac:dyDescent="0.3">
      <c r="A581" s="3">
        <v>42844</v>
      </c>
      <c r="B581" s="8">
        <v>11.06513079</v>
      </c>
      <c r="C581" s="8">
        <v>121.37</v>
      </c>
      <c r="D581" s="8">
        <v>84.46</v>
      </c>
      <c r="E581">
        <v>3.0000000000000001E-5</v>
      </c>
      <c r="G581">
        <f t="shared" ref="G581:G644" si="59">$G$4*(B581*$P$8/B580 + C581*$Q$8/C580 + D581*$R$8/D580)</f>
        <v>99.546042745184124</v>
      </c>
      <c r="H581">
        <f t="shared" ref="H581:H644" si="60">G581/G580-1</f>
        <v>1.6258456865665183E-2</v>
      </c>
      <c r="I581">
        <f t="shared" si="55"/>
        <v>1.6228456865665184E-2</v>
      </c>
      <c r="K581">
        <f t="shared" si="56"/>
        <v>4.4883303411131781E-3</v>
      </c>
      <c r="L581">
        <f t="shared" si="57"/>
        <v>-3.693974716795223E-3</v>
      </c>
      <c r="M581">
        <f t="shared" si="58"/>
        <v>-8.2198215124471563E-3</v>
      </c>
    </row>
    <row r="582" spans="1:13" x14ac:dyDescent="0.3">
      <c r="A582" s="3">
        <v>42845</v>
      </c>
      <c r="B582" s="8">
        <v>11.342006270000001</v>
      </c>
      <c r="C582" s="8">
        <v>121.87</v>
      </c>
      <c r="D582" s="8">
        <v>85.55</v>
      </c>
      <c r="E582">
        <v>3.0000000000000001E-5</v>
      </c>
      <c r="G582">
        <f t="shared" si="59"/>
        <v>100.96165039177836</v>
      </c>
      <c r="H582">
        <f t="shared" si="60"/>
        <v>1.4220632056845206E-2</v>
      </c>
      <c r="I582">
        <f t="shared" ref="I582:I645" si="61">H582-E582</f>
        <v>1.4190632056845206E-2</v>
      </c>
      <c r="K582">
        <f t="shared" ref="K582:K645" si="62">B582/B581-1</f>
        <v>2.502234137622894E-2</v>
      </c>
      <c r="L582">
        <f t="shared" ref="L582:L645" si="63">C582/C581-1</f>
        <v>4.1196341764850875E-3</v>
      </c>
      <c r="M582">
        <f t="shared" ref="M582:M645" si="64">D582/D581-1</f>
        <v>1.2905517404688593E-2</v>
      </c>
    </row>
    <row r="583" spans="1:13" x14ac:dyDescent="0.3">
      <c r="A583" s="3">
        <v>42846</v>
      </c>
      <c r="B583" s="8">
        <v>11.21345694</v>
      </c>
      <c r="C583" s="8">
        <v>121.76</v>
      </c>
      <c r="D583" s="8">
        <v>84.52</v>
      </c>
      <c r="E583">
        <v>3.0000000000000001E-5</v>
      </c>
      <c r="G583">
        <f t="shared" si="59"/>
        <v>99.381315288761613</v>
      </c>
      <c r="H583">
        <f t="shared" si="60"/>
        <v>-1.5652825571732532E-2</v>
      </c>
      <c r="I583">
        <f t="shared" si="61"/>
        <v>-1.568282557173253E-2</v>
      </c>
      <c r="K583">
        <f t="shared" si="62"/>
        <v>-1.1333914559720992E-2</v>
      </c>
      <c r="L583">
        <f t="shared" si="63"/>
        <v>-9.0260113235418604E-4</v>
      </c>
      <c r="M583">
        <f t="shared" si="64"/>
        <v>-1.2039742840444179E-2</v>
      </c>
    </row>
    <row r="584" spans="1:13" x14ac:dyDescent="0.3">
      <c r="A584" s="3">
        <v>42849</v>
      </c>
      <c r="B584" s="8">
        <v>11.302452629999999</v>
      </c>
      <c r="C584" s="8">
        <v>122.89</v>
      </c>
      <c r="D584" s="8">
        <v>87.5</v>
      </c>
      <c r="E584">
        <v>3.0000000000000001E-5</v>
      </c>
      <c r="G584">
        <f t="shared" si="59"/>
        <v>101.89152445508927</v>
      </c>
      <c r="H584">
        <f t="shared" si="60"/>
        <v>2.5258361282842756E-2</v>
      </c>
      <c r="I584">
        <f t="shared" si="61"/>
        <v>2.5228361282842757E-2</v>
      </c>
      <c r="K584">
        <f t="shared" si="62"/>
        <v>7.9365079365079083E-3</v>
      </c>
      <c r="L584">
        <f t="shared" si="63"/>
        <v>9.2805519053875685E-3</v>
      </c>
      <c r="M584">
        <f t="shared" si="64"/>
        <v>3.5257927117841925E-2</v>
      </c>
    </row>
    <row r="585" spans="1:13" x14ac:dyDescent="0.3">
      <c r="A585" s="3">
        <v>42850</v>
      </c>
      <c r="B585" s="8">
        <v>11.351894680000001</v>
      </c>
      <c r="C585" s="8">
        <v>123.43</v>
      </c>
      <c r="D585" s="8">
        <v>88.26</v>
      </c>
      <c r="E585">
        <v>3.0000000000000001E-5</v>
      </c>
      <c r="G585">
        <f t="shared" si="59"/>
        <v>100.60070574667238</v>
      </c>
      <c r="H585">
        <f t="shared" si="60"/>
        <v>-1.2668558207565628E-2</v>
      </c>
      <c r="I585">
        <f t="shared" si="61"/>
        <v>-1.2698558207565628E-2</v>
      </c>
      <c r="K585">
        <f t="shared" si="62"/>
        <v>4.3744531933509467E-3</v>
      </c>
      <c r="L585">
        <f t="shared" si="63"/>
        <v>4.3941736512329577E-3</v>
      </c>
      <c r="M585">
        <f t="shared" si="64"/>
        <v>8.6857142857144076E-3</v>
      </c>
    </row>
    <row r="586" spans="1:13" x14ac:dyDescent="0.3">
      <c r="A586" s="3">
        <v>42851</v>
      </c>
      <c r="B586" s="8">
        <v>11.470555599999999</v>
      </c>
      <c r="C586" s="8">
        <v>123.51</v>
      </c>
      <c r="D586" s="8">
        <v>88.43</v>
      </c>
      <c r="E586">
        <v>3.0000000000000001E-5</v>
      </c>
      <c r="G586">
        <f t="shared" si="59"/>
        <v>100.21566280630556</v>
      </c>
      <c r="H586">
        <f t="shared" si="60"/>
        <v>-3.8274377650631131E-3</v>
      </c>
      <c r="I586">
        <f t="shared" si="61"/>
        <v>-3.8574377650631131E-3</v>
      </c>
      <c r="K586">
        <f t="shared" si="62"/>
        <v>1.0452961672473782E-2</v>
      </c>
      <c r="L586">
        <f t="shared" si="63"/>
        <v>6.4814064652018999E-4</v>
      </c>
      <c r="M586">
        <f t="shared" si="64"/>
        <v>1.9261273510084997E-3</v>
      </c>
    </row>
    <row r="587" spans="1:13" x14ac:dyDescent="0.3">
      <c r="A587" s="3">
        <v>42852</v>
      </c>
      <c r="B587" s="8">
        <v>11.342006270000001</v>
      </c>
      <c r="C587" s="8">
        <v>123.74</v>
      </c>
      <c r="D587" s="8">
        <v>87.61</v>
      </c>
      <c r="E587">
        <v>3.0000000000000001E-5</v>
      </c>
      <c r="G587">
        <f t="shared" si="59"/>
        <v>99.630228603617923</v>
      </c>
      <c r="H587">
        <f t="shared" si="60"/>
        <v>-5.8417435587803102E-3</v>
      </c>
      <c r="I587">
        <f t="shared" si="61"/>
        <v>-5.8717435587803098E-3</v>
      </c>
      <c r="K587">
        <f t="shared" si="62"/>
        <v>-1.1206896551724022E-2</v>
      </c>
      <c r="L587">
        <f t="shared" si="63"/>
        <v>1.8621973929235924E-3</v>
      </c>
      <c r="M587">
        <f t="shared" si="64"/>
        <v>-9.2728711975574862E-3</v>
      </c>
    </row>
    <row r="588" spans="1:13" x14ac:dyDescent="0.3">
      <c r="A588" s="3">
        <v>42853</v>
      </c>
      <c r="B588" s="8">
        <v>11.342006270000001</v>
      </c>
      <c r="C588" s="8">
        <v>123.47</v>
      </c>
      <c r="D588" s="8">
        <v>87</v>
      </c>
      <c r="E588">
        <v>3.0000000000000001E-5</v>
      </c>
      <c r="G588">
        <f t="shared" si="59"/>
        <v>99.624766450126458</v>
      </c>
      <c r="H588">
        <f t="shared" si="60"/>
        <v>-5.4824259343999593E-5</v>
      </c>
      <c r="I588">
        <f t="shared" si="61"/>
        <v>-8.482425934399959E-5</v>
      </c>
      <c r="K588">
        <f t="shared" si="62"/>
        <v>0</v>
      </c>
      <c r="L588">
        <f t="shared" si="63"/>
        <v>-2.1819945046064326E-3</v>
      </c>
      <c r="M588">
        <f t="shared" si="64"/>
        <v>-6.962675493665138E-3</v>
      </c>
    </row>
    <row r="589" spans="1:13" x14ac:dyDescent="0.3">
      <c r="A589" s="3">
        <v>42856</v>
      </c>
      <c r="B589" s="8">
        <v>11.292564219999999</v>
      </c>
      <c r="C589" s="8">
        <v>123.34</v>
      </c>
      <c r="D589" s="8">
        <v>87.06</v>
      </c>
      <c r="E589">
        <v>3.0000000000000001E-5</v>
      </c>
      <c r="G589">
        <f t="shared" si="59"/>
        <v>99.925634019057256</v>
      </c>
      <c r="H589">
        <f t="shared" si="60"/>
        <v>3.0200077716759921E-3</v>
      </c>
      <c r="I589">
        <f t="shared" si="61"/>
        <v>2.990007771675992E-3</v>
      </c>
      <c r="K589">
        <f t="shared" si="62"/>
        <v>-4.3591979075850995E-3</v>
      </c>
      <c r="L589">
        <f t="shared" si="63"/>
        <v>-1.0528873410544648E-3</v>
      </c>
      <c r="M589">
        <f t="shared" si="64"/>
        <v>6.8965517241381669E-4</v>
      </c>
    </row>
    <row r="590" spans="1:13" x14ac:dyDescent="0.3">
      <c r="A590" s="3">
        <v>42857</v>
      </c>
      <c r="B590" s="8">
        <v>10.798143719999999</v>
      </c>
      <c r="C590" s="8">
        <v>123.7</v>
      </c>
      <c r="D590" s="8">
        <v>86.5</v>
      </c>
      <c r="E590">
        <v>3.0000000000000001E-5</v>
      </c>
      <c r="G590">
        <f t="shared" si="59"/>
        <v>99.450540847729442</v>
      </c>
      <c r="H590">
        <f t="shared" si="60"/>
        <v>-4.754467419613384E-3</v>
      </c>
      <c r="I590">
        <f t="shared" si="61"/>
        <v>-4.7844674196133837E-3</v>
      </c>
      <c r="K590">
        <f t="shared" si="62"/>
        <v>-4.3782837127845919E-2</v>
      </c>
      <c r="L590">
        <f t="shared" si="63"/>
        <v>2.9187611480461229E-3</v>
      </c>
      <c r="M590">
        <f t="shared" si="64"/>
        <v>-6.432345508844528E-3</v>
      </c>
    </row>
    <row r="591" spans="1:13" x14ac:dyDescent="0.3">
      <c r="A591" s="3">
        <v>42858</v>
      </c>
      <c r="B591" s="8">
        <v>10.94646987</v>
      </c>
      <c r="C591" s="8">
        <v>123.33</v>
      </c>
      <c r="D591" s="8">
        <v>87</v>
      </c>
      <c r="E591">
        <v>3.0000000000000001E-5</v>
      </c>
      <c r="G591">
        <f t="shared" si="59"/>
        <v>100.20627476001236</v>
      </c>
      <c r="H591">
        <f t="shared" si="60"/>
        <v>7.5990930349996155E-3</v>
      </c>
      <c r="I591">
        <f t="shared" si="61"/>
        <v>7.5690930349996159E-3</v>
      </c>
      <c r="K591">
        <f t="shared" si="62"/>
        <v>1.373626373626391E-2</v>
      </c>
      <c r="L591">
        <f t="shared" si="63"/>
        <v>-2.9911075181892066E-3</v>
      </c>
      <c r="M591">
        <f t="shared" si="64"/>
        <v>5.7803468208093012E-3</v>
      </c>
    </row>
    <row r="592" spans="1:13" x14ac:dyDescent="0.3">
      <c r="A592" s="3">
        <v>42859</v>
      </c>
      <c r="B592" s="8">
        <v>10.877250999999999</v>
      </c>
      <c r="C592" s="8">
        <v>123.95</v>
      </c>
      <c r="D592" s="8">
        <v>87.1</v>
      </c>
      <c r="E592">
        <v>3.0000000000000001E-5</v>
      </c>
      <c r="G592">
        <f t="shared" si="59"/>
        <v>100.23783656952661</v>
      </c>
      <c r="H592">
        <f t="shared" si="60"/>
        <v>3.1496839484179695E-4</v>
      </c>
      <c r="I592">
        <f t="shared" si="61"/>
        <v>2.8496839484179693E-4</v>
      </c>
      <c r="K592">
        <f t="shared" si="62"/>
        <v>-6.3233965672990777E-3</v>
      </c>
      <c r="L592">
        <f t="shared" si="63"/>
        <v>5.027162896294568E-3</v>
      </c>
      <c r="M592">
        <f t="shared" si="64"/>
        <v>1.1494252873562871E-3</v>
      </c>
    </row>
    <row r="593" spans="1:13" x14ac:dyDescent="0.3">
      <c r="A593" s="3">
        <v>42860</v>
      </c>
      <c r="B593" s="8">
        <v>11.01568874</v>
      </c>
      <c r="C593" s="8">
        <v>123.51</v>
      </c>
      <c r="D593" s="8">
        <v>87</v>
      </c>
      <c r="E593">
        <v>3.0000000000000001E-5</v>
      </c>
      <c r="G593">
        <f t="shared" si="59"/>
        <v>99.90598474808715</v>
      </c>
      <c r="H593">
        <f t="shared" si="60"/>
        <v>-3.3106442915822321E-3</v>
      </c>
      <c r="I593">
        <f t="shared" si="61"/>
        <v>-3.3406442915822321E-3</v>
      </c>
      <c r="K593">
        <f t="shared" si="62"/>
        <v>1.2727272727272698E-2</v>
      </c>
      <c r="L593">
        <f t="shared" si="63"/>
        <v>-3.5498184751916462E-3</v>
      </c>
      <c r="M593">
        <f t="shared" si="64"/>
        <v>-1.1481056257175437E-3</v>
      </c>
    </row>
    <row r="594" spans="1:13" x14ac:dyDescent="0.3">
      <c r="A594" s="3">
        <v>42863</v>
      </c>
      <c r="B594" s="8">
        <v>11.00580033</v>
      </c>
      <c r="C594" s="8">
        <v>123.25</v>
      </c>
      <c r="D594" s="8">
        <v>87.1</v>
      </c>
      <c r="E594">
        <v>3.0000000000000001E-5</v>
      </c>
      <c r="G594">
        <f t="shared" si="59"/>
        <v>99.924615676014412</v>
      </c>
      <c r="H594">
        <f t="shared" si="60"/>
        <v>1.8648460324222071E-4</v>
      </c>
      <c r="I594">
        <f t="shared" si="61"/>
        <v>1.5648460324222072E-4</v>
      </c>
      <c r="K594">
        <f t="shared" si="62"/>
        <v>-8.9766606822261341E-4</v>
      </c>
      <c r="L594">
        <f t="shared" si="63"/>
        <v>-2.1050927050442203E-3</v>
      </c>
      <c r="M594">
        <f t="shared" si="64"/>
        <v>1.1494252873562871E-3</v>
      </c>
    </row>
    <row r="595" spans="1:13" x14ac:dyDescent="0.3">
      <c r="A595" s="3">
        <v>42864</v>
      </c>
      <c r="B595" s="8">
        <v>11.03546556</v>
      </c>
      <c r="C595" s="8">
        <v>123.21</v>
      </c>
      <c r="D595" s="8">
        <v>86.75</v>
      </c>
      <c r="E595">
        <v>3.0000000000000001E-5</v>
      </c>
      <c r="G595">
        <f t="shared" si="59"/>
        <v>99.860193086947106</v>
      </c>
      <c r="H595">
        <f t="shared" si="60"/>
        <v>-6.4471190238235554E-4</v>
      </c>
      <c r="I595">
        <f t="shared" si="61"/>
        <v>-6.7471190238235551E-4</v>
      </c>
      <c r="K595">
        <f t="shared" si="62"/>
        <v>2.6954177897575704E-3</v>
      </c>
      <c r="L595">
        <f t="shared" si="63"/>
        <v>-3.2454361054767844E-4</v>
      </c>
      <c r="M595">
        <f t="shared" si="64"/>
        <v>-4.0183696900114585E-3</v>
      </c>
    </row>
    <row r="596" spans="1:13" x14ac:dyDescent="0.3">
      <c r="A596" s="3">
        <v>42865</v>
      </c>
      <c r="B596" s="8">
        <v>10.916804639999999</v>
      </c>
      <c r="C596" s="8">
        <v>122.81</v>
      </c>
      <c r="D596" s="8">
        <v>87.43</v>
      </c>
      <c r="E596">
        <v>3.0000000000000001E-5</v>
      </c>
      <c r="G596">
        <f t="shared" si="59"/>
        <v>100.01382820281353</v>
      </c>
      <c r="H596">
        <f t="shared" si="60"/>
        <v>1.5385020909448599E-3</v>
      </c>
      <c r="I596">
        <f t="shared" si="61"/>
        <v>1.5085020909448598E-3</v>
      </c>
      <c r="K596">
        <f t="shared" si="62"/>
        <v>-1.0752688172043112E-2</v>
      </c>
      <c r="L596">
        <f t="shared" si="63"/>
        <v>-3.2464897329761433E-3</v>
      </c>
      <c r="M596">
        <f t="shared" si="64"/>
        <v>7.8386167146975438E-3</v>
      </c>
    </row>
    <row r="597" spans="1:13" x14ac:dyDescent="0.3">
      <c r="A597" s="3">
        <v>42866</v>
      </c>
      <c r="B597" s="8">
        <v>10.88713941</v>
      </c>
      <c r="C597" s="8">
        <v>123.2</v>
      </c>
      <c r="D597" s="8">
        <v>87.16</v>
      </c>
      <c r="E597">
        <v>3.0000000000000001E-5</v>
      </c>
      <c r="G597">
        <f t="shared" si="59"/>
        <v>100.02008939385298</v>
      </c>
      <c r="H597">
        <f t="shared" si="60"/>
        <v>6.2603253489612598E-5</v>
      </c>
      <c r="I597">
        <f t="shared" si="61"/>
        <v>3.2603253489612601E-5</v>
      </c>
      <c r="K597">
        <f t="shared" si="62"/>
        <v>-2.7173913043477826E-3</v>
      </c>
      <c r="L597">
        <f t="shared" si="63"/>
        <v>3.1756371630975444E-3</v>
      </c>
      <c r="M597">
        <f t="shared" si="64"/>
        <v>-3.0881848335813089E-3</v>
      </c>
    </row>
    <row r="598" spans="1:13" x14ac:dyDescent="0.3">
      <c r="A598" s="3">
        <v>42867</v>
      </c>
      <c r="B598" s="8">
        <v>10.798143719999999</v>
      </c>
      <c r="C598" s="8">
        <v>123.64</v>
      </c>
      <c r="D598" s="8">
        <v>86.92</v>
      </c>
      <c r="E598">
        <v>3.0000000000000001E-5</v>
      </c>
      <c r="G598">
        <f t="shared" si="59"/>
        <v>99.996028334473095</v>
      </c>
      <c r="H598">
        <f t="shared" si="60"/>
        <v>-2.4056226629776134E-4</v>
      </c>
      <c r="I598">
        <f t="shared" si="61"/>
        <v>-2.7056226629776136E-4</v>
      </c>
      <c r="K598">
        <f t="shared" si="62"/>
        <v>-8.1743869209810471E-3</v>
      </c>
      <c r="L598">
        <f t="shared" si="63"/>
        <v>3.5714285714285587E-3</v>
      </c>
      <c r="M598">
        <f t="shared" si="64"/>
        <v>-2.7535566773748688E-3</v>
      </c>
    </row>
    <row r="599" spans="1:13" x14ac:dyDescent="0.3">
      <c r="A599" s="3">
        <v>42870</v>
      </c>
      <c r="B599" s="8">
        <v>10.817920539999999</v>
      </c>
      <c r="C599" s="8">
        <v>126.99</v>
      </c>
      <c r="D599" s="8">
        <v>87.34</v>
      </c>
      <c r="E599">
        <v>3.0000000000000001E-5</v>
      </c>
      <c r="G599">
        <f t="shared" si="59"/>
        <v>101.60694353974866</v>
      </c>
      <c r="H599">
        <f t="shared" si="60"/>
        <v>1.6109791879806101E-2</v>
      </c>
      <c r="I599">
        <f t="shared" si="61"/>
        <v>1.6079791879806103E-2</v>
      </c>
      <c r="K599">
        <f t="shared" si="62"/>
        <v>1.831501831501825E-3</v>
      </c>
      <c r="L599">
        <f t="shared" si="63"/>
        <v>2.7094791329666634E-2</v>
      </c>
      <c r="M599">
        <f t="shared" si="64"/>
        <v>4.8320294523700458E-3</v>
      </c>
    </row>
    <row r="600" spans="1:13" x14ac:dyDescent="0.3">
      <c r="A600" s="3">
        <v>42871</v>
      </c>
      <c r="B600" s="8">
        <v>10.817920539999999</v>
      </c>
      <c r="C600" s="8">
        <v>127.77</v>
      </c>
      <c r="D600" s="8">
        <v>87.61</v>
      </c>
      <c r="E600">
        <v>3.0000000000000001E-5</v>
      </c>
      <c r="G600">
        <f t="shared" si="59"/>
        <v>100.43504318799918</v>
      </c>
      <c r="H600">
        <f t="shared" si="60"/>
        <v>-1.153366404817624E-2</v>
      </c>
      <c r="I600">
        <f t="shared" si="61"/>
        <v>-1.156366404817624E-2</v>
      </c>
      <c r="K600">
        <f t="shared" si="62"/>
        <v>0</v>
      </c>
      <c r="L600">
        <f t="shared" si="63"/>
        <v>6.1422159225135164E-3</v>
      </c>
      <c r="M600">
        <f t="shared" si="64"/>
        <v>3.0913670712158225E-3</v>
      </c>
    </row>
    <row r="601" spans="1:13" x14ac:dyDescent="0.3">
      <c r="A601" s="3">
        <v>42872</v>
      </c>
      <c r="B601" s="8">
        <v>10.639929159999999</v>
      </c>
      <c r="C601" s="8">
        <v>126.67</v>
      </c>
      <c r="D601" s="8">
        <v>84.27</v>
      </c>
      <c r="E601">
        <v>3.0000000000000001E-5</v>
      </c>
      <c r="G601">
        <f t="shared" si="59"/>
        <v>97.946216812528576</v>
      </c>
      <c r="H601">
        <f t="shared" si="60"/>
        <v>-2.4780458059961208E-2</v>
      </c>
      <c r="I601">
        <f t="shared" si="61"/>
        <v>-2.4810458059961207E-2</v>
      </c>
      <c r="K601">
        <f t="shared" si="62"/>
        <v>-1.6453382084095081E-2</v>
      </c>
      <c r="L601">
        <f t="shared" si="63"/>
        <v>-8.6092196916333075E-3</v>
      </c>
      <c r="M601">
        <f t="shared" si="64"/>
        <v>-3.8123501883346678E-2</v>
      </c>
    </row>
    <row r="602" spans="1:13" x14ac:dyDescent="0.3">
      <c r="A602" s="3">
        <v>42873</v>
      </c>
      <c r="B602" s="8">
        <v>10.669594389999999</v>
      </c>
      <c r="C602" s="8">
        <v>126.97</v>
      </c>
      <c r="D602" s="8">
        <v>83.96</v>
      </c>
      <c r="E602">
        <v>3.0000000000000001E-5</v>
      </c>
      <c r="G602">
        <f t="shared" si="59"/>
        <v>100.01367971445532</v>
      </c>
      <c r="H602">
        <f t="shared" si="60"/>
        <v>2.1108144543080298E-2</v>
      </c>
      <c r="I602">
        <f t="shared" si="61"/>
        <v>2.10781445430803E-2</v>
      </c>
      <c r="K602">
        <f t="shared" si="62"/>
        <v>2.7881040892192566E-3</v>
      </c>
      <c r="L602">
        <f t="shared" si="63"/>
        <v>2.3683587274019313E-3</v>
      </c>
      <c r="M602">
        <f t="shared" si="64"/>
        <v>-3.6786519520588534E-3</v>
      </c>
    </row>
    <row r="603" spans="1:13" x14ac:dyDescent="0.3">
      <c r="A603" s="3">
        <v>42874</v>
      </c>
      <c r="B603" s="8">
        <v>10.748701669999999</v>
      </c>
      <c r="C603" s="8">
        <v>127</v>
      </c>
      <c r="D603" s="8">
        <v>84.78</v>
      </c>
      <c r="E603">
        <v>3.0000000000000001E-5</v>
      </c>
      <c r="G603">
        <f t="shared" si="59"/>
        <v>100.45748883142176</v>
      </c>
      <c r="H603">
        <f t="shared" si="60"/>
        <v>4.4374841345058424E-3</v>
      </c>
      <c r="I603">
        <f t="shared" si="61"/>
        <v>4.4074841345058428E-3</v>
      </c>
      <c r="K603">
        <f t="shared" si="62"/>
        <v>7.4142724745134281E-3</v>
      </c>
      <c r="L603">
        <f t="shared" si="63"/>
        <v>2.3627628573685833E-4</v>
      </c>
      <c r="M603">
        <f t="shared" si="64"/>
        <v>9.7665555026202888E-3</v>
      </c>
    </row>
    <row r="604" spans="1:13" x14ac:dyDescent="0.3">
      <c r="A604" s="3">
        <v>42877</v>
      </c>
      <c r="B604" s="8">
        <v>10.976135099999999</v>
      </c>
      <c r="C604" s="8">
        <v>127.26</v>
      </c>
      <c r="D604" s="8">
        <v>84.7</v>
      </c>
      <c r="E604">
        <v>3.0000000000000001E-5</v>
      </c>
      <c r="G604">
        <f t="shared" si="59"/>
        <v>100.29247242706035</v>
      </c>
      <c r="H604">
        <f t="shared" si="60"/>
        <v>-1.6426491074083005E-3</v>
      </c>
      <c r="I604">
        <f t="shared" si="61"/>
        <v>-1.6726491074083006E-3</v>
      </c>
      <c r="K604">
        <f t="shared" si="62"/>
        <v>2.1159153633854677E-2</v>
      </c>
      <c r="L604">
        <f t="shared" si="63"/>
        <v>2.0472440944883097E-3</v>
      </c>
      <c r="M604">
        <f t="shared" si="64"/>
        <v>-9.4361877801363292E-4</v>
      </c>
    </row>
    <row r="605" spans="1:13" x14ac:dyDescent="0.3">
      <c r="A605" s="3">
        <v>42878</v>
      </c>
      <c r="B605" s="8">
        <v>10.926693050000001</v>
      </c>
      <c r="C605" s="8">
        <v>127.52</v>
      </c>
      <c r="D605" s="8">
        <v>85.76</v>
      </c>
      <c r="E605">
        <v>3.0000000000000001E-5</v>
      </c>
      <c r="G605">
        <f t="shared" si="59"/>
        <v>100.52974676968121</v>
      </c>
      <c r="H605">
        <f t="shared" si="60"/>
        <v>2.3658240432093969E-3</v>
      </c>
      <c r="I605">
        <f t="shared" si="61"/>
        <v>2.3358240432093968E-3</v>
      </c>
      <c r="K605">
        <f t="shared" si="62"/>
        <v>-4.5045045045043475E-3</v>
      </c>
      <c r="L605">
        <f t="shared" si="63"/>
        <v>2.0430614490019039E-3</v>
      </c>
      <c r="M605">
        <f t="shared" si="64"/>
        <v>1.2514757969303458E-2</v>
      </c>
    </row>
    <row r="606" spans="1:13" x14ac:dyDescent="0.3">
      <c r="A606" s="3">
        <v>42879</v>
      </c>
      <c r="B606" s="8">
        <v>10.83769736</v>
      </c>
      <c r="C606" s="8">
        <v>127.51</v>
      </c>
      <c r="D606" s="8">
        <v>85.71</v>
      </c>
      <c r="E606">
        <v>3.0000000000000001E-5</v>
      </c>
      <c r="G606">
        <f t="shared" si="59"/>
        <v>99.888631850941579</v>
      </c>
      <c r="H606">
        <f t="shared" si="60"/>
        <v>-6.3773653007249687E-3</v>
      </c>
      <c r="I606">
        <f t="shared" si="61"/>
        <v>-6.4073653007249683E-3</v>
      </c>
      <c r="K606">
        <f t="shared" si="62"/>
        <v>-8.1447963800905798E-3</v>
      </c>
      <c r="L606">
        <f t="shared" si="63"/>
        <v>-7.8419071518176509E-5</v>
      </c>
      <c r="M606">
        <f t="shared" si="64"/>
        <v>-5.8302238805985063E-4</v>
      </c>
    </row>
    <row r="607" spans="1:13" x14ac:dyDescent="0.3">
      <c r="A607" s="3">
        <v>42880</v>
      </c>
      <c r="B607" s="8">
        <v>10.738813259999999</v>
      </c>
      <c r="C607" s="8">
        <v>127.53</v>
      </c>
      <c r="D607" s="8">
        <v>85.35</v>
      </c>
      <c r="E607">
        <v>3.0000000000000001E-5</v>
      </c>
      <c r="G607">
        <f t="shared" si="59"/>
        <v>99.754458028360972</v>
      </c>
      <c r="H607">
        <f t="shared" si="60"/>
        <v>-1.3432341608284881E-3</v>
      </c>
      <c r="I607">
        <f t="shared" si="61"/>
        <v>-1.3732341608284882E-3</v>
      </c>
      <c r="K607">
        <f t="shared" si="62"/>
        <v>-9.124087591240948E-3</v>
      </c>
      <c r="L607">
        <f t="shared" si="63"/>
        <v>1.5685044310242979E-4</v>
      </c>
      <c r="M607">
        <f t="shared" si="64"/>
        <v>-4.2002100105005269E-3</v>
      </c>
    </row>
    <row r="608" spans="1:13" x14ac:dyDescent="0.3">
      <c r="A608" s="3">
        <v>42881</v>
      </c>
      <c r="B608" s="8">
        <v>10.808032129999999</v>
      </c>
      <c r="C608" s="8">
        <v>126.92</v>
      </c>
      <c r="D608" s="8">
        <v>85.36</v>
      </c>
      <c r="E608">
        <v>3.0000000000000001E-5</v>
      </c>
      <c r="G608">
        <f t="shared" si="59"/>
        <v>99.823767516546269</v>
      </c>
      <c r="H608">
        <f t="shared" si="60"/>
        <v>6.9480090970563957E-4</v>
      </c>
      <c r="I608">
        <f t="shared" si="61"/>
        <v>6.648009097056396E-4</v>
      </c>
      <c r="K608">
        <f t="shared" si="62"/>
        <v>6.4456721915284731E-3</v>
      </c>
      <c r="L608">
        <f t="shared" si="63"/>
        <v>-4.783188269426808E-3</v>
      </c>
      <c r="M608">
        <f t="shared" si="64"/>
        <v>1.1716461628585861E-4</v>
      </c>
    </row>
    <row r="609" spans="1:13" x14ac:dyDescent="0.3">
      <c r="A609" s="3">
        <v>42885</v>
      </c>
      <c r="B609" s="8">
        <v>10.95635828</v>
      </c>
      <c r="C609" s="8">
        <v>127.11</v>
      </c>
      <c r="D609" s="8">
        <v>83.9</v>
      </c>
      <c r="E609">
        <v>3.0000000000000001E-5</v>
      </c>
      <c r="G609">
        <f t="shared" si="59"/>
        <v>99.577863167715094</v>
      </c>
      <c r="H609">
        <f t="shared" si="60"/>
        <v>-2.4633847724733204E-3</v>
      </c>
      <c r="I609">
        <f t="shared" si="61"/>
        <v>-2.4933847724733205E-3</v>
      </c>
      <c r="K609">
        <f t="shared" si="62"/>
        <v>1.3723696248856498E-2</v>
      </c>
      <c r="L609">
        <f t="shared" si="63"/>
        <v>1.4970059880239361E-3</v>
      </c>
      <c r="M609">
        <f t="shared" si="64"/>
        <v>-1.7104029990627878E-2</v>
      </c>
    </row>
    <row r="610" spans="1:13" x14ac:dyDescent="0.3">
      <c r="A610" s="3">
        <v>42886</v>
      </c>
      <c r="B610" s="8">
        <v>10.995911919999999</v>
      </c>
      <c r="C610" s="8">
        <v>128.25</v>
      </c>
      <c r="D610" s="8">
        <v>82.15</v>
      </c>
      <c r="E610">
        <v>3.0000000000000001E-5</v>
      </c>
      <c r="G610">
        <f t="shared" si="59"/>
        <v>99.718290670950154</v>
      </c>
      <c r="H610">
        <f t="shared" si="60"/>
        <v>1.4102281246841653E-3</v>
      </c>
      <c r="I610">
        <f t="shared" si="61"/>
        <v>1.3802281246841652E-3</v>
      </c>
      <c r="K610">
        <f t="shared" si="62"/>
        <v>3.6101083032491488E-3</v>
      </c>
      <c r="L610">
        <f t="shared" si="63"/>
        <v>8.9686098654708779E-3</v>
      </c>
      <c r="M610">
        <f t="shared" si="64"/>
        <v>-2.0858164481525665E-2</v>
      </c>
    </row>
    <row r="611" spans="1:13" x14ac:dyDescent="0.3">
      <c r="A611" s="3">
        <v>42887</v>
      </c>
      <c r="B611" s="8">
        <v>11.282675810000001</v>
      </c>
      <c r="C611" s="8">
        <v>128.78</v>
      </c>
      <c r="D611" s="8">
        <v>83.06</v>
      </c>
      <c r="E611">
        <v>3.0000000000000001E-5</v>
      </c>
      <c r="G611">
        <f t="shared" si="59"/>
        <v>100.90459844743343</v>
      </c>
      <c r="H611">
        <f t="shared" si="60"/>
        <v>1.1896591573133275E-2</v>
      </c>
      <c r="I611">
        <f t="shared" si="61"/>
        <v>1.1866591573133274E-2</v>
      </c>
      <c r="K611">
        <f t="shared" si="62"/>
        <v>2.6079136690647653E-2</v>
      </c>
      <c r="L611">
        <f t="shared" si="63"/>
        <v>4.1325536062377655E-3</v>
      </c>
      <c r="M611">
        <f t="shared" si="64"/>
        <v>1.1077297626293392E-2</v>
      </c>
    </row>
    <row r="612" spans="1:13" x14ac:dyDescent="0.3">
      <c r="A612" s="3">
        <v>42888</v>
      </c>
      <c r="B612" s="8">
        <v>11.223345349999999</v>
      </c>
      <c r="C612" s="8">
        <v>130.08000000000001</v>
      </c>
      <c r="D612" s="8">
        <v>82.64</v>
      </c>
      <c r="E612">
        <v>3.0000000000000001E-5</v>
      </c>
      <c r="G612">
        <f t="shared" si="59"/>
        <v>100.27840790990234</v>
      </c>
      <c r="H612">
        <f t="shared" si="60"/>
        <v>-6.2057680934858306E-3</v>
      </c>
      <c r="I612">
        <f t="shared" si="61"/>
        <v>-6.2357680934858302E-3</v>
      </c>
      <c r="K612">
        <f t="shared" si="62"/>
        <v>-5.2585451358458934E-3</v>
      </c>
      <c r="L612">
        <f t="shared" si="63"/>
        <v>1.0094735207330396E-2</v>
      </c>
      <c r="M612">
        <f t="shared" si="64"/>
        <v>-5.0565856007706023E-3</v>
      </c>
    </row>
    <row r="613" spans="1:13" x14ac:dyDescent="0.3">
      <c r="A613" s="3">
        <v>42891</v>
      </c>
      <c r="B613" s="8">
        <v>11.12446125</v>
      </c>
      <c r="C613" s="8">
        <v>130.36000000000001</v>
      </c>
      <c r="D613" s="8">
        <v>82.79</v>
      </c>
      <c r="E613">
        <v>3.0000000000000001E-5</v>
      </c>
      <c r="G613">
        <f t="shared" si="59"/>
        <v>100.08765892952295</v>
      </c>
      <c r="H613">
        <f t="shared" si="60"/>
        <v>-1.9021939453883752E-3</v>
      </c>
      <c r="I613">
        <f t="shared" si="61"/>
        <v>-1.9321939453883752E-3</v>
      </c>
      <c r="K613">
        <f t="shared" si="62"/>
        <v>-8.8105726872246271E-3</v>
      </c>
      <c r="L613">
        <f t="shared" si="63"/>
        <v>2.1525215252151675E-3</v>
      </c>
      <c r="M613">
        <f t="shared" si="64"/>
        <v>1.8151016456922076E-3</v>
      </c>
    </row>
    <row r="614" spans="1:13" x14ac:dyDescent="0.3">
      <c r="A614" s="3">
        <v>42892</v>
      </c>
      <c r="B614" s="8">
        <v>10.995911919999999</v>
      </c>
      <c r="C614" s="8">
        <v>130.83000000000001</v>
      </c>
      <c r="D614" s="8">
        <v>82.96</v>
      </c>
      <c r="E614">
        <v>3.0000000000000001E-5</v>
      </c>
      <c r="G614">
        <f t="shared" si="59"/>
        <v>100.14324590102545</v>
      </c>
      <c r="H614">
        <f t="shared" si="60"/>
        <v>5.5538287234435657E-4</v>
      </c>
      <c r="I614">
        <f t="shared" si="61"/>
        <v>5.253828723443566E-4</v>
      </c>
      <c r="K614">
        <f t="shared" si="62"/>
        <v>-1.1555555555555541E-2</v>
      </c>
      <c r="L614">
        <f t="shared" si="63"/>
        <v>3.605400429579575E-3</v>
      </c>
      <c r="M614">
        <f t="shared" si="64"/>
        <v>2.0533880903488289E-3</v>
      </c>
    </row>
    <row r="615" spans="1:13" x14ac:dyDescent="0.3">
      <c r="A615" s="3">
        <v>42893</v>
      </c>
      <c r="B615" s="8">
        <v>10.94646987</v>
      </c>
      <c r="C615" s="8">
        <v>130.75</v>
      </c>
      <c r="D615" s="8">
        <v>83.91</v>
      </c>
      <c r="E615">
        <v>3.0000000000000001E-5</v>
      </c>
      <c r="G615">
        <f t="shared" si="59"/>
        <v>100.352071878038</v>
      </c>
      <c r="H615">
        <f t="shared" si="60"/>
        <v>2.0852727024540663E-3</v>
      </c>
      <c r="I615">
        <f t="shared" si="61"/>
        <v>2.0552727024540662E-3</v>
      </c>
      <c r="K615">
        <f t="shared" si="62"/>
        <v>-4.4964028776978138E-3</v>
      </c>
      <c r="L615">
        <f t="shared" si="63"/>
        <v>-6.1148054727522272E-4</v>
      </c>
      <c r="M615">
        <f t="shared" si="64"/>
        <v>1.1451301832208438E-2</v>
      </c>
    </row>
    <row r="616" spans="1:13" x14ac:dyDescent="0.3">
      <c r="A616" s="3">
        <v>42894</v>
      </c>
      <c r="B616" s="8">
        <v>10.976135099999999</v>
      </c>
      <c r="C616" s="8">
        <v>130.55000000000001</v>
      </c>
      <c r="D616" s="8">
        <v>84.95</v>
      </c>
      <c r="E616">
        <v>3.0000000000000001E-5</v>
      </c>
      <c r="G616">
        <f t="shared" si="59"/>
        <v>100.41543838349638</v>
      </c>
      <c r="H616">
        <f t="shared" si="60"/>
        <v>6.3144192513919783E-4</v>
      </c>
      <c r="I616">
        <f t="shared" si="61"/>
        <v>6.0144192513919786E-4</v>
      </c>
      <c r="K616">
        <f t="shared" si="62"/>
        <v>2.7100271002709064E-3</v>
      </c>
      <c r="L616">
        <f t="shared" si="63"/>
        <v>-1.529636711281035E-3</v>
      </c>
      <c r="M616">
        <f t="shared" si="64"/>
        <v>1.2394231915147325E-2</v>
      </c>
    </row>
    <row r="617" spans="1:13" x14ac:dyDescent="0.3">
      <c r="A617" s="3">
        <v>42895</v>
      </c>
      <c r="B617" s="8">
        <v>11.00580033</v>
      </c>
      <c r="C617" s="8">
        <v>131.53</v>
      </c>
      <c r="D617" s="8">
        <v>86.96</v>
      </c>
      <c r="E617">
        <v>3.0000000000000001E-5</v>
      </c>
      <c r="G617">
        <f t="shared" si="59"/>
        <v>101.30822506172595</v>
      </c>
      <c r="H617">
        <f t="shared" si="60"/>
        <v>8.8909304445790038E-3</v>
      </c>
      <c r="I617">
        <f t="shared" si="61"/>
        <v>8.8609304445790033E-3</v>
      </c>
      <c r="K617">
        <f t="shared" si="62"/>
        <v>2.7027027027026751E-3</v>
      </c>
      <c r="L617">
        <f t="shared" si="63"/>
        <v>7.5067024128685489E-3</v>
      </c>
      <c r="M617">
        <f t="shared" si="64"/>
        <v>2.3660977045320664E-2</v>
      </c>
    </row>
    <row r="618" spans="1:13" x14ac:dyDescent="0.3">
      <c r="A618" s="3">
        <v>42898</v>
      </c>
      <c r="B618" s="8">
        <v>11.154126479999999</v>
      </c>
      <c r="C618" s="8">
        <v>131.82</v>
      </c>
      <c r="D618" s="8">
        <v>86.98</v>
      </c>
      <c r="E618">
        <v>3.0000000000000001E-5</v>
      </c>
      <c r="G618">
        <f t="shared" si="59"/>
        <v>100.26430316184101</v>
      </c>
      <c r="H618">
        <f t="shared" si="60"/>
        <v>-1.0304414071501955E-2</v>
      </c>
      <c r="I618">
        <f t="shared" si="61"/>
        <v>-1.0334414071501955E-2</v>
      </c>
      <c r="K618">
        <f t="shared" si="62"/>
        <v>1.3477088948786964E-2</v>
      </c>
      <c r="L618">
        <f t="shared" si="63"/>
        <v>2.204820193111745E-3</v>
      </c>
      <c r="M618">
        <f t="shared" si="64"/>
        <v>2.2999080036800734E-4</v>
      </c>
    </row>
    <row r="619" spans="1:13" x14ac:dyDescent="0.3">
      <c r="A619" s="3">
        <v>42899</v>
      </c>
      <c r="B619" s="8">
        <v>11.14423807</v>
      </c>
      <c r="C619" s="8">
        <v>132.02000000000001</v>
      </c>
      <c r="D619" s="8">
        <v>87.27</v>
      </c>
      <c r="E619">
        <v>3.0000000000000001E-5</v>
      </c>
      <c r="G619">
        <f t="shared" si="59"/>
        <v>100.19490126255748</v>
      </c>
      <c r="H619">
        <f t="shared" si="60"/>
        <v>-6.9218951406369023E-4</v>
      </c>
      <c r="I619">
        <f t="shared" si="61"/>
        <v>-7.221895140636902E-4</v>
      </c>
      <c r="K619">
        <f t="shared" si="62"/>
        <v>-8.8652482269491184E-4</v>
      </c>
      <c r="L619">
        <f t="shared" si="63"/>
        <v>1.5172204521318733E-3</v>
      </c>
      <c r="M619">
        <f t="shared" si="64"/>
        <v>3.334099793055767E-3</v>
      </c>
    </row>
    <row r="620" spans="1:13" x14ac:dyDescent="0.3">
      <c r="A620" s="3">
        <v>42900</v>
      </c>
      <c r="B620" s="8">
        <v>11.09479602</v>
      </c>
      <c r="C620" s="8">
        <v>132.77000000000001</v>
      </c>
      <c r="D620" s="8">
        <v>87.09</v>
      </c>
      <c r="E620">
        <v>3.0000000000000001E-5</v>
      </c>
      <c r="G620">
        <f t="shared" si="59"/>
        <v>100.17066520827065</v>
      </c>
      <c r="H620">
        <f t="shared" si="60"/>
        <v>-2.4188909796241109E-4</v>
      </c>
      <c r="I620">
        <f t="shared" si="61"/>
        <v>-2.7188909796241112E-4</v>
      </c>
      <c r="K620">
        <f t="shared" si="62"/>
        <v>-4.4365572315883117E-3</v>
      </c>
      <c r="L620">
        <f t="shared" si="63"/>
        <v>5.6809574306924127E-3</v>
      </c>
      <c r="M620">
        <f t="shared" si="64"/>
        <v>-2.0625644551391931E-3</v>
      </c>
    </row>
    <row r="621" spans="1:13" x14ac:dyDescent="0.3">
      <c r="A621" s="3">
        <v>42901</v>
      </c>
      <c r="B621" s="8">
        <v>11.114572839999999</v>
      </c>
      <c r="C621" s="8">
        <v>133.04</v>
      </c>
      <c r="D621" s="8">
        <v>86.57</v>
      </c>
      <c r="E621">
        <v>3.0000000000000001E-5</v>
      </c>
      <c r="G621">
        <f t="shared" si="59"/>
        <v>99.899513267441819</v>
      </c>
      <c r="H621">
        <f t="shared" si="60"/>
        <v>-2.7068996723248473E-3</v>
      </c>
      <c r="I621">
        <f t="shared" si="61"/>
        <v>-2.7368996723248474E-3</v>
      </c>
      <c r="K621">
        <f t="shared" si="62"/>
        <v>1.7825311942958333E-3</v>
      </c>
      <c r="L621">
        <f t="shared" si="63"/>
        <v>2.0335919258867019E-3</v>
      </c>
      <c r="M621">
        <f t="shared" si="64"/>
        <v>-5.970834768630251E-3</v>
      </c>
    </row>
    <row r="622" spans="1:13" x14ac:dyDescent="0.3">
      <c r="A622" s="3">
        <v>42902</v>
      </c>
      <c r="B622" s="8">
        <v>11.09479602</v>
      </c>
      <c r="C622" s="8">
        <v>134.35</v>
      </c>
      <c r="D622" s="8">
        <v>86.18</v>
      </c>
      <c r="E622">
        <v>3.0000000000000001E-5</v>
      </c>
      <c r="G622">
        <f t="shared" si="59"/>
        <v>100.32275420357412</v>
      </c>
      <c r="H622">
        <f t="shared" si="60"/>
        <v>4.2366666492081873E-3</v>
      </c>
      <c r="I622">
        <f t="shared" si="61"/>
        <v>4.2066666492081876E-3</v>
      </c>
      <c r="K622">
        <f t="shared" si="62"/>
        <v>-1.779359430604921E-3</v>
      </c>
      <c r="L622">
        <f t="shared" si="63"/>
        <v>9.8466626578472827E-3</v>
      </c>
      <c r="M622">
        <f t="shared" si="64"/>
        <v>-4.5050248353931677E-3</v>
      </c>
    </row>
    <row r="623" spans="1:13" x14ac:dyDescent="0.3">
      <c r="A623" s="3">
        <v>42905</v>
      </c>
      <c r="B623" s="8">
        <v>11.114572839999999</v>
      </c>
      <c r="C623" s="8">
        <v>134.07</v>
      </c>
      <c r="D623" s="8">
        <v>88.07</v>
      </c>
      <c r="E623">
        <v>3.0000000000000001E-5</v>
      </c>
      <c r="G623">
        <f t="shared" si="59"/>
        <v>100.73581954816643</v>
      </c>
      <c r="H623">
        <f t="shared" si="60"/>
        <v>4.1173644789906927E-3</v>
      </c>
      <c r="I623">
        <f t="shared" si="61"/>
        <v>4.087364478990693E-3</v>
      </c>
      <c r="K623">
        <f t="shared" si="62"/>
        <v>1.7825311942958333E-3</v>
      </c>
      <c r="L623">
        <f t="shared" si="63"/>
        <v>-2.0841086713807577E-3</v>
      </c>
      <c r="M623">
        <f t="shared" si="64"/>
        <v>2.1930842422835717E-2</v>
      </c>
    </row>
    <row r="624" spans="1:13" x14ac:dyDescent="0.3">
      <c r="A624" s="3">
        <v>42906</v>
      </c>
      <c r="B624" s="8">
        <v>10.995911919999999</v>
      </c>
      <c r="C624" s="8">
        <v>134.22</v>
      </c>
      <c r="D624" s="8">
        <v>87.52</v>
      </c>
      <c r="E624">
        <v>3.0000000000000001E-5</v>
      </c>
      <c r="G624">
        <f t="shared" si="59"/>
        <v>99.711158551010683</v>
      </c>
      <c r="H624">
        <f t="shared" si="60"/>
        <v>-1.017176414260279E-2</v>
      </c>
      <c r="I624">
        <f t="shared" si="61"/>
        <v>-1.0201764142602791E-2</v>
      </c>
      <c r="K624">
        <f t="shared" si="62"/>
        <v>-1.0676156583629859E-2</v>
      </c>
      <c r="L624">
        <f t="shared" si="63"/>
        <v>1.1188185276349571E-3</v>
      </c>
      <c r="M624">
        <f t="shared" si="64"/>
        <v>-6.245032360622238E-3</v>
      </c>
    </row>
    <row r="625" spans="1:13" x14ac:dyDescent="0.3">
      <c r="A625" s="3">
        <v>42907</v>
      </c>
      <c r="B625" s="8">
        <v>10.916804639999999</v>
      </c>
      <c r="C625" s="8">
        <v>134.91</v>
      </c>
      <c r="D625" s="8">
        <v>87.12</v>
      </c>
      <c r="E625">
        <v>3.0000000000000001E-5</v>
      </c>
      <c r="G625">
        <f t="shared" si="59"/>
        <v>100.01936481118545</v>
      </c>
      <c r="H625">
        <f t="shared" si="60"/>
        <v>3.0909906639695617E-3</v>
      </c>
      <c r="I625">
        <f t="shared" si="61"/>
        <v>3.0609906639695616E-3</v>
      </c>
      <c r="K625">
        <f t="shared" si="62"/>
        <v>-7.1942446043166131E-3</v>
      </c>
      <c r="L625">
        <f t="shared" si="63"/>
        <v>5.1408135896289231E-3</v>
      </c>
      <c r="M625">
        <f t="shared" si="64"/>
        <v>-4.5703839122485101E-3</v>
      </c>
    </row>
    <row r="626" spans="1:13" x14ac:dyDescent="0.3">
      <c r="A626" s="3">
        <v>42908</v>
      </c>
      <c r="B626" s="8">
        <v>11.00580033</v>
      </c>
      <c r="C626" s="8">
        <v>136.05000000000001</v>
      </c>
      <c r="D626" s="8">
        <v>87.02</v>
      </c>
      <c r="E626">
        <v>3.0000000000000001E-5</v>
      </c>
      <c r="G626">
        <f t="shared" si="59"/>
        <v>100.48070615431905</v>
      </c>
      <c r="H626">
        <f t="shared" si="60"/>
        <v>4.6125202255034026E-3</v>
      </c>
      <c r="I626">
        <f t="shared" si="61"/>
        <v>4.5825202255034029E-3</v>
      </c>
      <c r="K626">
        <f t="shared" si="62"/>
        <v>8.152173913043459E-3</v>
      </c>
      <c r="L626">
        <f t="shared" si="63"/>
        <v>8.4500778296643375E-3</v>
      </c>
      <c r="M626">
        <f t="shared" si="64"/>
        <v>-1.1478420569330794E-3</v>
      </c>
    </row>
    <row r="627" spans="1:13" x14ac:dyDescent="0.3">
      <c r="A627" s="3">
        <v>42909</v>
      </c>
      <c r="B627" s="8">
        <v>10.916804639999999</v>
      </c>
      <c r="C627" s="8">
        <v>136.43</v>
      </c>
      <c r="D627" s="8">
        <v>86.86</v>
      </c>
      <c r="E627">
        <v>3.0000000000000001E-5</v>
      </c>
      <c r="G627">
        <f t="shared" si="59"/>
        <v>99.990993601309199</v>
      </c>
      <c r="H627">
        <f t="shared" si="60"/>
        <v>-4.8736973669128991E-3</v>
      </c>
      <c r="I627">
        <f t="shared" si="61"/>
        <v>-4.9036973669128988E-3</v>
      </c>
      <c r="K627">
        <f t="shared" si="62"/>
        <v>-8.0862533692722671E-3</v>
      </c>
      <c r="L627">
        <f t="shared" si="63"/>
        <v>2.7930907754500911E-3</v>
      </c>
      <c r="M627">
        <f t="shared" si="64"/>
        <v>-1.8386577798207293E-3</v>
      </c>
    </row>
    <row r="628" spans="1:13" x14ac:dyDescent="0.3">
      <c r="A628" s="3">
        <v>42912</v>
      </c>
      <c r="B628" s="8">
        <v>11.055242379999999</v>
      </c>
      <c r="C628" s="8">
        <v>136.34</v>
      </c>
      <c r="D628" s="8">
        <v>87.24</v>
      </c>
      <c r="E628">
        <v>3.0000000000000001E-5</v>
      </c>
      <c r="G628">
        <f t="shared" si="59"/>
        <v>100.26330187766774</v>
      </c>
      <c r="H628">
        <f t="shared" si="60"/>
        <v>2.7233280373661906E-3</v>
      </c>
      <c r="I628">
        <f t="shared" si="61"/>
        <v>2.6933280373661905E-3</v>
      </c>
      <c r="K628">
        <f t="shared" si="62"/>
        <v>1.26811594202898E-2</v>
      </c>
      <c r="L628">
        <f t="shared" si="63"/>
        <v>-6.5967895624130524E-4</v>
      </c>
      <c r="M628">
        <f t="shared" si="64"/>
        <v>4.3748560902601152E-3</v>
      </c>
    </row>
    <row r="629" spans="1:13" x14ac:dyDescent="0.3">
      <c r="A629" s="3">
        <v>42913</v>
      </c>
      <c r="B629" s="8">
        <v>10.95635828</v>
      </c>
      <c r="C629" s="8">
        <v>135.01</v>
      </c>
      <c r="D629" s="8">
        <v>88.05</v>
      </c>
      <c r="E629">
        <v>3.0000000000000001E-5</v>
      </c>
      <c r="G629">
        <f t="shared" si="59"/>
        <v>99.74947706229915</v>
      </c>
      <c r="H629">
        <f t="shared" si="60"/>
        <v>-5.1247545786544668E-3</v>
      </c>
      <c r="I629">
        <f t="shared" si="61"/>
        <v>-5.1547545786544665E-3</v>
      </c>
      <c r="K629">
        <f t="shared" si="62"/>
        <v>-8.9445438282647061E-3</v>
      </c>
      <c r="L629">
        <f t="shared" si="63"/>
        <v>-9.7550242041954949E-3</v>
      </c>
      <c r="M629">
        <f t="shared" si="64"/>
        <v>9.2847317744153557E-3</v>
      </c>
    </row>
    <row r="630" spans="1:13" x14ac:dyDescent="0.3">
      <c r="A630" s="3">
        <v>42914</v>
      </c>
      <c r="B630" s="8">
        <v>10.96624669</v>
      </c>
      <c r="C630" s="8">
        <v>133.82</v>
      </c>
      <c r="D630" s="8">
        <v>89.82</v>
      </c>
      <c r="E630">
        <v>3.0000000000000001E-5</v>
      </c>
      <c r="G630">
        <f t="shared" si="59"/>
        <v>100.30856974035251</v>
      </c>
      <c r="H630">
        <f t="shared" si="60"/>
        <v>5.6049685123078508E-3</v>
      </c>
      <c r="I630">
        <f t="shared" si="61"/>
        <v>5.5749685123078511E-3</v>
      </c>
      <c r="K630">
        <f t="shared" si="62"/>
        <v>9.0252707581228719E-4</v>
      </c>
      <c r="L630">
        <f t="shared" si="63"/>
        <v>-8.8141619139322502E-3</v>
      </c>
      <c r="M630">
        <f t="shared" si="64"/>
        <v>2.0102214650766559E-2</v>
      </c>
    </row>
    <row r="631" spans="1:13" x14ac:dyDescent="0.3">
      <c r="A631" s="3">
        <v>42915</v>
      </c>
      <c r="B631" s="8">
        <v>11.045353969999999</v>
      </c>
      <c r="C631" s="8">
        <v>132.63999999999999</v>
      </c>
      <c r="D631" s="8">
        <v>91.15</v>
      </c>
      <c r="E631">
        <v>3.0000000000000001E-5</v>
      </c>
      <c r="G631">
        <f t="shared" si="59"/>
        <v>100.17527324379233</v>
      </c>
      <c r="H631">
        <f t="shared" si="60"/>
        <v>-1.3288644918895143E-3</v>
      </c>
      <c r="I631">
        <f t="shared" si="61"/>
        <v>-1.3588644918895144E-3</v>
      </c>
      <c r="K631">
        <f t="shared" si="62"/>
        <v>7.2137060414787513E-3</v>
      </c>
      <c r="L631">
        <f t="shared" si="63"/>
        <v>-8.8178149753400659E-3</v>
      </c>
      <c r="M631">
        <f t="shared" si="64"/>
        <v>1.4807392562903754E-2</v>
      </c>
    </row>
    <row r="632" spans="1:13" x14ac:dyDescent="0.3">
      <c r="A632" s="3">
        <v>42916</v>
      </c>
      <c r="B632" s="8">
        <v>11.06513079</v>
      </c>
      <c r="C632" s="8">
        <v>132.29</v>
      </c>
      <c r="D632" s="8">
        <v>91.4</v>
      </c>
      <c r="E632">
        <v>3.0000000000000001E-5</v>
      </c>
      <c r="G632">
        <f t="shared" si="59"/>
        <v>99.98505681519768</v>
      </c>
      <c r="H632">
        <f t="shared" si="60"/>
        <v>-1.8988361342596738E-3</v>
      </c>
      <c r="I632">
        <f t="shared" si="61"/>
        <v>-1.9288361342596739E-3</v>
      </c>
      <c r="K632">
        <f t="shared" si="62"/>
        <v>1.7905102954343111E-3</v>
      </c>
      <c r="L632">
        <f t="shared" si="63"/>
        <v>-2.6387213510252749E-3</v>
      </c>
      <c r="M632">
        <f t="shared" si="64"/>
        <v>2.7427317608337276E-3</v>
      </c>
    </row>
    <row r="633" spans="1:13" x14ac:dyDescent="0.3">
      <c r="A633" s="3">
        <v>42919</v>
      </c>
      <c r="B633" s="8">
        <v>11.43100196</v>
      </c>
      <c r="C633" s="8">
        <v>132.9</v>
      </c>
      <c r="D633" s="8">
        <v>92.75</v>
      </c>
      <c r="E633">
        <v>4.0000000000000003E-5</v>
      </c>
      <c r="G633">
        <f t="shared" si="59"/>
        <v>101.14161383900202</v>
      </c>
      <c r="H633">
        <f t="shared" si="60"/>
        <v>1.1567298760873923E-2</v>
      </c>
      <c r="I633">
        <f t="shared" si="61"/>
        <v>1.1527298760873923E-2</v>
      </c>
      <c r="K633">
        <f t="shared" si="62"/>
        <v>3.3065236818587973E-2</v>
      </c>
      <c r="L633">
        <f t="shared" si="63"/>
        <v>4.6110817144153771E-3</v>
      </c>
      <c r="M633">
        <f t="shared" si="64"/>
        <v>1.4770240700218817E-2</v>
      </c>
    </row>
    <row r="634" spans="1:13" x14ac:dyDescent="0.3">
      <c r="A634" s="3">
        <v>42921</v>
      </c>
      <c r="B634" s="8">
        <v>11.173903300000001</v>
      </c>
      <c r="C634" s="8">
        <v>133.63999999999999</v>
      </c>
      <c r="D634" s="8">
        <v>93.68</v>
      </c>
      <c r="E634">
        <v>4.0000000000000003E-5</v>
      </c>
      <c r="G634">
        <f t="shared" si="59"/>
        <v>100.43053151054062</v>
      </c>
      <c r="H634">
        <f t="shared" si="60"/>
        <v>-7.0305614224557278E-3</v>
      </c>
      <c r="I634">
        <f t="shared" si="61"/>
        <v>-7.0705614224557279E-3</v>
      </c>
      <c r="K634">
        <f t="shared" si="62"/>
        <v>-2.2491349480968759E-2</v>
      </c>
      <c r="L634">
        <f t="shared" si="63"/>
        <v>5.5680963130171346E-3</v>
      </c>
      <c r="M634">
        <f t="shared" si="64"/>
        <v>1.0026954177897673E-2</v>
      </c>
    </row>
    <row r="635" spans="1:13" x14ac:dyDescent="0.3">
      <c r="A635" s="3">
        <v>42922</v>
      </c>
      <c r="B635" s="8">
        <v>11.055242379999999</v>
      </c>
      <c r="C635" s="8">
        <v>132.52000000000001</v>
      </c>
      <c r="D635" s="8">
        <v>93.38</v>
      </c>
      <c r="E635">
        <v>4.0000000000000003E-5</v>
      </c>
      <c r="G635">
        <f t="shared" si="59"/>
        <v>99.333330970236688</v>
      </c>
      <c r="H635">
        <f t="shared" si="60"/>
        <v>-1.0924969964823616E-2</v>
      </c>
      <c r="I635">
        <f t="shared" si="61"/>
        <v>-1.0964969964823617E-2</v>
      </c>
      <c r="K635">
        <f t="shared" si="62"/>
        <v>-1.0619469026548867E-2</v>
      </c>
      <c r="L635">
        <f t="shared" si="63"/>
        <v>-8.3807243340315862E-3</v>
      </c>
      <c r="M635">
        <f t="shared" si="64"/>
        <v>-3.2023911187021303E-3</v>
      </c>
    </row>
    <row r="636" spans="1:13" x14ac:dyDescent="0.3">
      <c r="A636" s="3">
        <v>42923</v>
      </c>
      <c r="B636" s="8">
        <v>11.13434966</v>
      </c>
      <c r="C636" s="8">
        <v>132.54</v>
      </c>
      <c r="D636" s="8">
        <v>93.85</v>
      </c>
      <c r="E636">
        <v>4.0000000000000003E-5</v>
      </c>
      <c r="G636">
        <f t="shared" si="59"/>
        <v>100.27222816440499</v>
      </c>
      <c r="H636">
        <f t="shared" si="60"/>
        <v>9.451985401049523E-3</v>
      </c>
      <c r="I636">
        <f t="shared" si="61"/>
        <v>9.4119854010495229E-3</v>
      </c>
      <c r="K636">
        <f t="shared" si="62"/>
        <v>7.1556350626118537E-3</v>
      </c>
      <c r="L636">
        <f t="shared" si="63"/>
        <v>1.5092061575594506E-4</v>
      </c>
      <c r="M636">
        <f t="shared" si="64"/>
        <v>5.0331976868709383E-3</v>
      </c>
    </row>
    <row r="637" spans="1:13" x14ac:dyDescent="0.3">
      <c r="A637" s="3">
        <v>42926</v>
      </c>
      <c r="B637" s="8">
        <v>11.21345694</v>
      </c>
      <c r="C637" s="8">
        <v>131.55000000000001</v>
      </c>
      <c r="D637" s="8">
        <v>93.19</v>
      </c>
      <c r="E637">
        <v>4.0000000000000003E-5</v>
      </c>
      <c r="G637">
        <f t="shared" si="59"/>
        <v>99.422239751680692</v>
      </c>
      <c r="H637">
        <f t="shared" si="60"/>
        <v>-8.4768078687816883E-3</v>
      </c>
      <c r="I637">
        <f t="shared" si="61"/>
        <v>-8.5168078687816885E-3</v>
      </c>
      <c r="K637">
        <f t="shared" si="62"/>
        <v>7.1047957371226378E-3</v>
      </c>
      <c r="L637">
        <f t="shared" si="63"/>
        <v>-7.469443186962299E-3</v>
      </c>
      <c r="M637">
        <f t="shared" si="64"/>
        <v>-7.0324986680873058E-3</v>
      </c>
    </row>
    <row r="638" spans="1:13" x14ac:dyDescent="0.3">
      <c r="A638" s="3">
        <v>42927</v>
      </c>
      <c r="B638" s="8">
        <v>11.25301058</v>
      </c>
      <c r="C638" s="8">
        <v>131.22999999999999</v>
      </c>
      <c r="D638" s="8">
        <v>92.83</v>
      </c>
      <c r="E638">
        <v>4.0000000000000003E-5</v>
      </c>
      <c r="G638">
        <f t="shared" si="59"/>
        <v>99.765374632793751</v>
      </c>
      <c r="H638">
        <f t="shared" si="60"/>
        <v>3.4512889869517949E-3</v>
      </c>
      <c r="I638">
        <f t="shared" si="61"/>
        <v>3.4112889869517948E-3</v>
      </c>
      <c r="K638">
        <f t="shared" si="62"/>
        <v>3.5273368606700828E-3</v>
      </c>
      <c r="L638">
        <f t="shared" si="63"/>
        <v>-2.4325351577348941E-3</v>
      </c>
      <c r="M638">
        <f t="shared" si="64"/>
        <v>-3.8630754372787068E-3</v>
      </c>
    </row>
    <row r="639" spans="1:13" x14ac:dyDescent="0.3">
      <c r="A639" s="3">
        <v>42928</v>
      </c>
      <c r="B639" s="8">
        <v>11.342006270000001</v>
      </c>
      <c r="C639" s="8">
        <v>132.22999999999999</v>
      </c>
      <c r="D639" s="8">
        <v>92.51</v>
      </c>
      <c r="E639">
        <v>4.0000000000000003E-5</v>
      </c>
      <c r="G639">
        <f t="shared" si="59"/>
        <v>100.34856696250012</v>
      </c>
      <c r="H639">
        <f t="shared" si="60"/>
        <v>5.8456386482075295E-3</v>
      </c>
      <c r="I639">
        <f t="shared" si="61"/>
        <v>5.8056386482075294E-3</v>
      </c>
      <c r="K639">
        <f t="shared" si="62"/>
        <v>7.9086115992970107E-3</v>
      </c>
      <c r="L639">
        <f t="shared" si="63"/>
        <v>7.6202087937209395E-3</v>
      </c>
      <c r="M639">
        <f t="shared" si="64"/>
        <v>-3.4471614779704174E-3</v>
      </c>
    </row>
    <row r="640" spans="1:13" x14ac:dyDescent="0.3">
      <c r="A640" s="3">
        <v>42929</v>
      </c>
      <c r="B640" s="8">
        <v>11.470555599999999</v>
      </c>
      <c r="C640" s="8">
        <v>131.86000000000001</v>
      </c>
      <c r="D640" s="8">
        <v>93.1</v>
      </c>
      <c r="E640">
        <v>4.0000000000000003E-5</v>
      </c>
      <c r="G640">
        <f t="shared" si="59"/>
        <v>100.21358825460189</v>
      </c>
      <c r="H640">
        <f t="shared" si="60"/>
        <v>-1.3450985099634494E-3</v>
      </c>
      <c r="I640">
        <f t="shared" si="61"/>
        <v>-1.3850985099634495E-3</v>
      </c>
      <c r="K640">
        <f t="shared" si="62"/>
        <v>1.1333914559720881E-2</v>
      </c>
      <c r="L640">
        <f t="shared" si="63"/>
        <v>-2.7981547303937981E-3</v>
      </c>
      <c r="M640">
        <f t="shared" si="64"/>
        <v>6.3776888984974356E-3</v>
      </c>
    </row>
    <row r="641" spans="1:13" x14ac:dyDescent="0.3">
      <c r="A641" s="3">
        <v>42930</v>
      </c>
      <c r="B641" s="8">
        <v>11.54966288</v>
      </c>
      <c r="C641" s="8">
        <v>132.6</v>
      </c>
      <c r="D641" s="8">
        <v>92.25</v>
      </c>
      <c r="E641">
        <v>4.0000000000000003E-5</v>
      </c>
      <c r="G641">
        <f t="shared" si="59"/>
        <v>100.01990775924369</v>
      </c>
      <c r="H641">
        <f t="shared" si="60"/>
        <v>-1.9326769825478429E-3</v>
      </c>
      <c r="I641">
        <f t="shared" si="61"/>
        <v>-1.972676982547843E-3</v>
      </c>
      <c r="K641">
        <f t="shared" si="62"/>
        <v>6.8965517241379448E-3</v>
      </c>
      <c r="L641">
        <f t="shared" si="63"/>
        <v>5.6120127407854881E-3</v>
      </c>
      <c r="M641">
        <f t="shared" si="64"/>
        <v>-9.129967776584258E-3</v>
      </c>
    </row>
    <row r="642" spans="1:13" x14ac:dyDescent="0.3">
      <c r="A642" s="3">
        <v>42933</v>
      </c>
      <c r="B642" s="8">
        <v>11.60899334</v>
      </c>
      <c r="C642" s="8">
        <v>132.15</v>
      </c>
      <c r="D642" s="8">
        <v>91.39</v>
      </c>
      <c r="E642">
        <v>4.0000000000000003E-5</v>
      </c>
      <c r="G642">
        <f t="shared" si="59"/>
        <v>99.526928834134068</v>
      </c>
      <c r="H642">
        <f t="shared" si="60"/>
        <v>-4.9288080358589337E-3</v>
      </c>
      <c r="I642">
        <f t="shared" si="61"/>
        <v>-4.9688080358589338E-3</v>
      </c>
      <c r="K642">
        <f t="shared" si="62"/>
        <v>5.1369863013699391E-3</v>
      </c>
      <c r="L642">
        <f t="shared" si="63"/>
        <v>-3.3936651583709176E-3</v>
      </c>
      <c r="M642">
        <f t="shared" si="64"/>
        <v>-9.3224932249322823E-3</v>
      </c>
    </row>
    <row r="643" spans="1:13" x14ac:dyDescent="0.3">
      <c r="A643" s="3">
        <v>42934</v>
      </c>
      <c r="B643" s="8">
        <v>11.61888175</v>
      </c>
      <c r="C643" s="8">
        <v>134.46</v>
      </c>
      <c r="D643" s="8">
        <v>91.07</v>
      </c>
      <c r="E643">
        <v>4.0000000000000003E-5</v>
      </c>
      <c r="G643">
        <f t="shared" si="59"/>
        <v>100.784185147399</v>
      </c>
      <c r="H643">
        <f t="shared" si="60"/>
        <v>1.2632323010390634E-2</v>
      </c>
      <c r="I643">
        <f t="shared" si="61"/>
        <v>1.2592323010390634E-2</v>
      </c>
      <c r="K643">
        <f t="shared" si="62"/>
        <v>8.5178875638836082E-4</v>
      </c>
      <c r="L643">
        <f t="shared" si="63"/>
        <v>1.7480136208853692E-2</v>
      </c>
      <c r="M643">
        <f t="shared" si="64"/>
        <v>-3.5014771856878291E-3</v>
      </c>
    </row>
    <row r="644" spans="1:13" x14ac:dyDescent="0.3">
      <c r="A644" s="3">
        <v>42935</v>
      </c>
      <c r="B644" s="8">
        <v>11.69798903</v>
      </c>
      <c r="C644" s="8">
        <v>135.21</v>
      </c>
      <c r="D644" s="8">
        <v>91.2</v>
      </c>
      <c r="E644">
        <v>4.0000000000000003E-5</v>
      </c>
      <c r="G644">
        <f t="shared" si="59"/>
        <v>100.41450058127141</v>
      </c>
      <c r="H644">
        <f t="shared" si="60"/>
        <v>-3.6680811139854219E-3</v>
      </c>
      <c r="I644">
        <f t="shared" si="61"/>
        <v>-3.708081113985422E-3</v>
      </c>
      <c r="K644">
        <f t="shared" si="62"/>
        <v>6.8085106382980154E-3</v>
      </c>
      <c r="L644">
        <f t="shared" si="63"/>
        <v>5.5778670236501515E-3</v>
      </c>
      <c r="M644">
        <f t="shared" si="64"/>
        <v>1.4274733721313382E-3</v>
      </c>
    </row>
    <row r="645" spans="1:13" x14ac:dyDescent="0.3">
      <c r="A645" s="3">
        <v>42936</v>
      </c>
      <c r="B645" s="8">
        <v>11.569439699999998</v>
      </c>
      <c r="C645" s="8">
        <v>136.57</v>
      </c>
      <c r="D645" s="8">
        <v>91.2</v>
      </c>
      <c r="E645">
        <v>4.0000000000000003E-5</v>
      </c>
      <c r="G645">
        <f t="shared" ref="G645:G708" si="65">$G$4*(B645*$P$8/B644 + C645*$Q$8/C644 + D645*$R$8/D644)</f>
        <v>100.40675182476843</v>
      </c>
      <c r="H645">
        <f t="shared" ref="H645:H708" si="66">G645/G644-1</f>
        <v>-7.7167704446323704E-5</v>
      </c>
      <c r="I645">
        <f t="shared" si="61"/>
        <v>-1.171677044463237E-4</v>
      </c>
      <c r="K645">
        <f t="shared" si="62"/>
        <v>-1.0989010989011172E-2</v>
      </c>
      <c r="L645">
        <f t="shared" si="63"/>
        <v>1.0058427631092215E-2</v>
      </c>
      <c r="M645">
        <f t="shared" si="64"/>
        <v>0</v>
      </c>
    </row>
    <row r="646" spans="1:13" x14ac:dyDescent="0.3">
      <c r="A646" s="3">
        <v>42937</v>
      </c>
      <c r="B646" s="8">
        <v>11.401336729999999</v>
      </c>
      <c r="C646" s="8">
        <v>135.31</v>
      </c>
      <c r="D646" s="8">
        <v>90.89</v>
      </c>
      <c r="E646">
        <v>4.0000000000000003E-5</v>
      </c>
      <c r="G646">
        <f t="shared" si="65"/>
        <v>99.241083117359082</v>
      </c>
      <c r="H646">
        <f t="shared" si="66"/>
        <v>-1.1609465361888227E-2</v>
      </c>
      <c r="I646">
        <f t="shared" ref="I646:I709" si="67">H646-E646</f>
        <v>-1.1649465361888227E-2</v>
      </c>
      <c r="K646">
        <f t="shared" ref="K646:K709" si="68">B646/B645-1</f>
        <v>-1.4529914529914478E-2</v>
      </c>
      <c r="L646">
        <f t="shared" ref="L646:L709" si="69">C646/C645-1</f>
        <v>-9.2260379292670169E-3</v>
      </c>
      <c r="M646">
        <f t="shared" ref="M646:M709" si="70">D646/D645-1</f>
        <v>-3.3991228070175961E-3</v>
      </c>
    </row>
    <row r="647" spans="1:13" x14ac:dyDescent="0.3">
      <c r="A647" s="3">
        <v>42940</v>
      </c>
      <c r="B647" s="8">
        <v>11.164014889999999</v>
      </c>
      <c r="C647" s="8">
        <v>133.01</v>
      </c>
      <c r="D647" s="8">
        <v>91.28</v>
      </c>
      <c r="E647">
        <v>4.0000000000000003E-5</v>
      </c>
      <c r="G647">
        <f t="shared" si="65"/>
        <v>99.061317033057534</v>
      </c>
      <c r="H647">
        <f t="shared" si="66"/>
        <v>-1.811407923560826E-3</v>
      </c>
      <c r="I647">
        <f t="shared" si="67"/>
        <v>-1.8514079235608261E-3</v>
      </c>
      <c r="K647">
        <f t="shared" si="68"/>
        <v>-2.0815264527320076E-2</v>
      </c>
      <c r="L647">
        <f t="shared" si="69"/>
        <v>-1.6998004582070902E-2</v>
      </c>
      <c r="M647">
        <f t="shared" si="70"/>
        <v>4.2909010892286936E-3</v>
      </c>
    </row>
    <row r="648" spans="1:13" x14ac:dyDescent="0.3">
      <c r="A648" s="3">
        <v>42941</v>
      </c>
      <c r="B648" s="8">
        <v>11.14423807</v>
      </c>
      <c r="C648" s="8">
        <v>131.88</v>
      </c>
      <c r="D648" s="8">
        <v>92.8</v>
      </c>
      <c r="E648">
        <v>4.0000000000000003E-5</v>
      </c>
      <c r="G648">
        <f t="shared" si="65"/>
        <v>100.16724236042513</v>
      </c>
      <c r="H648">
        <f t="shared" si="66"/>
        <v>1.1164048293427653E-2</v>
      </c>
      <c r="I648">
        <f t="shared" si="67"/>
        <v>1.1124048293427653E-2</v>
      </c>
      <c r="K648">
        <f t="shared" si="68"/>
        <v>-1.77147918511944E-3</v>
      </c>
      <c r="L648">
        <f t="shared" si="69"/>
        <v>-8.4956018344485296E-3</v>
      </c>
      <c r="M648">
        <f t="shared" si="70"/>
        <v>1.6652059596844904E-2</v>
      </c>
    </row>
    <row r="649" spans="1:13" x14ac:dyDescent="0.3">
      <c r="A649" s="3">
        <v>42942</v>
      </c>
      <c r="B649" s="8">
        <v>10.936581459999999</v>
      </c>
      <c r="C649" s="8">
        <v>130.94999999999999</v>
      </c>
      <c r="D649" s="8">
        <v>91.93</v>
      </c>
      <c r="E649">
        <v>4.0000000000000003E-5</v>
      </c>
      <c r="G649">
        <f t="shared" si="65"/>
        <v>99.086012898074983</v>
      </c>
      <c r="H649">
        <f t="shared" si="66"/>
        <v>-1.0794242078259852E-2</v>
      </c>
      <c r="I649">
        <f t="shared" si="67"/>
        <v>-1.0834242078259853E-2</v>
      </c>
      <c r="K649">
        <f t="shared" si="68"/>
        <v>-1.8633540372670843E-2</v>
      </c>
      <c r="L649">
        <f t="shared" si="69"/>
        <v>-7.0518653321202107E-3</v>
      </c>
      <c r="M649">
        <f t="shared" si="70"/>
        <v>-9.3749999999999112E-3</v>
      </c>
    </row>
    <row r="650" spans="1:13" x14ac:dyDescent="0.3">
      <c r="A650" s="3">
        <v>42943</v>
      </c>
      <c r="B650" s="8">
        <v>11.055242379999999</v>
      </c>
      <c r="C650" s="8">
        <v>130.83000000000001</v>
      </c>
      <c r="D650" s="8">
        <v>91.55</v>
      </c>
      <c r="E650">
        <v>4.0000000000000003E-5</v>
      </c>
      <c r="G650">
        <f t="shared" si="65"/>
        <v>99.910608909072309</v>
      </c>
      <c r="H650">
        <f t="shared" si="66"/>
        <v>8.3220223206028621E-3</v>
      </c>
      <c r="I650">
        <f t="shared" si="67"/>
        <v>8.282022320602862E-3</v>
      </c>
      <c r="K650">
        <f t="shared" si="68"/>
        <v>1.0849909584086825E-2</v>
      </c>
      <c r="L650">
        <f t="shared" si="69"/>
        <v>-9.1638029782337149E-4</v>
      </c>
      <c r="M650">
        <f t="shared" si="70"/>
        <v>-4.1335798977484295E-3</v>
      </c>
    </row>
    <row r="651" spans="1:13" x14ac:dyDescent="0.3">
      <c r="A651" s="3">
        <v>42944</v>
      </c>
      <c r="B651" s="8">
        <v>11.045353969999999</v>
      </c>
      <c r="C651" s="8">
        <v>131.85</v>
      </c>
      <c r="D651" s="8">
        <v>91.28</v>
      </c>
      <c r="E651">
        <v>4.0000000000000003E-5</v>
      </c>
      <c r="G651">
        <f t="shared" si="65"/>
        <v>100.2841884317295</v>
      </c>
      <c r="H651">
        <f t="shared" si="66"/>
        <v>3.739137682537752E-3</v>
      </c>
      <c r="I651">
        <f t="shared" si="67"/>
        <v>3.6991376825377519E-3</v>
      </c>
      <c r="K651">
        <f t="shared" si="68"/>
        <v>-8.9445438282653722E-4</v>
      </c>
      <c r="L651">
        <f t="shared" si="69"/>
        <v>7.7963769777571468E-3</v>
      </c>
      <c r="M651">
        <f t="shared" si="70"/>
        <v>-2.9492080830146872E-3</v>
      </c>
    </row>
    <row r="652" spans="1:13" x14ac:dyDescent="0.3">
      <c r="A652" s="3">
        <v>42947</v>
      </c>
      <c r="B652" s="8">
        <v>11.09479602</v>
      </c>
      <c r="C652" s="8">
        <v>132.72</v>
      </c>
      <c r="D652" s="8">
        <v>91.8</v>
      </c>
      <c r="E652">
        <v>4.0000000000000003E-5</v>
      </c>
      <c r="G652">
        <f t="shared" si="65"/>
        <v>100.60367028552039</v>
      </c>
      <c r="H652">
        <f t="shared" si="66"/>
        <v>3.1857649624236206E-3</v>
      </c>
      <c r="I652">
        <f t="shared" si="67"/>
        <v>3.1457649624236205E-3</v>
      </c>
      <c r="K652">
        <f t="shared" si="68"/>
        <v>4.4762757385856666E-3</v>
      </c>
      <c r="L652">
        <f t="shared" si="69"/>
        <v>6.5984072810012506E-3</v>
      </c>
      <c r="M652">
        <f t="shared" si="70"/>
        <v>5.6967572304995606E-3</v>
      </c>
    </row>
    <row r="653" spans="1:13" x14ac:dyDescent="0.3">
      <c r="A653" s="3">
        <v>42948</v>
      </c>
      <c r="B653" s="8">
        <v>10.82780895</v>
      </c>
      <c r="C653" s="8">
        <v>132.51</v>
      </c>
      <c r="D653" s="8">
        <v>93.03</v>
      </c>
      <c r="E653">
        <v>4.0000000000000003E-5</v>
      </c>
      <c r="G653">
        <f t="shared" si="65"/>
        <v>100.16990595416493</v>
      </c>
      <c r="H653">
        <f t="shared" si="66"/>
        <v>-4.3116153727235096E-3</v>
      </c>
      <c r="I653">
        <f t="shared" si="67"/>
        <v>-4.3516153727235097E-3</v>
      </c>
      <c r="K653">
        <f t="shared" si="68"/>
        <v>-2.4064171122994749E-2</v>
      </c>
      <c r="L653">
        <f t="shared" si="69"/>
        <v>-1.5822784810126667E-3</v>
      </c>
      <c r="M653">
        <f t="shared" si="70"/>
        <v>1.3398692810457469E-2</v>
      </c>
    </row>
    <row r="654" spans="1:13" x14ac:dyDescent="0.3">
      <c r="A654" s="3">
        <v>42949</v>
      </c>
      <c r="B654" s="8">
        <v>10.877250999999999</v>
      </c>
      <c r="C654" s="8">
        <v>132.16</v>
      </c>
      <c r="D654" s="8">
        <v>93.11</v>
      </c>
      <c r="E654">
        <v>4.0000000000000003E-5</v>
      </c>
      <c r="G654">
        <f t="shared" si="65"/>
        <v>99.943161000622695</v>
      </c>
      <c r="H654">
        <f t="shared" si="66"/>
        <v>-2.263603538232184E-3</v>
      </c>
      <c r="I654">
        <f t="shared" si="67"/>
        <v>-2.3036035382321841E-3</v>
      </c>
      <c r="K654">
        <f t="shared" si="68"/>
        <v>4.5662100456620447E-3</v>
      </c>
      <c r="L654">
        <f t="shared" si="69"/>
        <v>-2.641310089804505E-3</v>
      </c>
      <c r="M654">
        <f t="shared" si="70"/>
        <v>8.5993765451997106E-4</v>
      </c>
    </row>
    <row r="655" spans="1:13" x14ac:dyDescent="0.3">
      <c r="A655" s="3">
        <v>42950</v>
      </c>
      <c r="B655" s="8">
        <v>10.808032129999999</v>
      </c>
      <c r="C655" s="8">
        <v>133.35</v>
      </c>
      <c r="D655" s="8">
        <v>92.5</v>
      </c>
      <c r="E655">
        <v>4.0000000000000003E-5</v>
      </c>
      <c r="G655">
        <f t="shared" si="65"/>
        <v>100.15399067985176</v>
      </c>
      <c r="H655">
        <f t="shared" si="66"/>
        <v>2.1094958086000926E-3</v>
      </c>
      <c r="I655">
        <f t="shared" si="67"/>
        <v>2.0694958086000925E-3</v>
      </c>
      <c r="K655">
        <f t="shared" si="68"/>
        <v>-6.3636363636363491E-3</v>
      </c>
      <c r="L655">
        <f t="shared" si="69"/>
        <v>9.004237288135597E-3</v>
      </c>
      <c r="M655">
        <f t="shared" si="70"/>
        <v>-6.5513908280527833E-3</v>
      </c>
    </row>
    <row r="656" spans="1:13" x14ac:dyDescent="0.3">
      <c r="A656" s="3">
        <v>42951</v>
      </c>
      <c r="B656" s="8">
        <v>10.82780895</v>
      </c>
      <c r="C656" s="8">
        <v>133.18</v>
      </c>
      <c r="D656" s="8">
        <v>93.66</v>
      </c>
      <c r="E656">
        <v>4.0000000000000003E-5</v>
      </c>
      <c r="G656">
        <f t="shared" si="65"/>
        <v>100.42494046531343</v>
      </c>
      <c r="H656">
        <f t="shared" si="66"/>
        <v>2.7053318956382633E-3</v>
      </c>
      <c r="I656">
        <f t="shared" si="67"/>
        <v>2.6653318956382632E-3</v>
      </c>
      <c r="K656">
        <f t="shared" si="68"/>
        <v>1.8298261665141702E-3</v>
      </c>
      <c r="L656">
        <f t="shared" si="69"/>
        <v>-1.2748406449193395E-3</v>
      </c>
      <c r="M656">
        <f t="shared" si="70"/>
        <v>1.2540540540540546E-2</v>
      </c>
    </row>
    <row r="657" spans="1:13" x14ac:dyDescent="0.3">
      <c r="A657" s="3">
        <v>42954</v>
      </c>
      <c r="B657" s="8">
        <v>10.798143719999999</v>
      </c>
      <c r="C657" s="8">
        <v>132.86000000000001</v>
      </c>
      <c r="D657" s="8">
        <v>94.02</v>
      </c>
      <c r="E657">
        <v>4.0000000000000003E-5</v>
      </c>
      <c r="G657">
        <f t="shared" si="65"/>
        <v>99.991252643137699</v>
      </c>
      <c r="H657">
        <f t="shared" si="66"/>
        <v>-4.3185270528044439E-3</v>
      </c>
      <c r="I657">
        <f t="shared" si="67"/>
        <v>-4.358527052804444E-3</v>
      </c>
      <c r="K657">
        <f t="shared" si="68"/>
        <v>-2.73972602739736E-3</v>
      </c>
      <c r="L657">
        <f t="shared" si="69"/>
        <v>-2.4027631776541991E-3</v>
      </c>
      <c r="M657">
        <f t="shared" si="70"/>
        <v>3.8436899423446302E-3</v>
      </c>
    </row>
    <row r="658" spans="1:13" x14ac:dyDescent="0.3">
      <c r="A658" s="3">
        <v>42955</v>
      </c>
      <c r="B658" s="8">
        <v>10.76847849</v>
      </c>
      <c r="C658" s="8">
        <v>132.27000000000001</v>
      </c>
      <c r="D658" s="8">
        <v>93.68</v>
      </c>
      <c r="E658">
        <v>4.0000000000000003E-5</v>
      </c>
      <c r="G658">
        <f t="shared" si="65"/>
        <v>99.604699187118683</v>
      </c>
      <c r="H658">
        <f t="shared" si="66"/>
        <v>-3.8658727218729982E-3</v>
      </c>
      <c r="I658">
        <f t="shared" si="67"/>
        <v>-3.9058727218729983E-3</v>
      </c>
      <c r="K658">
        <f t="shared" si="68"/>
        <v>-2.7472527472526265E-3</v>
      </c>
      <c r="L658">
        <f t="shared" si="69"/>
        <v>-4.4407647147373108E-3</v>
      </c>
      <c r="M658">
        <f t="shared" si="70"/>
        <v>-3.6162518613059857E-3</v>
      </c>
    </row>
    <row r="659" spans="1:13" x14ac:dyDescent="0.3">
      <c r="A659" s="3">
        <v>42956</v>
      </c>
      <c r="B659" s="8">
        <v>10.798143719999999</v>
      </c>
      <c r="C659" s="8">
        <v>133.22999999999999</v>
      </c>
      <c r="D659" s="8">
        <v>93.53</v>
      </c>
      <c r="E659">
        <v>4.0000000000000003E-5</v>
      </c>
      <c r="G659">
        <f t="shared" si="65"/>
        <v>100.34521892059858</v>
      </c>
      <c r="H659">
        <f t="shared" si="66"/>
        <v>7.4345863149363201E-3</v>
      </c>
      <c r="I659">
        <f t="shared" si="67"/>
        <v>7.3945863149363199E-3</v>
      </c>
      <c r="K659">
        <f t="shared" si="68"/>
        <v>2.7548209366390353E-3</v>
      </c>
      <c r="L659">
        <f t="shared" si="69"/>
        <v>7.2578816058062046E-3</v>
      </c>
      <c r="M659">
        <f t="shared" si="70"/>
        <v>-1.6011955593510097E-3</v>
      </c>
    </row>
    <row r="660" spans="1:13" x14ac:dyDescent="0.3">
      <c r="A660" s="3">
        <v>42957</v>
      </c>
      <c r="B660" s="8">
        <v>10.64981757</v>
      </c>
      <c r="C660" s="8">
        <v>133.09</v>
      </c>
      <c r="D660" s="8">
        <v>92.19</v>
      </c>
      <c r="E660">
        <v>4.0000000000000003E-5</v>
      </c>
      <c r="G660">
        <f t="shared" si="65"/>
        <v>99.262377424275684</v>
      </c>
      <c r="H660">
        <f t="shared" si="66"/>
        <v>-1.0791161830836504E-2</v>
      </c>
      <c r="I660">
        <f t="shared" si="67"/>
        <v>-1.0831161830836504E-2</v>
      </c>
      <c r="K660">
        <f t="shared" si="68"/>
        <v>-1.3736263736263687E-2</v>
      </c>
      <c r="L660">
        <f t="shared" si="69"/>
        <v>-1.050814381145293E-3</v>
      </c>
      <c r="M660">
        <f t="shared" si="70"/>
        <v>-1.4326953918528895E-2</v>
      </c>
    </row>
    <row r="661" spans="1:13" x14ac:dyDescent="0.3">
      <c r="A661" s="3">
        <v>42958</v>
      </c>
      <c r="B661" s="8">
        <v>10.64981757</v>
      </c>
      <c r="C661" s="8">
        <v>133.1</v>
      </c>
      <c r="D661" s="8">
        <v>91.42</v>
      </c>
      <c r="E661">
        <v>4.0000000000000003E-5</v>
      </c>
      <c r="G661">
        <f t="shared" si="65"/>
        <v>99.689592595887504</v>
      </c>
      <c r="H661">
        <f t="shared" si="66"/>
        <v>4.3038982411813809E-3</v>
      </c>
      <c r="I661">
        <f t="shared" si="67"/>
        <v>4.2638982411813808E-3</v>
      </c>
      <c r="K661">
        <f t="shared" si="68"/>
        <v>0</v>
      </c>
      <c r="L661">
        <f t="shared" si="69"/>
        <v>7.5137125253421644E-5</v>
      </c>
      <c r="M661">
        <f t="shared" si="70"/>
        <v>-8.3523158694001065E-3</v>
      </c>
    </row>
    <row r="662" spans="1:13" x14ac:dyDescent="0.3">
      <c r="A662" s="3">
        <v>42961</v>
      </c>
      <c r="B662" s="8">
        <v>10.78825531</v>
      </c>
      <c r="C662" s="8">
        <v>133.47999999999999</v>
      </c>
      <c r="D662" s="8">
        <v>92.49</v>
      </c>
      <c r="E662">
        <v>4.0000000000000003E-5</v>
      </c>
      <c r="G662">
        <f t="shared" si="65"/>
        <v>100.72481729624462</v>
      </c>
      <c r="H662">
        <f t="shared" si="66"/>
        <v>1.0384481202101226E-2</v>
      </c>
      <c r="I662">
        <f t="shared" si="67"/>
        <v>1.0344481202101226E-2</v>
      </c>
      <c r="K662">
        <f t="shared" si="68"/>
        <v>1.2999071494893322E-2</v>
      </c>
      <c r="L662">
        <f t="shared" si="69"/>
        <v>2.8549962434258891E-3</v>
      </c>
      <c r="M662">
        <f t="shared" si="70"/>
        <v>1.1704222270837894E-2</v>
      </c>
    </row>
    <row r="663" spans="1:13" x14ac:dyDescent="0.3">
      <c r="A663" s="3">
        <v>42962</v>
      </c>
      <c r="B663" s="8">
        <v>10.71903644</v>
      </c>
      <c r="C663" s="8">
        <v>133.38</v>
      </c>
      <c r="D663" s="8">
        <v>92.73</v>
      </c>
      <c r="E663">
        <v>4.0000000000000003E-5</v>
      </c>
      <c r="G663">
        <f t="shared" si="65"/>
        <v>99.991531451194462</v>
      </c>
      <c r="H663">
        <f t="shared" si="66"/>
        <v>-7.2800910910910677E-3</v>
      </c>
      <c r="I663">
        <f t="shared" si="67"/>
        <v>-7.3200910910910678E-3</v>
      </c>
      <c r="K663">
        <f t="shared" si="68"/>
        <v>-6.4161319890009283E-3</v>
      </c>
      <c r="L663">
        <f t="shared" si="69"/>
        <v>-7.4917590650280808E-4</v>
      </c>
      <c r="M663">
        <f t="shared" si="70"/>
        <v>2.5948751216349208E-3</v>
      </c>
    </row>
    <row r="664" spans="1:13" x14ac:dyDescent="0.3">
      <c r="A664" s="3">
        <v>42963</v>
      </c>
      <c r="B664" s="8">
        <v>10.679482800000001</v>
      </c>
      <c r="C664" s="8">
        <v>134.16999999999999</v>
      </c>
      <c r="D664" s="8">
        <v>92.09</v>
      </c>
      <c r="E664">
        <v>4.0000000000000003E-5</v>
      </c>
      <c r="G664">
        <f t="shared" si="65"/>
        <v>100.00894062393371</v>
      </c>
      <c r="H664">
        <f t="shared" si="66"/>
        <v>1.7410647168403237E-4</v>
      </c>
      <c r="I664">
        <f t="shared" si="67"/>
        <v>1.3410647168403237E-4</v>
      </c>
      <c r="K664">
        <f t="shared" si="68"/>
        <v>-3.6900369003689537E-3</v>
      </c>
      <c r="L664">
        <f t="shared" si="69"/>
        <v>5.9229269755585179E-3</v>
      </c>
      <c r="M664">
        <f t="shared" si="70"/>
        <v>-6.901757791437535E-3</v>
      </c>
    </row>
    <row r="665" spans="1:13" x14ac:dyDescent="0.3">
      <c r="A665" s="3">
        <v>42964</v>
      </c>
      <c r="B665" s="8">
        <v>10.521268239999999</v>
      </c>
      <c r="C665" s="8">
        <v>133.04</v>
      </c>
      <c r="D665" s="8">
        <v>90.65</v>
      </c>
      <c r="E665">
        <v>4.0000000000000003E-5</v>
      </c>
      <c r="G665">
        <f t="shared" si="65"/>
        <v>98.819290795676523</v>
      </c>
      <c r="H665">
        <f t="shared" si="66"/>
        <v>-1.1895434756485024E-2</v>
      </c>
      <c r="I665">
        <f t="shared" si="67"/>
        <v>-1.1935434756485024E-2</v>
      </c>
      <c r="K665">
        <f t="shared" si="68"/>
        <v>-1.4814814814814947E-2</v>
      </c>
      <c r="L665">
        <f t="shared" si="69"/>
        <v>-8.4221510024595769E-3</v>
      </c>
      <c r="M665">
        <f t="shared" si="70"/>
        <v>-1.5636876968183278E-2</v>
      </c>
    </row>
    <row r="666" spans="1:13" x14ac:dyDescent="0.3">
      <c r="A666" s="3">
        <v>42965</v>
      </c>
      <c r="B666" s="8">
        <v>10.442160960000001</v>
      </c>
      <c r="C666" s="8">
        <v>132.63</v>
      </c>
      <c r="D666" s="8">
        <v>90.74</v>
      </c>
      <c r="E666">
        <v>4.0000000000000003E-5</v>
      </c>
      <c r="G666">
        <f t="shared" si="65"/>
        <v>99.798652756698118</v>
      </c>
      <c r="H666">
        <f t="shared" si="66"/>
        <v>9.9106353945259684E-3</v>
      </c>
      <c r="I666">
        <f t="shared" si="67"/>
        <v>9.8706353945259683E-3</v>
      </c>
      <c r="K666">
        <f t="shared" si="68"/>
        <v>-7.5187969924810361E-3</v>
      </c>
      <c r="L666">
        <f t="shared" si="69"/>
        <v>-3.0817799158148196E-3</v>
      </c>
      <c r="M666">
        <f t="shared" si="70"/>
        <v>9.9282956425805757E-4</v>
      </c>
    </row>
    <row r="667" spans="1:13" x14ac:dyDescent="0.3">
      <c r="A667" s="3">
        <v>42968</v>
      </c>
      <c r="B667" s="8">
        <v>10.452049369999999</v>
      </c>
      <c r="C667" s="8">
        <v>133.44999999999999</v>
      </c>
      <c r="D667" s="8">
        <v>90.63</v>
      </c>
      <c r="E667">
        <v>4.0000000000000003E-5</v>
      </c>
      <c r="G667">
        <f t="shared" si="65"/>
        <v>100.2851141328736</v>
      </c>
      <c r="H667">
        <f t="shared" si="66"/>
        <v>4.8744282887409618E-3</v>
      </c>
      <c r="I667">
        <f t="shared" si="67"/>
        <v>4.8344282887409617E-3</v>
      </c>
      <c r="K667">
        <f t="shared" si="68"/>
        <v>9.4696969696950184E-4</v>
      </c>
      <c r="L667">
        <f t="shared" si="69"/>
        <v>6.1826132850786308E-3</v>
      </c>
      <c r="M667">
        <f t="shared" si="70"/>
        <v>-1.2122547939167339E-3</v>
      </c>
    </row>
    <row r="668" spans="1:13" x14ac:dyDescent="0.3">
      <c r="A668" s="3">
        <v>42969</v>
      </c>
      <c r="B668" s="8">
        <v>10.53115665</v>
      </c>
      <c r="C668" s="8">
        <v>134.69999999999999</v>
      </c>
      <c r="D668" s="8">
        <v>91.56</v>
      </c>
      <c r="E668">
        <v>4.0000000000000003E-5</v>
      </c>
      <c r="G668">
        <f t="shared" si="65"/>
        <v>100.95150313657773</v>
      </c>
      <c r="H668">
        <f t="shared" si="66"/>
        <v>6.6449443615448356E-3</v>
      </c>
      <c r="I668">
        <f t="shared" si="67"/>
        <v>6.6049443615448355E-3</v>
      </c>
      <c r="K668">
        <f t="shared" si="68"/>
        <v>7.5685903500473106E-3</v>
      </c>
      <c r="L668">
        <f t="shared" si="69"/>
        <v>9.3668040464593982E-3</v>
      </c>
      <c r="M668">
        <f t="shared" si="70"/>
        <v>1.0261502813637913E-2</v>
      </c>
    </row>
    <row r="669" spans="1:13" x14ac:dyDescent="0.3">
      <c r="A669" s="3">
        <v>42970</v>
      </c>
      <c r="B669" s="8">
        <v>10.59048711</v>
      </c>
      <c r="C669" s="8">
        <v>132.80000000000001</v>
      </c>
      <c r="D669" s="8">
        <v>91.67</v>
      </c>
      <c r="E669">
        <v>4.0000000000000003E-5</v>
      </c>
      <c r="G669">
        <f t="shared" si="65"/>
        <v>99.372340850792654</v>
      </c>
      <c r="H669">
        <f t="shared" si="66"/>
        <v>-1.5642781303103703E-2</v>
      </c>
      <c r="I669">
        <f t="shared" si="67"/>
        <v>-1.5682781303103702E-2</v>
      </c>
      <c r="K669">
        <f t="shared" si="68"/>
        <v>5.6338028169014009E-3</v>
      </c>
      <c r="L669">
        <f t="shared" si="69"/>
        <v>-1.4105419450630818E-2</v>
      </c>
      <c r="M669">
        <f t="shared" si="70"/>
        <v>1.201397990388875E-3</v>
      </c>
    </row>
    <row r="670" spans="1:13" x14ac:dyDescent="0.3">
      <c r="A670" s="3">
        <v>42971</v>
      </c>
      <c r="B670" s="8">
        <v>10.59048711</v>
      </c>
      <c r="C670" s="8">
        <v>132.88999999999999</v>
      </c>
      <c r="D670" s="8">
        <v>91.52</v>
      </c>
      <c r="E670">
        <v>4.0000000000000003E-5</v>
      </c>
      <c r="G670">
        <f t="shared" si="65"/>
        <v>99.973589770976147</v>
      </c>
      <c r="H670">
        <f t="shared" si="66"/>
        <v>6.0504655021287324E-3</v>
      </c>
      <c r="I670">
        <f t="shared" si="67"/>
        <v>6.0104655021287322E-3</v>
      </c>
      <c r="K670">
        <f t="shared" si="68"/>
        <v>0</v>
      </c>
      <c r="L670">
        <f t="shared" si="69"/>
        <v>6.7771084337331366E-4</v>
      </c>
      <c r="M670">
        <f t="shared" si="70"/>
        <v>-1.6363041343951945E-3</v>
      </c>
    </row>
    <row r="671" spans="1:13" x14ac:dyDescent="0.3">
      <c r="A671" s="3">
        <v>42972</v>
      </c>
      <c r="B671" s="8">
        <v>10.699259619999999</v>
      </c>
      <c r="C671" s="8">
        <v>131.68</v>
      </c>
      <c r="D671" s="8">
        <v>91.89</v>
      </c>
      <c r="E671">
        <v>4.0000000000000003E-5</v>
      </c>
      <c r="G671">
        <f t="shared" si="65"/>
        <v>99.787314692006049</v>
      </c>
      <c r="H671">
        <f t="shared" si="66"/>
        <v>-1.8632428764119302E-3</v>
      </c>
      <c r="I671">
        <f t="shared" si="67"/>
        <v>-1.9032428764119303E-3</v>
      </c>
      <c r="K671">
        <f t="shared" si="68"/>
        <v>1.0270774976657293E-2</v>
      </c>
      <c r="L671">
        <f t="shared" si="69"/>
        <v>-9.1052750395061999E-3</v>
      </c>
      <c r="M671">
        <f t="shared" si="70"/>
        <v>4.0428321678322998E-3</v>
      </c>
    </row>
    <row r="672" spans="1:13" x14ac:dyDescent="0.3">
      <c r="A672" s="3">
        <v>42975</v>
      </c>
      <c r="B672" s="8">
        <v>10.669594389999999</v>
      </c>
      <c r="C672" s="8">
        <v>131.74</v>
      </c>
      <c r="D672" s="8">
        <v>91.6</v>
      </c>
      <c r="E672">
        <v>4.0000000000000003E-5</v>
      </c>
      <c r="G672">
        <f t="shared" si="65"/>
        <v>99.875823646044608</v>
      </c>
      <c r="H672">
        <f t="shared" si="66"/>
        <v>8.869760080401079E-4</v>
      </c>
      <c r="I672">
        <f t="shared" si="67"/>
        <v>8.469760080401079E-4</v>
      </c>
      <c r="K672">
        <f t="shared" si="68"/>
        <v>-2.7726432532347856E-3</v>
      </c>
      <c r="L672">
        <f t="shared" si="69"/>
        <v>4.5565006075332093E-4</v>
      </c>
      <c r="M672">
        <f t="shared" si="70"/>
        <v>-3.1559473283274686E-3</v>
      </c>
    </row>
    <row r="673" spans="1:13" x14ac:dyDescent="0.3">
      <c r="A673" s="3">
        <v>42976</v>
      </c>
      <c r="B673" s="8">
        <v>10.71903644</v>
      </c>
      <c r="C673" s="8">
        <v>132.21</v>
      </c>
      <c r="D673" s="8">
        <v>91.1</v>
      </c>
      <c r="E673">
        <v>4.0000000000000003E-5</v>
      </c>
      <c r="G673">
        <f t="shared" si="65"/>
        <v>100.02827507200945</v>
      </c>
      <c r="H673">
        <f t="shared" si="66"/>
        <v>1.5264096995597498E-3</v>
      </c>
      <c r="I673">
        <f t="shared" si="67"/>
        <v>1.4864096995597497E-3</v>
      </c>
      <c r="K673">
        <f t="shared" si="68"/>
        <v>4.6339202965710591E-3</v>
      </c>
      <c r="L673">
        <f t="shared" si="69"/>
        <v>3.567633216942534E-3</v>
      </c>
      <c r="M673">
        <f t="shared" si="70"/>
        <v>-5.4585152838427797E-3</v>
      </c>
    </row>
    <row r="674" spans="1:13" x14ac:dyDescent="0.3">
      <c r="A674" s="3">
        <v>42977</v>
      </c>
      <c r="B674" s="8">
        <v>10.817920539999999</v>
      </c>
      <c r="C674" s="8">
        <v>131.07</v>
      </c>
      <c r="D674" s="8">
        <v>91.31</v>
      </c>
      <c r="E674">
        <v>4.0000000000000003E-5</v>
      </c>
      <c r="G674">
        <f t="shared" si="65"/>
        <v>99.73600831212481</v>
      </c>
      <c r="H674">
        <f t="shared" si="66"/>
        <v>-2.9218414460735476E-3</v>
      </c>
      <c r="I674">
        <f t="shared" si="67"/>
        <v>-2.9618414460735477E-3</v>
      </c>
      <c r="K674">
        <f t="shared" si="68"/>
        <v>9.2250922509224953E-3</v>
      </c>
      <c r="L674">
        <f t="shared" si="69"/>
        <v>-8.6226457907875309E-3</v>
      </c>
      <c r="M674">
        <f t="shared" si="70"/>
        <v>2.3051591657519133E-3</v>
      </c>
    </row>
    <row r="675" spans="1:13" x14ac:dyDescent="0.3">
      <c r="A675" s="3">
        <v>42978</v>
      </c>
      <c r="B675" s="8">
        <v>10.906916229999998</v>
      </c>
      <c r="C675" s="8">
        <v>132.37</v>
      </c>
      <c r="D675" s="8">
        <v>90.89</v>
      </c>
      <c r="E675">
        <v>4.0000000000000003E-5</v>
      </c>
      <c r="G675">
        <f t="shared" si="65"/>
        <v>100.42777713939795</v>
      </c>
      <c r="H675">
        <f t="shared" si="66"/>
        <v>6.9359987328572181E-3</v>
      </c>
      <c r="I675">
        <f t="shared" si="67"/>
        <v>6.895998732857218E-3</v>
      </c>
      <c r="K675">
        <f t="shared" si="68"/>
        <v>8.2266910420474293E-3</v>
      </c>
      <c r="L675">
        <f t="shared" si="69"/>
        <v>9.918364232852861E-3</v>
      </c>
      <c r="M675">
        <f t="shared" si="70"/>
        <v>-4.5997152557223364E-3</v>
      </c>
    </row>
    <row r="676" spans="1:13" x14ac:dyDescent="0.3">
      <c r="A676" s="3">
        <v>42979</v>
      </c>
      <c r="B676" s="8">
        <v>11.223345349999999</v>
      </c>
      <c r="C676" s="8">
        <v>131.03</v>
      </c>
      <c r="D676" s="8">
        <v>91.7</v>
      </c>
      <c r="E676">
        <v>5.0000000000000002E-5</v>
      </c>
      <c r="G676">
        <f t="shared" si="65"/>
        <v>100.11413603262022</v>
      </c>
      <c r="H676">
        <f t="shared" si="66"/>
        <v>-3.1230513679734173E-3</v>
      </c>
      <c r="I676">
        <f t="shared" si="67"/>
        <v>-3.1730513679734174E-3</v>
      </c>
      <c r="K676">
        <f t="shared" si="68"/>
        <v>2.901178603807808E-2</v>
      </c>
      <c r="L676">
        <f t="shared" si="69"/>
        <v>-1.0123139684218518E-2</v>
      </c>
      <c r="M676">
        <f t="shared" si="70"/>
        <v>8.9118714930136456E-3</v>
      </c>
    </row>
    <row r="677" spans="1:13" x14ac:dyDescent="0.3">
      <c r="A677" s="3">
        <v>42983</v>
      </c>
      <c r="B677" s="8">
        <v>11.233233759999999</v>
      </c>
      <c r="C677" s="8">
        <v>129.9</v>
      </c>
      <c r="D677" s="8">
        <v>89.51</v>
      </c>
      <c r="E677">
        <v>5.0000000000000002E-5</v>
      </c>
      <c r="G677">
        <f t="shared" si="65"/>
        <v>98.663033705556387</v>
      </c>
      <c r="H677">
        <f t="shared" si="66"/>
        <v>-1.4494479846392738E-2</v>
      </c>
      <c r="I677">
        <f t="shared" si="67"/>
        <v>-1.4544479846392738E-2</v>
      </c>
      <c r="K677">
        <f t="shared" si="68"/>
        <v>8.8105726872256263E-4</v>
      </c>
      <c r="L677">
        <f t="shared" si="69"/>
        <v>-8.6239792413950189E-3</v>
      </c>
      <c r="M677">
        <f t="shared" si="70"/>
        <v>-2.3882224645583428E-2</v>
      </c>
    </row>
    <row r="678" spans="1:13" x14ac:dyDescent="0.3">
      <c r="A678" s="3">
        <v>42984</v>
      </c>
      <c r="B678" s="8">
        <v>11.3716715</v>
      </c>
      <c r="C678" s="8">
        <v>130.66999999999999</v>
      </c>
      <c r="D678" s="8">
        <v>90.11</v>
      </c>
      <c r="E678">
        <v>5.0000000000000002E-5</v>
      </c>
      <c r="G678">
        <f t="shared" si="65"/>
        <v>100.68898224268357</v>
      </c>
      <c r="H678">
        <f t="shared" si="66"/>
        <v>2.0534018274496635E-2</v>
      </c>
      <c r="I678">
        <f t="shared" si="67"/>
        <v>2.0484018274496633E-2</v>
      </c>
      <c r="K678">
        <f t="shared" si="68"/>
        <v>1.2323943661971981E-2</v>
      </c>
      <c r="L678">
        <f t="shared" si="69"/>
        <v>5.9276366435718764E-3</v>
      </c>
      <c r="M678">
        <f t="shared" si="70"/>
        <v>6.7031616579151798E-3</v>
      </c>
    </row>
    <row r="679" spans="1:13" x14ac:dyDescent="0.3">
      <c r="A679" s="3">
        <v>42985</v>
      </c>
      <c r="B679" s="8">
        <v>11.2727874</v>
      </c>
      <c r="C679" s="8">
        <v>132.19</v>
      </c>
      <c r="D679" s="8">
        <v>88.53</v>
      </c>
      <c r="E679">
        <v>5.0000000000000002E-5</v>
      </c>
      <c r="G679">
        <f t="shared" si="65"/>
        <v>99.852628916454805</v>
      </c>
      <c r="H679">
        <f t="shared" si="66"/>
        <v>-8.3063043006329496E-3</v>
      </c>
      <c r="I679">
        <f t="shared" si="67"/>
        <v>-8.3563043006329493E-3</v>
      </c>
      <c r="K679">
        <f t="shared" si="68"/>
        <v>-8.6956521739129933E-3</v>
      </c>
      <c r="L679">
        <f t="shared" si="69"/>
        <v>1.1632356317440973E-2</v>
      </c>
      <c r="M679">
        <f t="shared" si="70"/>
        <v>-1.7534124958384134E-2</v>
      </c>
    </row>
    <row r="680" spans="1:13" x14ac:dyDescent="0.3">
      <c r="A680" s="3">
        <v>42986</v>
      </c>
      <c r="B680" s="8">
        <v>11.233233759999999</v>
      </c>
      <c r="C680" s="8">
        <v>130.97999999999999</v>
      </c>
      <c r="D680" s="8">
        <v>88.42</v>
      </c>
      <c r="E680">
        <v>5.0000000000000002E-5</v>
      </c>
      <c r="G680">
        <f t="shared" si="65"/>
        <v>99.44150689740367</v>
      </c>
      <c r="H680">
        <f t="shared" si="66"/>
        <v>-4.117287882276166E-3</v>
      </c>
      <c r="I680">
        <f t="shared" si="67"/>
        <v>-4.1672878822761657E-3</v>
      </c>
      <c r="K680">
        <f t="shared" si="68"/>
        <v>-3.5087719298246833E-3</v>
      </c>
      <c r="L680">
        <f t="shared" si="69"/>
        <v>-9.1534911869279867E-3</v>
      </c>
      <c r="M680">
        <f t="shared" si="70"/>
        <v>-1.2425166610188221E-3</v>
      </c>
    </row>
    <row r="681" spans="1:13" x14ac:dyDescent="0.3">
      <c r="A681" s="3">
        <v>42989</v>
      </c>
      <c r="B681" s="8">
        <v>11.282675810000001</v>
      </c>
      <c r="C681" s="8">
        <v>133.21</v>
      </c>
      <c r="D681" s="8">
        <v>89.79</v>
      </c>
      <c r="E681">
        <v>5.0000000000000002E-5</v>
      </c>
      <c r="G681">
        <f t="shared" si="65"/>
        <v>101.51262342277035</v>
      </c>
      <c r="H681">
        <f t="shared" si="66"/>
        <v>2.0827485322638006E-2</v>
      </c>
      <c r="I681">
        <f t="shared" si="67"/>
        <v>2.0777485322638005E-2</v>
      </c>
      <c r="K681">
        <f t="shared" si="68"/>
        <v>4.4014084507042472E-3</v>
      </c>
      <c r="L681">
        <f t="shared" si="69"/>
        <v>1.7025500076347733E-2</v>
      </c>
      <c r="M681">
        <f t="shared" si="70"/>
        <v>1.5494232074191316E-2</v>
      </c>
    </row>
    <row r="682" spans="1:13" x14ac:dyDescent="0.3">
      <c r="A682" s="3">
        <v>42990</v>
      </c>
      <c r="B682" s="8">
        <v>11.460667189999999</v>
      </c>
      <c r="C682" s="8">
        <v>132.63</v>
      </c>
      <c r="D682" s="8">
        <v>90.89</v>
      </c>
      <c r="E682">
        <v>5.0000000000000002E-5</v>
      </c>
      <c r="G682">
        <f t="shared" si="65"/>
        <v>100.40041767951737</v>
      </c>
      <c r="H682">
        <f t="shared" si="66"/>
        <v>-1.0956329427335931E-2</v>
      </c>
      <c r="I682">
        <f t="shared" si="67"/>
        <v>-1.1006329427335931E-2</v>
      </c>
      <c r="K682">
        <f t="shared" si="68"/>
        <v>1.5775635407537125E-2</v>
      </c>
      <c r="L682">
        <f t="shared" si="69"/>
        <v>-4.3540274754148012E-3</v>
      </c>
      <c r="M682">
        <f t="shared" si="70"/>
        <v>1.225080743958129E-2</v>
      </c>
    </row>
    <row r="683" spans="1:13" x14ac:dyDescent="0.3">
      <c r="A683" s="3">
        <v>42991</v>
      </c>
      <c r="B683" s="8">
        <v>11.49033242</v>
      </c>
      <c r="C683" s="8">
        <v>132.44999999999999</v>
      </c>
      <c r="D683" s="8">
        <v>91.15</v>
      </c>
      <c r="E683">
        <v>5.0000000000000002E-5</v>
      </c>
      <c r="G683">
        <f t="shared" si="65"/>
        <v>100.06435347918345</v>
      </c>
      <c r="H683">
        <f t="shared" si="66"/>
        <v>-3.3472390663418228E-3</v>
      </c>
      <c r="I683">
        <f t="shared" si="67"/>
        <v>-3.3972390663418229E-3</v>
      </c>
      <c r="K683">
        <f t="shared" si="68"/>
        <v>2.5884383088869978E-3</v>
      </c>
      <c r="L683">
        <f t="shared" si="69"/>
        <v>-1.3571590137978484E-3</v>
      </c>
      <c r="M683">
        <f t="shared" si="70"/>
        <v>2.8606007261524624E-3</v>
      </c>
    </row>
    <row r="684" spans="1:13" x14ac:dyDescent="0.3">
      <c r="A684" s="3">
        <v>42992</v>
      </c>
      <c r="B684" s="8">
        <v>11.43100196</v>
      </c>
      <c r="C684" s="8">
        <v>134.18</v>
      </c>
      <c r="D684" s="8">
        <v>90.97</v>
      </c>
      <c r="E684">
        <v>5.0000000000000002E-5</v>
      </c>
      <c r="G684">
        <f t="shared" si="65"/>
        <v>100.54931927594268</v>
      </c>
      <c r="H684">
        <f t="shared" si="66"/>
        <v>4.8465390510930018E-3</v>
      </c>
      <c r="I684">
        <f t="shared" si="67"/>
        <v>4.7965390510930021E-3</v>
      </c>
      <c r="K684">
        <f t="shared" si="68"/>
        <v>-5.1635111876076056E-3</v>
      </c>
      <c r="L684">
        <f t="shared" si="69"/>
        <v>1.3061532653831698E-2</v>
      </c>
      <c r="M684">
        <f t="shared" si="70"/>
        <v>-1.9747668678004038E-3</v>
      </c>
    </row>
    <row r="685" spans="1:13" x14ac:dyDescent="0.3">
      <c r="A685" s="3">
        <v>42993</v>
      </c>
      <c r="B685" s="8">
        <v>11.49033242</v>
      </c>
      <c r="C685" s="8">
        <v>134.44999999999999</v>
      </c>
      <c r="D685" s="8">
        <v>91.62</v>
      </c>
      <c r="E685">
        <v>5.0000000000000002E-5</v>
      </c>
      <c r="G685">
        <f t="shared" si="65"/>
        <v>100.42768901588677</v>
      </c>
      <c r="H685">
        <f t="shared" si="66"/>
        <v>-1.2096577175436662E-3</v>
      </c>
      <c r="I685">
        <f t="shared" si="67"/>
        <v>-1.2596577175436662E-3</v>
      </c>
      <c r="K685">
        <f t="shared" si="68"/>
        <v>5.1903114186850896E-3</v>
      </c>
      <c r="L685">
        <f t="shared" si="69"/>
        <v>2.0122223878371592E-3</v>
      </c>
      <c r="M685">
        <f t="shared" si="70"/>
        <v>7.1452127074860261E-3</v>
      </c>
    </row>
    <row r="686" spans="1:13" x14ac:dyDescent="0.3">
      <c r="A686" s="3">
        <v>42996</v>
      </c>
      <c r="B686" s="8">
        <v>11.50022083</v>
      </c>
      <c r="C686" s="8">
        <v>135.38</v>
      </c>
      <c r="D686" s="8">
        <v>92.92</v>
      </c>
      <c r="E686">
        <v>5.0000000000000002E-5</v>
      </c>
      <c r="G686">
        <f t="shared" si="65"/>
        <v>100.90188533261959</v>
      </c>
      <c r="H686">
        <f t="shared" si="66"/>
        <v>4.721768681322569E-3</v>
      </c>
      <c r="I686">
        <f t="shared" si="67"/>
        <v>4.6717686813225693E-3</v>
      </c>
      <c r="K686">
        <f t="shared" si="68"/>
        <v>8.6058519793463795E-4</v>
      </c>
      <c r="L686">
        <f t="shared" si="69"/>
        <v>6.917069542580867E-3</v>
      </c>
      <c r="M686">
        <f t="shared" si="70"/>
        <v>1.4189041693953186E-2</v>
      </c>
    </row>
    <row r="687" spans="1:13" x14ac:dyDescent="0.3">
      <c r="A687" s="3">
        <v>42997</v>
      </c>
      <c r="B687" s="8">
        <v>11.589216520000001</v>
      </c>
      <c r="C687" s="8">
        <v>135.22</v>
      </c>
      <c r="D687" s="8">
        <v>93.94</v>
      </c>
      <c r="E687">
        <v>5.0000000000000002E-5</v>
      </c>
      <c r="G687">
        <f t="shared" si="65"/>
        <v>100.43285990924869</v>
      </c>
      <c r="H687">
        <f t="shared" si="66"/>
        <v>-4.6483316126826324E-3</v>
      </c>
      <c r="I687">
        <f t="shared" si="67"/>
        <v>-4.6983316126826321E-3</v>
      </c>
      <c r="K687">
        <f t="shared" si="68"/>
        <v>7.7386070507310389E-3</v>
      </c>
      <c r="L687">
        <f t="shared" si="69"/>
        <v>-1.1818584724478942E-3</v>
      </c>
      <c r="M687">
        <f t="shared" si="70"/>
        <v>1.0977184674989093E-2</v>
      </c>
    </row>
    <row r="688" spans="1:13" x14ac:dyDescent="0.3">
      <c r="A688" s="3">
        <v>42998</v>
      </c>
      <c r="B688" s="8">
        <v>11.579328110000001</v>
      </c>
      <c r="C688" s="8">
        <v>133.22</v>
      </c>
      <c r="D688" s="8">
        <v>94.6</v>
      </c>
      <c r="E688">
        <v>5.0000000000000002E-5</v>
      </c>
      <c r="G688">
        <f t="shared" si="65"/>
        <v>99.487972904309615</v>
      </c>
      <c r="H688">
        <f t="shared" si="66"/>
        <v>-9.4081459573378545E-3</v>
      </c>
      <c r="I688">
        <f t="shared" si="67"/>
        <v>-9.4581459573378542E-3</v>
      </c>
      <c r="K688">
        <f t="shared" si="68"/>
        <v>-8.5324232081918083E-4</v>
      </c>
      <c r="L688">
        <f t="shared" si="69"/>
        <v>-1.4790711433219972E-2</v>
      </c>
      <c r="M688">
        <f t="shared" si="70"/>
        <v>7.0257611241217877E-3</v>
      </c>
    </row>
    <row r="689" spans="1:13" x14ac:dyDescent="0.3">
      <c r="A689" s="3">
        <v>42999</v>
      </c>
      <c r="B689" s="8">
        <v>11.589216520000001</v>
      </c>
      <c r="C689" s="8">
        <v>131.75</v>
      </c>
      <c r="D689" s="8">
        <v>95.03</v>
      </c>
      <c r="E689">
        <v>5.0000000000000002E-5</v>
      </c>
      <c r="G689">
        <f t="shared" si="65"/>
        <v>99.607439797727125</v>
      </c>
      <c r="H689">
        <f t="shared" si="66"/>
        <v>1.2008174448625564E-3</v>
      </c>
      <c r="I689">
        <f t="shared" si="67"/>
        <v>1.1508174448625565E-3</v>
      </c>
      <c r="K689">
        <f t="shared" si="68"/>
        <v>8.5397096498729397E-4</v>
      </c>
      <c r="L689">
        <f t="shared" si="69"/>
        <v>-1.1034379222338964E-2</v>
      </c>
      <c r="M689">
        <f t="shared" si="70"/>
        <v>4.5454545454546302E-3</v>
      </c>
    </row>
    <row r="690" spans="1:13" x14ac:dyDescent="0.3">
      <c r="A690" s="3">
        <v>43000</v>
      </c>
      <c r="B690" s="8">
        <v>11.707877439999999</v>
      </c>
      <c r="C690" s="8">
        <v>131.38999999999999</v>
      </c>
      <c r="D690" s="8">
        <v>94.83</v>
      </c>
      <c r="E690">
        <v>5.0000000000000002E-5</v>
      </c>
      <c r="G690">
        <f t="shared" si="65"/>
        <v>99.886324641284389</v>
      </c>
      <c r="H690">
        <f t="shared" si="66"/>
        <v>2.7998394911423752E-3</v>
      </c>
      <c r="I690">
        <f t="shared" si="67"/>
        <v>2.749839491142375E-3</v>
      </c>
      <c r="K690">
        <f t="shared" si="68"/>
        <v>1.0238907849829282E-2</v>
      </c>
      <c r="L690">
        <f t="shared" si="69"/>
        <v>-2.7324478178368805E-3</v>
      </c>
      <c r="M690">
        <f t="shared" si="70"/>
        <v>-2.1045985478270746E-3</v>
      </c>
    </row>
    <row r="691" spans="1:13" x14ac:dyDescent="0.3">
      <c r="A691" s="3">
        <v>43003</v>
      </c>
      <c r="B691" s="8">
        <v>11.806761539999998</v>
      </c>
      <c r="C691" s="8">
        <v>131.16999999999999</v>
      </c>
      <c r="D691" s="8">
        <v>94.12</v>
      </c>
      <c r="E691">
        <v>5.0000000000000002E-5</v>
      </c>
      <c r="G691">
        <f t="shared" si="65"/>
        <v>99.719886175569926</v>
      </c>
      <c r="H691">
        <f t="shared" si="66"/>
        <v>-1.6662788055540334E-3</v>
      </c>
      <c r="I691">
        <f t="shared" si="67"/>
        <v>-1.7162788055540333E-3</v>
      </c>
      <c r="K691">
        <f t="shared" si="68"/>
        <v>8.4459459459458319E-3</v>
      </c>
      <c r="L691">
        <f t="shared" si="69"/>
        <v>-1.6744044447827289E-3</v>
      </c>
      <c r="M691">
        <f t="shared" si="70"/>
        <v>-7.4870821469997795E-3</v>
      </c>
    </row>
    <row r="692" spans="1:13" x14ac:dyDescent="0.3">
      <c r="A692" s="3">
        <v>43004</v>
      </c>
      <c r="B692" s="8">
        <v>11.79687313</v>
      </c>
      <c r="C692" s="8">
        <v>130.94</v>
      </c>
      <c r="D692" s="8">
        <v>93.7</v>
      </c>
      <c r="E692">
        <v>5.0000000000000002E-5</v>
      </c>
      <c r="G692">
        <f t="shared" si="65"/>
        <v>99.732314043475228</v>
      </c>
      <c r="H692">
        <f t="shared" si="66"/>
        <v>1.2462777869015618E-4</v>
      </c>
      <c r="I692">
        <f t="shared" si="67"/>
        <v>7.4627778690156181E-5</v>
      </c>
      <c r="K692">
        <f t="shared" si="68"/>
        <v>-8.3752093802336169E-4</v>
      </c>
      <c r="L692">
        <f t="shared" si="69"/>
        <v>-1.7534497217350786E-3</v>
      </c>
      <c r="M692">
        <f t="shared" si="70"/>
        <v>-4.4623884402890113E-3</v>
      </c>
    </row>
    <row r="693" spans="1:13" x14ac:dyDescent="0.3">
      <c r="A693" s="3">
        <v>43005</v>
      </c>
      <c r="B693" s="8">
        <v>11.816649949999999</v>
      </c>
      <c r="C693" s="8">
        <v>129.75</v>
      </c>
      <c r="D693" s="8">
        <v>95.18</v>
      </c>
      <c r="E693">
        <v>5.0000000000000002E-5</v>
      </c>
      <c r="G693">
        <f t="shared" si="65"/>
        <v>100.14038315443841</v>
      </c>
      <c r="H693">
        <f t="shared" si="66"/>
        <v>4.0916438656510845E-3</v>
      </c>
      <c r="I693">
        <f t="shared" si="67"/>
        <v>4.0416438656510848E-3</v>
      </c>
      <c r="K693">
        <f t="shared" si="68"/>
        <v>1.6764459346185756E-3</v>
      </c>
      <c r="L693">
        <f t="shared" si="69"/>
        <v>-9.0881319688406181E-3</v>
      </c>
      <c r="M693">
        <f t="shared" si="70"/>
        <v>1.5795090715048143E-2</v>
      </c>
    </row>
    <row r="694" spans="1:13" x14ac:dyDescent="0.3">
      <c r="A694" s="3">
        <v>43006</v>
      </c>
      <c r="B694" s="8">
        <v>11.826538360000001</v>
      </c>
      <c r="C694" s="8">
        <v>129.47</v>
      </c>
      <c r="D694" s="8">
        <v>95.38</v>
      </c>
      <c r="E694">
        <v>5.0000000000000002E-5</v>
      </c>
      <c r="G694">
        <f t="shared" si="65"/>
        <v>99.975867731524247</v>
      </c>
      <c r="H694">
        <f t="shared" si="66"/>
        <v>-1.6428479473704627E-3</v>
      </c>
      <c r="I694">
        <f t="shared" si="67"/>
        <v>-1.6928479473704626E-3</v>
      </c>
      <c r="K694">
        <f t="shared" si="68"/>
        <v>8.3682008368213268E-4</v>
      </c>
      <c r="L694">
        <f t="shared" si="69"/>
        <v>-2.1579961464354147E-3</v>
      </c>
      <c r="M694">
        <f t="shared" si="70"/>
        <v>2.1012817818868434E-3</v>
      </c>
    </row>
    <row r="695" spans="1:13" x14ac:dyDescent="0.3">
      <c r="A695" s="3">
        <v>43007</v>
      </c>
      <c r="B695" s="8">
        <v>11.836426770000001</v>
      </c>
      <c r="C695" s="8">
        <v>130.01</v>
      </c>
      <c r="D695" s="8">
        <v>95.51</v>
      </c>
      <c r="E695">
        <v>5.0000000000000002E-5</v>
      </c>
      <c r="G695">
        <f t="shared" si="65"/>
        <v>100.27647285835744</v>
      </c>
      <c r="H695">
        <f t="shared" si="66"/>
        <v>3.0067768717991772E-3</v>
      </c>
      <c r="I695">
        <f t="shared" si="67"/>
        <v>2.9567768717991771E-3</v>
      </c>
      <c r="K695">
        <f t="shared" si="68"/>
        <v>8.361204013378476E-4</v>
      </c>
      <c r="L695">
        <f t="shared" si="69"/>
        <v>4.1708503900517169E-3</v>
      </c>
      <c r="M695">
        <f t="shared" si="70"/>
        <v>1.3629691759280416E-3</v>
      </c>
    </row>
    <row r="696" spans="1:13" x14ac:dyDescent="0.3">
      <c r="A696" s="3">
        <v>43010</v>
      </c>
      <c r="B696" s="8">
        <v>11.955087689999999</v>
      </c>
      <c r="C696" s="8">
        <v>131.22</v>
      </c>
      <c r="D696" s="8">
        <v>96.84</v>
      </c>
      <c r="E696">
        <v>4.0000000000000003E-5</v>
      </c>
      <c r="G696">
        <f t="shared" si="65"/>
        <v>101.1120134541323</v>
      </c>
      <c r="H696">
        <f t="shared" si="66"/>
        <v>8.3323692184016362E-3</v>
      </c>
      <c r="I696">
        <f t="shared" si="67"/>
        <v>8.2923692184016361E-3</v>
      </c>
      <c r="K696">
        <f t="shared" si="68"/>
        <v>1.0025062656641381E-2</v>
      </c>
      <c r="L696">
        <f t="shared" si="69"/>
        <v>9.3069763864319643E-3</v>
      </c>
      <c r="M696">
        <f t="shared" si="70"/>
        <v>1.3925243430007228E-2</v>
      </c>
    </row>
    <row r="697" spans="1:13" x14ac:dyDescent="0.3">
      <c r="A697" s="3">
        <v>43011</v>
      </c>
      <c r="B697" s="8">
        <v>12.202297939999999</v>
      </c>
      <c r="C697" s="8">
        <v>132.1</v>
      </c>
      <c r="D697" s="8">
        <v>97.35</v>
      </c>
      <c r="E697">
        <v>4.0000000000000003E-5</v>
      </c>
      <c r="G697">
        <f t="shared" si="65"/>
        <v>100.7628747676889</v>
      </c>
      <c r="H697">
        <f t="shared" si="66"/>
        <v>-3.4529891604005991E-3</v>
      </c>
      <c r="I697">
        <f t="shared" si="67"/>
        <v>-3.4929891604005992E-3</v>
      </c>
      <c r="K697">
        <f t="shared" si="68"/>
        <v>2.0678246484698182E-2</v>
      </c>
      <c r="L697">
        <f t="shared" si="69"/>
        <v>6.7062947721383548E-3</v>
      </c>
      <c r="M697">
        <f t="shared" si="70"/>
        <v>5.2664188351920771E-3</v>
      </c>
    </row>
    <row r="698" spans="1:13" x14ac:dyDescent="0.3">
      <c r="A698" s="3">
        <v>43012</v>
      </c>
      <c r="B698" s="8">
        <v>12.1627443</v>
      </c>
      <c r="C698" s="8">
        <v>132.88999999999999</v>
      </c>
      <c r="D698" s="8">
        <v>96.36</v>
      </c>
      <c r="E698">
        <v>4.0000000000000003E-5</v>
      </c>
      <c r="G698">
        <f t="shared" si="65"/>
        <v>99.893651275958774</v>
      </c>
      <c r="H698">
        <f t="shared" si="66"/>
        <v>-8.6264260893125222E-3</v>
      </c>
      <c r="I698">
        <f t="shared" si="67"/>
        <v>-8.6664260893125223E-3</v>
      </c>
      <c r="K698">
        <f t="shared" si="68"/>
        <v>-3.2414910858994395E-3</v>
      </c>
      <c r="L698">
        <f t="shared" si="69"/>
        <v>5.9803179409536611E-3</v>
      </c>
      <c r="M698">
        <f t="shared" si="70"/>
        <v>-1.016949152542368E-2</v>
      </c>
    </row>
    <row r="699" spans="1:13" x14ac:dyDescent="0.3">
      <c r="A699" s="3">
        <v>43013</v>
      </c>
      <c r="B699" s="8">
        <v>12.11330225</v>
      </c>
      <c r="C699" s="8">
        <v>133.19</v>
      </c>
      <c r="D699" s="8">
        <v>97.09</v>
      </c>
      <c r="E699">
        <v>4.0000000000000003E-5</v>
      </c>
      <c r="G699">
        <f t="shared" si="65"/>
        <v>100.35962009416546</v>
      </c>
      <c r="H699">
        <f t="shared" si="66"/>
        <v>4.6646489767345756E-3</v>
      </c>
      <c r="I699">
        <f t="shared" si="67"/>
        <v>4.6246489767345755E-3</v>
      </c>
      <c r="K699">
        <f t="shared" si="68"/>
        <v>-4.0650406504064707E-3</v>
      </c>
      <c r="L699">
        <f t="shared" si="69"/>
        <v>2.2575062081422459E-3</v>
      </c>
      <c r="M699">
        <f t="shared" si="70"/>
        <v>7.575757575757569E-3</v>
      </c>
    </row>
    <row r="700" spans="1:13" x14ac:dyDescent="0.3">
      <c r="A700" s="3">
        <v>43014</v>
      </c>
      <c r="B700" s="8">
        <v>12.17263271</v>
      </c>
      <c r="C700" s="8">
        <v>133.22</v>
      </c>
      <c r="D700" s="8">
        <v>96.92</v>
      </c>
      <c r="E700">
        <v>4.0000000000000003E-5</v>
      </c>
      <c r="G700">
        <f t="shared" si="65"/>
        <v>99.997129140616025</v>
      </c>
      <c r="H700">
        <f t="shared" si="66"/>
        <v>-3.6119203441515868E-3</v>
      </c>
      <c r="I700">
        <f t="shared" si="67"/>
        <v>-3.6519203441515869E-3</v>
      </c>
      <c r="K700">
        <f t="shared" si="68"/>
        <v>4.8979591836735281E-3</v>
      </c>
      <c r="L700">
        <f t="shared" si="69"/>
        <v>2.252421352955114E-4</v>
      </c>
      <c r="M700">
        <f t="shared" si="70"/>
        <v>-1.7509527242764999E-3</v>
      </c>
    </row>
    <row r="701" spans="1:13" x14ac:dyDescent="0.3">
      <c r="A701" s="3">
        <v>43017</v>
      </c>
      <c r="B701" s="8">
        <v>12.202297939999999</v>
      </c>
      <c r="C701" s="8">
        <v>133.44999999999999</v>
      </c>
      <c r="D701" s="8">
        <v>96.41</v>
      </c>
      <c r="E701">
        <v>4.0000000000000003E-5</v>
      </c>
      <c r="G701">
        <f t="shared" si="65"/>
        <v>99.917107875498886</v>
      </c>
      <c r="H701">
        <f t="shared" si="66"/>
        <v>-8.0023562481090771E-4</v>
      </c>
      <c r="I701">
        <f t="shared" si="67"/>
        <v>-8.4023562481090771E-4</v>
      </c>
      <c r="K701">
        <f t="shared" si="68"/>
        <v>2.4370430544271571E-3</v>
      </c>
      <c r="L701">
        <f t="shared" si="69"/>
        <v>1.7264674973727079E-3</v>
      </c>
      <c r="M701">
        <f t="shared" si="70"/>
        <v>-5.2620718118036036E-3</v>
      </c>
    </row>
    <row r="702" spans="1:13" x14ac:dyDescent="0.3">
      <c r="A702" s="3">
        <v>43018</v>
      </c>
      <c r="B702" s="8">
        <v>12.251739990000001</v>
      </c>
      <c r="C702" s="8">
        <v>133.9</v>
      </c>
      <c r="D702" s="8">
        <v>97.13</v>
      </c>
      <c r="E702">
        <v>4.0000000000000003E-5</v>
      </c>
      <c r="G702">
        <f t="shared" si="65"/>
        <v>100.49846830987836</v>
      </c>
      <c r="H702">
        <f t="shared" si="66"/>
        <v>5.8184273618475668E-3</v>
      </c>
      <c r="I702">
        <f t="shared" si="67"/>
        <v>5.7784273618475667E-3</v>
      </c>
      <c r="K702">
        <f t="shared" si="68"/>
        <v>4.0518638573745491E-3</v>
      </c>
      <c r="L702">
        <f t="shared" si="69"/>
        <v>3.3720494567255344E-3</v>
      </c>
      <c r="M702">
        <f t="shared" si="70"/>
        <v>7.4681049683642531E-3</v>
      </c>
    </row>
    <row r="703" spans="1:13" x14ac:dyDescent="0.3">
      <c r="A703" s="3">
        <v>43019</v>
      </c>
      <c r="B703" s="8">
        <v>12.241851580000001</v>
      </c>
      <c r="C703" s="8">
        <v>136.65</v>
      </c>
      <c r="D703" s="8">
        <v>96.84</v>
      </c>
      <c r="E703">
        <v>4.0000000000000003E-5</v>
      </c>
      <c r="G703">
        <f t="shared" si="65"/>
        <v>100.94486312555379</v>
      </c>
      <c r="H703">
        <f t="shared" si="66"/>
        <v>4.4418071556973082E-3</v>
      </c>
      <c r="I703">
        <f t="shared" si="67"/>
        <v>4.4018071556973081E-3</v>
      </c>
      <c r="K703">
        <f t="shared" si="68"/>
        <v>-8.0710250201776468E-4</v>
      </c>
      <c r="L703">
        <f t="shared" si="69"/>
        <v>2.05377147124719E-2</v>
      </c>
      <c r="M703">
        <f t="shared" si="70"/>
        <v>-2.9856892824049464E-3</v>
      </c>
    </row>
    <row r="704" spans="1:13" x14ac:dyDescent="0.3">
      <c r="A704" s="3">
        <v>43020</v>
      </c>
      <c r="B704" s="8">
        <v>11.984752919999998</v>
      </c>
      <c r="C704" s="8">
        <v>136.83000000000001</v>
      </c>
      <c r="D704" s="8">
        <v>95.99</v>
      </c>
      <c r="E704">
        <v>4.0000000000000003E-5</v>
      </c>
      <c r="G704">
        <f t="shared" si="65"/>
        <v>99.51794661573426</v>
      </c>
      <c r="H704">
        <f t="shared" si="66"/>
        <v>-1.4135602997893626E-2</v>
      </c>
      <c r="I704">
        <f t="shared" si="67"/>
        <v>-1.4175602997893626E-2</v>
      </c>
      <c r="K704">
        <f t="shared" si="68"/>
        <v>-2.1001615508885463E-2</v>
      </c>
      <c r="L704">
        <f t="shared" si="69"/>
        <v>1.3172338090010616E-3</v>
      </c>
      <c r="M704">
        <f t="shared" si="70"/>
        <v>-8.7773647253202025E-3</v>
      </c>
    </row>
    <row r="705" spans="1:13" x14ac:dyDescent="0.3">
      <c r="A705" s="3">
        <v>43021</v>
      </c>
      <c r="B705" s="8">
        <v>11.91553405</v>
      </c>
      <c r="C705" s="8">
        <v>136.43</v>
      </c>
      <c r="D705" s="8">
        <v>95.86</v>
      </c>
      <c r="E705">
        <v>4.0000000000000003E-5</v>
      </c>
      <c r="G705">
        <f t="shared" si="65"/>
        <v>99.736818407660024</v>
      </c>
      <c r="H705">
        <f t="shared" si="66"/>
        <v>2.1993198148559934E-3</v>
      </c>
      <c r="I705">
        <f t="shared" si="67"/>
        <v>2.1593198148559933E-3</v>
      </c>
      <c r="K705">
        <f t="shared" si="68"/>
        <v>-5.7755775577555957E-3</v>
      </c>
      <c r="L705">
        <f t="shared" si="69"/>
        <v>-2.9233355258350135E-3</v>
      </c>
      <c r="M705">
        <f t="shared" si="70"/>
        <v>-1.354307740389582E-3</v>
      </c>
    </row>
    <row r="706" spans="1:13" x14ac:dyDescent="0.3">
      <c r="A706" s="3">
        <v>43024</v>
      </c>
      <c r="B706" s="8">
        <v>11.984752919999998</v>
      </c>
      <c r="C706" s="8">
        <v>136.12</v>
      </c>
      <c r="D706" s="8">
        <v>97.84</v>
      </c>
      <c r="E706">
        <v>4.0000000000000003E-5</v>
      </c>
      <c r="G706">
        <f t="shared" si="65"/>
        <v>100.72025131118392</v>
      </c>
      <c r="H706">
        <f t="shared" si="66"/>
        <v>9.8602794757725043E-3</v>
      </c>
      <c r="I706">
        <f t="shared" si="67"/>
        <v>9.8202794757725042E-3</v>
      </c>
      <c r="K706">
        <f t="shared" si="68"/>
        <v>5.8091286307053736E-3</v>
      </c>
      <c r="L706">
        <f t="shared" si="69"/>
        <v>-2.2722275159422489E-3</v>
      </c>
      <c r="M706">
        <f t="shared" si="70"/>
        <v>2.0655122052994024E-2</v>
      </c>
    </row>
    <row r="707" spans="1:13" x14ac:dyDescent="0.3">
      <c r="A707" s="3">
        <v>43025</v>
      </c>
      <c r="B707" s="8">
        <v>12.133079069999999</v>
      </c>
      <c r="C707" s="8">
        <v>140.79</v>
      </c>
      <c r="D707" s="8">
        <v>97.62</v>
      </c>
      <c r="E707">
        <v>4.0000000000000003E-5</v>
      </c>
      <c r="G707">
        <f t="shared" si="65"/>
        <v>101.82528713037497</v>
      </c>
      <c r="H707">
        <f t="shared" si="66"/>
        <v>1.0971336993361502E-2</v>
      </c>
      <c r="I707">
        <f t="shared" si="67"/>
        <v>1.0931336993361502E-2</v>
      </c>
      <c r="K707">
        <f t="shared" si="68"/>
        <v>1.2376237623762387E-2</v>
      </c>
      <c r="L707">
        <f t="shared" si="69"/>
        <v>3.4307963561563293E-2</v>
      </c>
      <c r="M707">
        <f t="shared" si="70"/>
        <v>-2.2485690923957913E-3</v>
      </c>
    </row>
    <row r="708" spans="1:13" x14ac:dyDescent="0.3">
      <c r="A708" s="3">
        <v>43026</v>
      </c>
      <c r="B708" s="8">
        <v>12.053971789999999</v>
      </c>
      <c r="C708" s="8">
        <v>140.68</v>
      </c>
      <c r="D708" s="8">
        <v>97.99</v>
      </c>
      <c r="E708">
        <v>4.0000000000000003E-5</v>
      </c>
      <c r="G708">
        <f t="shared" si="65"/>
        <v>100.03375762456939</v>
      </c>
      <c r="H708">
        <f t="shared" si="66"/>
        <v>-1.7594151279060499E-2</v>
      </c>
      <c r="I708">
        <f t="shared" si="67"/>
        <v>-1.7634151279060498E-2</v>
      </c>
      <c r="K708">
        <f t="shared" si="68"/>
        <v>-6.5199674001630292E-3</v>
      </c>
      <c r="L708">
        <f t="shared" si="69"/>
        <v>-7.8130549044663766E-4</v>
      </c>
      <c r="M708">
        <f t="shared" si="70"/>
        <v>3.7902069248103576E-3</v>
      </c>
    </row>
    <row r="709" spans="1:13" x14ac:dyDescent="0.3">
      <c r="A709" s="3">
        <v>43027</v>
      </c>
      <c r="B709" s="8">
        <v>12.09352543</v>
      </c>
      <c r="C709" s="8">
        <v>142.04</v>
      </c>
      <c r="D709" s="8">
        <v>98.11</v>
      </c>
      <c r="E709">
        <v>4.0000000000000003E-5</v>
      </c>
      <c r="G709">
        <f t="shared" ref="G709:G772" si="71">$G$4*(B709*$P$8/B708 + C709*$Q$8/C708 + D709*$R$8/D708)</f>
        <v>100.58209875438091</v>
      </c>
      <c r="H709">
        <f t="shared" ref="H709:H772" si="72">G709/G708-1</f>
        <v>5.4815608533818061E-3</v>
      </c>
      <c r="I709">
        <f t="shared" si="67"/>
        <v>5.441560853381806E-3</v>
      </c>
      <c r="K709">
        <f t="shared" si="68"/>
        <v>3.2813781788352259E-3</v>
      </c>
      <c r="L709">
        <f t="shared" si="69"/>
        <v>9.6673301108898269E-3</v>
      </c>
      <c r="M709">
        <f t="shared" si="70"/>
        <v>1.2246147566079557E-3</v>
      </c>
    </row>
    <row r="710" spans="1:13" x14ac:dyDescent="0.3">
      <c r="A710" s="3">
        <v>43028</v>
      </c>
      <c r="B710" s="8">
        <v>11.964976099999999</v>
      </c>
      <c r="C710" s="8">
        <v>142.4</v>
      </c>
      <c r="D710" s="8">
        <v>99.51</v>
      </c>
      <c r="E710">
        <v>4.0000000000000003E-5</v>
      </c>
      <c r="G710">
        <f t="shared" si="71"/>
        <v>100.55709450623253</v>
      </c>
      <c r="H710">
        <f t="shared" si="72"/>
        <v>-2.4859541069466307E-4</v>
      </c>
      <c r="I710">
        <f t="shared" ref="I710:I773" si="73">H710-E710</f>
        <v>-2.8859541069466306E-4</v>
      </c>
      <c r="K710">
        <f t="shared" ref="K710:K773" si="74">B710/B709-1</f>
        <v>-1.0629599345870822E-2</v>
      </c>
      <c r="L710">
        <f t="shared" ref="L710:L773" si="75">C710/C709-1</f>
        <v>2.53449732469746E-3</v>
      </c>
      <c r="M710">
        <f t="shared" ref="M710:M773" si="76">D710/D709-1</f>
        <v>1.4269697278564974E-2</v>
      </c>
    </row>
    <row r="711" spans="1:13" x14ac:dyDescent="0.3">
      <c r="A711" s="3">
        <v>43031</v>
      </c>
      <c r="B711" s="8">
        <v>11.905645639999999</v>
      </c>
      <c r="C711" s="8">
        <v>143.62</v>
      </c>
      <c r="D711" s="8">
        <v>99.34</v>
      </c>
      <c r="E711">
        <v>4.0000000000000003E-5</v>
      </c>
      <c r="G711">
        <f t="shared" si="71"/>
        <v>100.32829663017671</v>
      </c>
      <c r="H711">
        <f t="shared" si="72"/>
        <v>-2.2753031715891936E-3</v>
      </c>
      <c r="I711">
        <f t="shared" si="73"/>
        <v>-2.3153031715891937E-3</v>
      </c>
      <c r="K711">
        <f t="shared" si="74"/>
        <v>-4.9586776859503745E-3</v>
      </c>
      <c r="L711">
        <f t="shared" si="75"/>
        <v>8.5674157303370357E-3</v>
      </c>
      <c r="M711">
        <f t="shared" si="76"/>
        <v>-1.7083710179881528E-3</v>
      </c>
    </row>
    <row r="712" spans="1:13" x14ac:dyDescent="0.3">
      <c r="A712" s="3">
        <v>43032</v>
      </c>
      <c r="B712" s="8">
        <v>12.053971789999999</v>
      </c>
      <c r="C712" s="8">
        <v>141.63999999999999</v>
      </c>
      <c r="D712" s="8">
        <v>100.92</v>
      </c>
      <c r="E712">
        <v>4.0000000000000003E-5</v>
      </c>
      <c r="G712">
        <f t="shared" si="71"/>
        <v>100.01373001865592</v>
      </c>
      <c r="H712">
        <f t="shared" si="72"/>
        <v>-3.1353727919882779E-3</v>
      </c>
      <c r="I712">
        <f t="shared" si="73"/>
        <v>-3.175372791988278E-3</v>
      </c>
      <c r="K712">
        <f t="shared" si="74"/>
        <v>1.2458471760797174E-2</v>
      </c>
      <c r="L712">
        <f t="shared" si="75"/>
        <v>-1.3786380726918401E-2</v>
      </c>
      <c r="M712">
        <f t="shared" si="76"/>
        <v>1.5904972820615981E-2</v>
      </c>
    </row>
    <row r="713" spans="1:13" x14ac:dyDescent="0.3">
      <c r="A713" s="3">
        <v>43033</v>
      </c>
      <c r="B713" s="8">
        <v>11.905645639999999</v>
      </c>
      <c r="C713" s="8">
        <v>142.36000000000001</v>
      </c>
      <c r="D713" s="8">
        <v>101.02</v>
      </c>
      <c r="E713">
        <v>4.0000000000000003E-5</v>
      </c>
      <c r="G713">
        <f t="shared" si="71"/>
        <v>100.17209353363512</v>
      </c>
      <c r="H713">
        <f t="shared" si="72"/>
        <v>1.5834177462399346E-3</v>
      </c>
      <c r="I713">
        <f t="shared" si="73"/>
        <v>1.5434177462399345E-3</v>
      </c>
      <c r="K713">
        <f t="shared" si="74"/>
        <v>-1.2305168170631542E-2</v>
      </c>
      <c r="L713">
        <f t="shared" si="75"/>
        <v>5.0833097994917864E-3</v>
      </c>
      <c r="M713">
        <f t="shared" si="76"/>
        <v>9.9088386841050813E-4</v>
      </c>
    </row>
    <row r="714" spans="1:13" x14ac:dyDescent="0.3">
      <c r="A714" s="3">
        <v>43034</v>
      </c>
      <c r="B714" s="8">
        <v>12.133079069999999</v>
      </c>
      <c r="C714" s="8">
        <v>141.81</v>
      </c>
      <c r="D714" s="8">
        <v>101.74</v>
      </c>
      <c r="E714">
        <v>4.0000000000000003E-5</v>
      </c>
      <c r="G714">
        <f t="shared" si="71"/>
        <v>100.26794208856566</v>
      </c>
      <c r="H714">
        <f t="shared" si="72"/>
        <v>9.5683889144582146E-4</v>
      </c>
      <c r="I714">
        <f t="shared" si="73"/>
        <v>9.1683889144582146E-4</v>
      </c>
      <c r="K714">
        <f t="shared" si="74"/>
        <v>1.9102990033222467E-2</v>
      </c>
      <c r="L714">
        <f t="shared" si="75"/>
        <v>-3.863444787861825E-3</v>
      </c>
      <c r="M714">
        <f t="shared" si="76"/>
        <v>7.1273015244506244E-3</v>
      </c>
    </row>
    <row r="715" spans="1:13" x14ac:dyDescent="0.3">
      <c r="A715" s="3">
        <v>43035</v>
      </c>
      <c r="B715" s="8">
        <v>11.92542246</v>
      </c>
      <c r="C715" s="8">
        <v>141.78</v>
      </c>
      <c r="D715" s="8">
        <v>101.77</v>
      </c>
      <c r="E715">
        <v>4.0000000000000003E-5</v>
      </c>
      <c r="G715">
        <f t="shared" si="71"/>
        <v>99.820750862843127</v>
      </c>
      <c r="H715">
        <f t="shared" si="72"/>
        <v>-4.4599621415141177E-3</v>
      </c>
      <c r="I715">
        <f t="shared" si="73"/>
        <v>-4.4999621415141178E-3</v>
      </c>
      <c r="K715">
        <f t="shared" si="74"/>
        <v>-1.7114914425427785E-2</v>
      </c>
      <c r="L715">
        <f t="shared" si="75"/>
        <v>-2.1155066638456343E-4</v>
      </c>
      <c r="M715">
        <f t="shared" si="76"/>
        <v>2.9486927462163415E-4</v>
      </c>
    </row>
    <row r="716" spans="1:13" x14ac:dyDescent="0.3">
      <c r="A716" s="3">
        <v>43038</v>
      </c>
      <c r="B716" s="8">
        <v>11.964976099999999</v>
      </c>
      <c r="C716" s="8">
        <v>140</v>
      </c>
      <c r="D716" s="8">
        <v>101.41</v>
      </c>
      <c r="E716">
        <v>4.0000000000000003E-5</v>
      </c>
      <c r="G716">
        <f t="shared" si="71"/>
        <v>99.250199084462778</v>
      </c>
      <c r="H716">
        <f t="shared" si="72"/>
        <v>-5.7157632400932634E-3</v>
      </c>
      <c r="I716">
        <f t="shared" si="73"/>
        <v>-5.7557632400932635E-3</v>
      </c>
      <c r="K716">
        <f t="shared" si="74"/>
        <v>3.3167495854062867E-3</v>
      </c>
      <c r="L716">
        <f t="shared" si="75"/>
        <v>-1.2554662152630791E-2</v>
      </c>
      <c r="M716">
        <f t="shared" si="76"/>
        <v>-3.5373882283580294E-3</v>
      </c>
    </row>
    <row r="717" spans="1:13" x14ac:dyDescent="0.3">
      <c r="A717" s="3">
        <v>43039</v>
      </c>
      <c r="B717" s="8">
        <v>12.133079069999999</v>
      </c>
      <c r="C717" s="8">
        <v>139.41</v>
      </c>
      <c r="D717" s="8">
        <v>100.61</v>
      </c>
      <c r="E717">
        <v>4.0000000000000003E-5</v>
      </c>
      <c r="G717">
        <f t="shared" si="71"/>
        <v>99.631706510966865</v>
      </c>
      <c r="H717">
        <f t="shared" si="72"/>
        <v>3.8438958311752813E-3</v>
      </c>
      <c r="I717">
        <f t="shared" si="73"/>
        <v>3.8038958311752812E-3</v>
      </c>
      <c r="K717">
        <f t="shared" si="74"/>
        <v>1.4049586776859524E-2</v>
      </c>
      <c r="L717">
        <f t="shared" si="75"/>
        <v>-4.214285714285726E-3</v>
      </c>
      <c r="M717">
        <f t="shared" si="76"/>
        <v>-7.8887683660388008E-3</v>
      </c>
    </row>
    <row r="718" spans="1:13" x14ac:dyDescent="0.3">
      <c r="A718" s="3">
        <v>43040</v>
      </c>
      <c r="B718" s="8">
        <v>12.21218635</v>
      </c>
      <c r="C718" s="8">
        <v>139.97999999999999</v>
      </c>
      <c r="D718" s="8">
        <v>100.92</v>
      </c>
      <c r="E718">
        <v>4.0000000000000003E-5</v>
      </c>
      <c r="G718">
        <f t="shared" si="71"/>
        <v>100.39643505780464</v>
      </c>
      <c r="H718">
        <f t="shared" si="72"/>
        <v>7.67555403413267E-3</v>
      </c>
      <c r="I718">
        <f t="shared" si="73"/>
        <v>7.6355540341326699E-3</v>
      </c>
      <c r="K718">
        <f t="shared" si="74"/>
        <v>6.5199674001630292E-3</v>
      </c>
      <c r="L718">
        <f t="shared" si="75"/>
        <v>4.0886593501183732E-3</v>
      </c>
      <c r="M718">
        <f t="shared" si="76"/>
        <v>3.0812046516250913E-3</v>
      </c>
    </row>
    <row r="719" spans="1:13" x14ac:dyDescent="0.3">
      <c r="A719" s="3">
        <v>43041</v>
      </c>
      <c r="B719" s="8">
        <v>12.28140522</v>
      </c>
      <c r="C719" s="8">
        <v>139.93</v>
      </c>
      <c r="D719" s="8">
        <v>101.59</v>
      </c>
      <c r="E719">
        <v>4.0000000000000003E-5</v>
      </c>
      <c r="G719">
        <f t="shared" si="71"/>
        <v>100.29069719164471</v>
      </c>
      <c r="H719">
        <f t="shared" si="72"/>
        <v>-1.0532033941149654E-3</v>
      </c>
      <c r="I719">
        <f t="shared" si="73"/>
        <v>-1.0932033941149655E-3</v>
      </c>
      <c r="K719">
        <f t="shared" si="74"/>
        <v>5.6680161943321039E-3</v>
      </c>
      <c r="L719">
        <f t="shared" si="75"/>
        <v>-3.5719388484056758E-4</v>
      </c>
      <c r="M719">
        <f t="shared" si="76"/>
        <v>6.6389219183511372E-3</v>
      </c>
    </row>
    <row r="720" spans="1:13" x14ac:dyDescent="0.3">
      <c r="A720" s="3">
        <v>43042</v>
      </c>
      <c r="B720" s="8">
        <v>12.22207476</v>
      </c>
      <c r="C720" s="8">
        <v>140.08000000000001</v>
      </c>
      <c r="D720" s="8">
        <v>101.41</v>
      </c>
      <c r="E720">
        <v>4.0000000000000003E-5</v>
      </c>
      <c r="G720">
        <f t="shared" si="71"/>
        <v>99.938318063948032</v>
      </c>
      <c r="H720">
        <f t="shared" si="72"/>
        <v>-3.5135774061209046E-3</v>
      </c>
      <c r="I720">
        <f t="shared" si="73"/>
        <v>-3.5535774061209047E-3</v>
      </c>
      <c r="K720">
        <f t="shared" si="74"/>
        <v>-4.8309178743961567E-3</v>
      </c>
      <c r="L720">
        <f t="shared" si="75"/>
        <v>1.0719645537053957E-3</v>
      </c>
      <c r="M720">
        <f t="shared" si="76"/>
        <v>-1.7718279358205358E-3</v>
      </c>
    </row>
    <row r="721" spans="1:13" x14ac:dyDescent="0.3">
      <c r="A721" s="3">
        <v>43045</v>
      </c>
      <c r="B721" s="8">
        <v>12.192409529999999</v>
      </c>
      <c r="C721" s="8">
        <v>139.76</v>
      </c>
      <c r="D721" s="8">
        <v>100.78</v>
      </c>
      <c r="E721">
        <v>4.0000000000000003E-5</v>
      </c>
      <c r="G721">
        <f t="shared" si="71"/>
        <v>99.622248280736528</v>
      </c>
      <c r="H721">
        <f t="shared" si="72"/>
        <v>-3.1626486150112543E-3</v>
      </c>
      <c r="I721">
        <f t="shared" si="73"/>
        <v>-3.2026486150112544E-3</v>
      </c>
      <c r="K721">
        <f t="shared" si="74"/>
        <v>-2.4271844660195274E-3</v>
      </c>
      <c r="L721">
        <f t="shared" si="75"/>
        <v>-2.2844089091949016E-3</v>
      </c>
      <c r="M721">
        <f t="shared" si="76"/>
        <v>-6.2124050882556014E-3</v>
      </c>
    </row>
    <row r="722" spans="1:13" x14ac:dyDescent="0.3">
      <c r="A722" s="3">
        <v>43046</v>
      </c>
      <c r="B722" s="8">
        <v>12.024306559999999</v>
      </c>
      <c r="C722" s="8">
        <v>139.77000000000001</v>
      </c>
      <c r="D722" s="8">
        <v>98.75</v>
      </c>
      <c r="E722">
        <v>4.0000000000000003E-5</v>
      </c>
      <c r="G722">
        <f t="shared" si="71"/>
        <v>99.101219051149926</v>
      </c>
      <c r="H722">
        <f t="shared" si="72"/>
        <v>-5.2300488954870605E-3</v>
      </c>
      <c r="I722">
        <f t="shared" si="73"/>
        <v>-5.2700488954870606E-3</v>
      </c>
      <c r="K722">
        <f t="shared" si="74"/>
        <v>-1.3787510137875048E-2</v>
      </c>
      <c r="L722">
        <f t="shared" si="75"/>
        <v>7.1551230681254907E-5</v>
      </c>
      <c r="M722">
        <f t="shared" si="76"/>
        <v>-2.0142885493153462E-2</v>
      </c>
    </row>
    <row r="723" spans="1:13" x14ac:dyDescent="0.3">
      <c r="A723" s="3">
        <v>43047</v>
      </c>
      <c r="B723" s="8">
        <v>11.92542246</v>
      </c>
      <c r="C723" s="8">
        <v>141.32</v>
      </c>
      <c r="D723" s="8">
        <v>97.64</v>
      </c>
      <c r="E723">
        <v>4.0000000000000003E-5</v>
      </c>
      <c r="G723">
        <f t="shared" si="71"/>
        <v>100.06625005397103</v>
      </c>
      <c r="H723">
        <f t="shared" si="72"/>
        <v>9.7378318053082946E-3</v>
      </c>
      <c r="I723">
        <f t="shared" si="73"/>
        <v>9.6978318053082945E-3</v>
      </c>
      <c r="K723">
        <f t="shared" si="74"/>
        <v>-8.2236842105262165E-3</v>
      </c>
      <c r="L723">
        <f t="shared" si="75"/>
        <v>1.1089647277670256E-2</v>
      </c>
      <c r="M723">
        <f t="shared" si="76"/>
        <v>-1.1240506329113886E-2</v>
      </c>
    </row>
    <row r="724" spans="1:13" x14ac:dyDescent="0.3">
      <c r="A724" s="3">
        <v>43048</v>
      </c>
      <c r="B724" s="8">
        <v>11.905645639999999</v>
      </c>
      <c r="C724" s="8">
        <v>140.35</v>
      </c>
      <c r="D724" s="8">
        <v>97.63</v>
      </c>
      <c r="E724">
        <v>4.0000000000000003E-5</v>
      </c>
      <c r="G724">
        <f t="shared" si="71"/>
        <v>99.622608949918657</v>
      </c>
      <c r="H724">
        <f t="shared" si="72"/>
        <v>-4.4334738616975677E-3</v>
      </c>
      <c r="I724">
        <f t="shared" si="73"/>
        <v>-4.4734738616975678E-3</v>
      </c>
      <c r="K724">
        <f t="shared" si="74"/>
        <v>-1.6583747927032544E-3</v>
      </c>
      <c r="L724">
        <f t="shared" si="75"/>
        <v>-6.8638550806680021E-3</v>
      </c>
      <c r="M724">
        <f t="shared" si="76"/>
        <v>-1.024170421958237E-4</v>
      </c>
    </row>
    <row r="725" spans="1:13" x14ac:dyDescent="0.3">
      <c r="A725" s="3">
        <v>43049</v>
      </c>
      <c r="B725" s="8">
        <v>11.875980409999999</v>
      </c>
      <c r="C725" s="8">
        <v>139.56</v>
      </c>
      <c r="D725" s="8">
        <v>97.51</v>
      </c>
      <c r="E725">
        <v>4.0000000000000003E-5</v>
      </c>
      <c r="G725">
        <f t="shared" si="71"/>
        <v>99.635562423578904</v>
      </c>
      <c r="H725">
        <f t="shared" si="72"/>
        <v>1.3002544097950874E-4</v>
      </c>
      <c r="I725">
        <f t="shared" si="73"/>
        <v>9.0025440979508748E-5</v>
      </c>
      <c r="K725">
        <f t="shared" si="74"/>
        <v>-2.491694352159568E-3</v>
      </c>
      <c r="L725">
        <f t="shared" si="75"/>
        <v>-5.6287851799072808E-3</v>
      </c>
      <c r="M725">
        <f t="shared" si="76"/>
        <v>-1.2291303902487449E-3</v>
      </c>
    </row>
    <row r="726" spans="1:13" x14ac:dyDescent="0.3">
      <c r="A726" s="3">
        <v>43052</v>
      </c>
      <c r="B726" s="8">
        <v>12.024306559999999</v>
      </c>
      <c r="C726" s="8">
        <v>139.76</v>
      </c>
      <c r="D726" s="8">
        <v>97.86</v>
      </c>
      <c r="E726">
        <v>4.0000000000000003E-5</v>
      </c>
      <c r="G726">
        <f t="shared" si="71"/>
        <v>100.34032616846571</v>
      </c>
      <c r="H726">
        <f t="shared" si="72"/>
        <v>7.0734156333724929E-3</v>
      </c>
      <c r="I726">
        <f t="shared" si="73"/>
        <v>7.0334156333724928E-3</v>
      </c>
      <c r="K726">
        <f t="shared" si="74"/>
        <v>1.2489592006661221E-2</v>
      </c>
      <c r="L726">
        <f t="shared" si="75"/>
        <v>1.4330753797648921E-3</v>
      </c>
      <c r="M726">
        <f t="shared" si="76"/>
        <v>3.5893754486717722E-3</v>
      </c>
    </row>
    <row r="727" spans="1:13" x14ac:dyDescent="0.3">
      <c r="A727" s="3">
        <v>43053</v>
      </c>
      <c r="B727" s="8">
        <v>11.885868819999999</v>
      </c>
      <c r="C727" s="8">
        <v>139.49</v>
      </c>
      <c r="D727" s="8">
        <v>97.27</v>
      </c>
      <c r="E727">
        <v>4.0000000000000003E-5</v>
      </c>
      <c r="G727">
        <f t="shared" si="71"/>
        <v>99.552218217748489</v>
      </c>
      <c r="H727">
        <f t="shared" si="72"/>
        <v>-7.8543491018160383E-3</v>
      </c>
      <c r="I727">
        <f t="shared" si="73"/>
        <v>-7.8943491018160384E-3</v>
      </c>
      <c r="K727">
        <f t="shared" si="74"/>
        <v>-1.1513157894736836E-2</v>
      </c>
      <c r="L727">
        <f t="shared" si="75"/>
        <v>-1.93188322839144E-3</v>
      </c>
      <c r="M727">
        <f t="shared" si="76"/>
        <v>-6.0290210504803099E-3</v>
      </c>
    </row>
    <row r="728" spans="1:13" x14ac:dyDescent="0.3">
      <c r="A728" s="3">
        <v>43054</v>
      </c>
      <c r="B728" s="8">
        <v>11.866092</v>
      </c>
      <c r="C728" s="8">
        <v>139.1</v>
      </c>
      <c r="D728" s="8">
        <v>98.19</v>
      </c>
      <c r="E728">
        <v>4.0000000000000003E-5</v>
      </c>
      <c r="G728">
        <f t="shared" si="71"/>
        <v>100.19340836366499</v>
      </c>
      <c r="H728">
        <f t="shared" si="72"/>
        <v>6.4407419281611311E-3</v>
      </c>
      <c r="I728">
        <f t="shared" si="73"/>
        <v>6.400741928161131E-3</v>
      </c>
      <c r="K728">
        <f t="shared" si="74"/>
        <v>-1.6638935108151953E-3</v>
      </c>
      <c r="L728">
        <f t="shared" si="75"/>
        <v>-2.7958993476235872E-3</v>
      </c>
      <c r="M728">
        <f t="shared" si="76"/>
        <v>9.4582091086665709E-3</v>
      </c>
    </row>
    <row r="729" spans="1:13" x14ac:dyDescent="0.3">
      <c r="A729" s="3">
        <v>43055</v>
      </c>
      <c r="B729" s="8">
        <v>11.905645639999999</v>
      </c>
      <c r="C729" s="8">
        <v>138.87</v>
      </c>
      <c r="D729" s="8">
        <v>98.47</v>
      </c>
      <c r="E729">
        <v>4.0000000000000003E-5</v>
      </c>
      <c r="G729">
        <f t="shared" si="71"/>
        <v>100.0564459078261</v>
      </c>
      <c r="H729">
        <f t="shared" si="72"/>
        <v>-1.3669807033788173E-3</v>
      </c>
      <c r="I729">
        <f t="shared" si="73"/>
        <v>-1.4069807033788174E-3</v>
      </c>
      <c r="K729">
        <f t="shared" si="74"/>
        <v>3.3333333333331883E-3</v>
      </c>
      <c r="L729">
        <f t="shared" si="75"/>
        <v>-1.6534867002155895E-3</v>
      </c>
      <c r="M729">
        <f t="shared" si="76"/>
        <v>2.8516142173338199E-3</v>
      </c>
    </row>
    <row r="730" spans="1:13" x14ac:dyDescent="0.3">
      <c r="A730" s="3">
        <v>43056</v>
      </c>
      <c r="B730" s="8">
        <v>11.875980409999999</v>
      </c>
      <c r="C730" s="8">
        <v>138</v>
      </c>
      <c r="D730" s="8">
        <v>98.14</v>
      </c>
      <c r="E730">
        <v>4.0000000000000003E-5</v>
      </c>
      <c r="G730">
        <f t="shared" si="71"/>
        <v>99.522699262280966</v>
      </c>
      <c r="H730">
        <f t="shared" si="72"/>
        <v>-5.3344553736881517E-3</v>
      </c>
      <c r="I730">
        <f t="shared" si="73"/>
        <v>-5.3744553736881518E-3</v>
      </c>
      <c r="K730">
        <f t="shared" si="74"/>
        <v>-2.491694352159568E-3</v>
      </c>
      <c r="L730">
        <f t="shared" si="75"/>
        <v>-6.2648520198747004E-3</v>
      </c>
      <c r="M730">
        <f t="shared" si="76"/>
        <v>-3.3512744998476229E-3</v>
      </c>
    </row>
    <row r="731" spans="1:13" x14ac:dyDescent="0.3">
      <c r="A731" s="3">
        <v>43059</v>
      </c>
      <c r="B731" s="8">
        <v>11.99464133</v>
      </c>
      <c r="C731" s="8">
        <v>137.93</v>
      </c>
      <c r="D731" s="8">
        <v>99.01</v>
      </c>
      <c r="E731">
        <v>4.0000000000000003E-5</v>
      </c>
      <c r="G731">
        <f t="shared" si="71"/>
        <v>100.4119894228819</v>
      </c>
      <c r="H731">
        <f t="shared" si="72"/>
        <v>8.9355510571242913E-3</v>
      </c>
      <c r="I731">
        <f t="shared" si="73"/>
        <v>8.8955510571242912E-3</v>
      </c>
      <c r="K731">
        <f t="shared" si="74"/>
        <v>9.9916736053289323E-3</v>
      </c>
      <c r="L731">
        <f t="shared" si="75"/>
        <v>-5.0724637681154316E-4</v>
      </c>
      <c r="M731">
        <f t="shared" si="76"/>
        <v>8.8648868962706295E-3</v>
      </c>
    </row>
    <row r="732" spans="1:13" x14ac:dyDescent="0.3">
      <c r="A732" s="3">
        <v>43060</v>
      </c>
      <c r="B732" s="8">
        <v>11.984752919999998</v>
      </c>
      <c r="C732" s="8">
        <v>138.34</v>
      </c>
      <c r="D732" s="8">
        <v>98.93</v>
      </c>
      <c r="E732">
        <v>4.0000000000000003E-5</v>
      </c>
      <c r="G732">
        <f t="shared" si="71"/>
        <v>100.11519469539691</v>
      </c>
      <c r="H732">
        <f t="shared" si="72"/>
        <v>-2.9557698158438894E-3</v>
      </c>
      <c r="I732">
        <f t="shared" si="73"/>
        <v>-2.9957698158438895E-3</v>
      </c>
      <c r="K732">
        <f t="shared" si="74"/>
        <v>-8.2440230832658834E-4</v>
      </c>
      <c r="L732">
        <f t="shared" si="75"/>
        <v>2.9725222939172014E-3</v>
      </c>
      <c r="M732">
        <f t="shared" si="76"/>
        <v>-8.0799919200080783E-4</v>
      </c>
    </row>
    <row r="733" spans="1:13" x14ac:dyDescent="0.3">
      <c r="A733" s="3">
        <v>43061</v>
      </c>
      <c r="B733" s="8">
        <v>11.93531087</v>
      </c>
      <c r="C733" s="8">
        <v>137.29</v>
      </c>
      <c r="D733" s="8">
        <v>98.64</v>
      </c>
      <c r="E733">
        <v>4.0000000000000003E-5</v>
      </c>
      <c r="G733">
        <f t="shared" si="71"/>
        <v>99.452619073967213</v>
      </c>
      <c r="H733">
        <f t="shared" si="72"/>
        <v>-6.618132476749361E-3</v>
      </c>
      <c r="I733">
        <f t="shared" si="73"/>
        <v>-6.6581324767493611E-3</v>
      </c>
      <c r="K733">
        <f t="shared" si="74"/>
        <v>-4.125412541253981E-3</v>
      </c>
      <c r="L733">
        <f t="shared" si="75"/>
        <v>-7.5899956628596721E-3</v>
      </c>
      <c r="M733">
        <f t="shared" si="76"/>
        <v>-2.9313656120489862E-3</v>
      </c>
    </row>
    <row r="734" spans="1:13" x14ac:dyDescent="0.3">
      <c r="A734" s="3">
        <v>43063</v>
      </c>
      <c r="B734" s="8">
        <v>11.964976099999999</v>
      </c>
      <c r="C734" s="8">
        <v>138.01</v>
      </c>
      <c r="D734" s="8">
        <v>98.32</v>
      </c>
      <c r="E734">
        <v>4.0000000000000003E-5</v>
      </c>
      <c r="G734">
        <f t="shared" si="71"/>
        <v>100.17609303508186</v>
      </c>
      <c r="H734">
        <f t="shared" si="72"/>
        <v>7.2745591604437276E-3</v>
      </c>
      <c r="I734">
        <f t="shared" si="73"/>
        <v>7.2345591604437275E-3</v>
      </c>
      <c r="K734">
        <f t="shared" si="74"/>
        <v>2.4855012427504874E-3</v>
      </c>
      <c r="L734">
        <f t="shared" si="75"/>
        <v>5.2443732245610608E-3</v>
      </c>
      <c r="M734">
        <f t="shared" si="76"/>
        <v>-3.2441200324412334E-3</v>
      </c>
    </row>
    <row r="735" spans="1:13" x14ac:dyDescent="0.3">
      <c r="A735" s="3">
        <v>43066</v>
      </c>
      <c r="B735" s="8">
        <v>11.97486451</v>
      </c>
      <c r="C735" s="8">
        <v>138.1</v>
      </c>
      <c r="D735" s="8">
        <v>97.93</v>
      </c>
      <c r="E735">
        <v>4.0000000000000003E-5</v>
      </c>
      <c r="G735">
        <f t="shared" si="71"/>
        <v>99.89323068703213</v>
      </c>
      <c r="H735">
        <f t="shared" si="72"/>
        <v>-2.823651227350954E-3</v>
      </c>
      <c r="I735">
        <f t="shared" si="73"/>
        <v>-2.8636512273509541E-3</v>
      </c>
      <c r="K735">
        <f t="shared" si="74"/>
        <v>8.2644628099171058E-4</v>
      </c>
      <c r="L735">
        <f t="shared" si="75"/>
        <v>6.5212665748859422E-4</v>
      </c>
      <c r="M735">
        <f t="shared" si="76"/>
        <v>-3.966639544344841E-3</v>
      </c>
    </row>
    <row r="736" spans="1:13" x14ac:dyDescent="0.3">
      <c r="A736" s="3">
        <v>43067</v>
      </c>
      <c r="B736" s="8">
        <v>12.073748610000001</v>
      </c>
      <c r="C736" s="8">
        <v>140.02000000000001</v>
      </c>
      <c r="D736" s="8">
        <v>101.36</v>
      </c>
      <c r="E736">
        <v>4.0000000000000003E-5</v>
      </c>
      <c r="G736">
        <f t="shared" si="71"/>
        <v>102.12597678727874</v>
      </c>
      <c r="H736">
        <f t="shared" si="72"/>
        <v>2.2351325358991092E-2</v>
      </c>
      <c r="I736">
        <f t="shared" si="73"/>
        <v>2.2311325358991094E-2</v>
      </c>
      <c r="K736">
        <f t="shared" si="74"/>
        <v>8.2576383154417954E-3</v>
      </c>
      <c r="L736">
        <f t="shared" si="75"/>
        <v>1.3902968863142684E-2</v>
      </c>
      <c r="M736">
        <f t="shared" si="76"/>
        <v>3.5025017869906971E-2</v>
      </c>
    </row>
    <row r="737" spans="1:13" x14ac:dyDescent="0.3">
      <c r="A737" s="3">
        <v>43068</v>
      </c>
      <c r="B737" s="8">
        <v>12.41984296</v>
      </c>
      <c r="C737" s="8">
        <v>139.81</v>
      </c>
      <c r="D737" s="8">
        <v>103.73</v>
      </c>
      <c r="E737">
        <v>4.0000000000000003E-5</v>
      </c>
      <c r="G737">
        <f t="shared" si="71"/>
        <v>101.1024828567184</v>
      </c>
      <c r="H737">
        <f t="shared" si="72"/>
        <v>-1.0021876536781771E-2</v>
      </c>
      <c r="I737">
        <f t="shared" si="73"/>
        <v>-1.0061876536781771E-2</v>
      </c>
      <c r="K737">
        <f t="shared" si="74"/>
        <v>2.8665028665028736E-2</v>
      </c>
      <c r="L737">
        <f t="shared" si="75"/>
        <v>-1.4997857448936225E-3</v>
      </c>
      <c r="M737">
        <f t="shared" si="76"/>
        <v>2.3382004735595929E-2</v>
      </c>
    </row>
    <row r="738" spans="1:13" x14ac:dyDescent="0.3">
      <c r="A738" s="3">
        <v>43069</v>
      </c>
      <c r="B738" s="8">
        <v>12.380289319999999</v>
      </c>
      <c r="C738" s="8">
        <v>139.33000000000001</v>
      </c>
      <c r="D738" s="8">
        <v>104.52</v>
      </c>
      <c r="E738">
        <v>4.0000000000000003E-5</v>
      </c>
      <c r="G738">
        <f t="shared" si="71"/>
        <v>100.07507249165685</v>
      </c>
      <c r="H738">
        <f t="shared" si="72"/>
        <v>-1.0162068586560657E-2</v>
      </c>
      <c r="I738">
        <f t="shared" si="73"/>
        <v>-1.0202068586560658E-2</v>
      </c>
      <c r="K738">
        <f t="shared" si="74"/>
        <v>-3.1847133757962887E-3</v>
      </c>
      <c r="L738">
        <f t="shared" si="75"/>
        <v>-3.433230813246424E-3</v>
      </c>
      <c r="M738">
        <f t="shared" si="76"/>
        <v>7.6159259616310759E-3</v>
      </c>
    </row>
    <row r="739" spans="1:13" x14ac:dyDescent="0.3">
      <c r="A739" s="3">
        <v>43070</v>
      </c>
      <c r="B739" s="8">
        <v>12.439619779999999</v>
      </c>
      <c r="C739" s="8">
        <v>139.97999999999999</v>
      </c>
      <c r="D739" s="8">
        <v>104.79</v>
      </c>
      <c r="E739">
        <v>4.0000000000000003E-5</v>
      </c>
      <c r="G739">
        <f t="shared" si="71"/>
        <v>100.38950514412677</v>
      </c>
      <c r="H739">
        <f t="shared" si="72"/>
        <v>3.1419677712063443E-3</v>
      </c>
      <c r="I739">
        <f t="shared" si="73"/>
        <v>3.1019677712063442E-3</v>
      </c>
      <c r="K739">
        <f t="shared" si="74"/>
        <v>4.7923322683705027E-3</v>
      </c>
      <c r="L739">
        <f t="shared" si="75"/>
        <v>4.6651833775925855E-3</v>
      </c>
      <c r="M739">
        <f t="shared" si="76"/>
        <v>2.5832376578647231E-3</v>
      </c>
    </row>
    <row r="740" spans="1:13" x14ac:dyDescent="0.3">
      <c r="A740" s="3">
        <v>43073</v>
      </c>
      <c r="B740" s="8">
        <v>12.489061830000001</v>
      </c>
      <c r="C740" s="8">
        <v>139.01</v>
      </c>
      <c r="D740" s="8">
        <v>106.95</v>
      </c>
      <c r="E740">
        <v>4.0000000000000003E-5</v>
      </c>
      <c r="G740">
        <f t="shared" si="71"/>
        <v>100.45776329727887</v>
      </c>
      <c r="H740">
        <f t="shared" si="72"/>
        <v>6.7993315689829359E-4</v>
      </c>
      <c r="I740">
        <f t="shared" si="73"/>
        <v>6.3993315689829359E-4</v>
      </c>
      <c r="K740">
        <f t="shared" si="74"/>
        <v>3.9745627980922738E-3</v>
      </c>
      <c r="L740">
        <f t="shared" si="75"/>
        <v>-6.9295613659093869E-3</v>
      </c>
      <c r="M740">
        <f t="shared" si="76"/>
        <v>2.0612653879186871E-2</v>
      </c>
    </row>
    <row r="741" spans="1:13" x14ac:dyDescent="0.3">
      <c r="A741" s="3">
        <v>43074</v>
      </c>
      <c r="B741" s="8">
        <v>12.29129363</v>
      </c>
      <c r="C741" s="8">
        <v>139.66999999999999</v>
      </c>
      <c r="D741" s="8">
        <v>105.72</v>
      </c>
      <c r="E741">
        <v>4.0000000000000003E-5</v>
      </c>
      <c r="G741">
        <f t="shared" si="71"/>
        <v>99.647619618876476</v>
      </c>
      <c r="H741">
        <f t="shared" si="72"/>
        <v>-8.0645203696700918E-3</v>
      </c>
      <c r="I741">
        <f t="shared" si="73"/>
        <v>-8.1045203696700919E-3</v>
      </c>
      <c r="K741">
        <f t="shared" si="74"/>
        <v>-1.5835312747426777E-2</v>
      </c>
      <c r="L741">
        <f t="shared" si="75"/>
        <v>4.7478598661967464E-3</v>
      </c>
      <c r="M741">
        <f t="shared" si="76"/>
        <v>-1.1500701262272095E-2</v>
      </c>
    </row>
    <row r="742" spans="1:13" x14ac:dyDescent="0.3">
      <c r="A742" s="3">
        <v>43075</v>
      </c>
      <c r="B742" s="8">
        <v>12.241851580000001</v>
      </c>
      <c r="C742" s="8">
        <v>141.06</v>
      </c>
      <c r="D742" s="8">
        <v>104.93</v>
      </c>
      <c r="E742">
        <v>4.0000000000000003E-5</v>
      </c>
      <c r="G742">
        <f t="shared" si="71"/>
        <v>100.19304094544366</v>
      </c>
      <c r="H742">
        <f t="shared" si="72"/>
        <v>5.4735008086821413E-3</v>
      </c>
      <c r="I742">
        <f t="shared" si="73"/>
        <v>5.4335008086821412E-3</v>
      </c>
      <c r="K742">
        <f t="shared" si="74"/>
        <v>-4.022526146419958E-3</v>
      </c>
      <c r="L742">
        <f t="shared" si="75"/>
        <v>9.9520297844921668E-3</v>
      </c>
      <c r="M742">
        <f t="shared" si="76"/>
        <v>-7.4725690503215647E-3</v>
      </c>
    </row>
    <row r="743" spans="1:13" x14ac:dyDescent="0.3">
      <c r="A743" s="3">
        <v>43076</v>
      </c>
      <c r="B743" s="8">
        <v>12.39017773</v>
      </c>
      <c r="C743" s="8">
        <v>140.01</v>
      </c>
      <c r="D743" s="8">
        <v>104.62</v>
      </c>
      <c r="E743">
        <v>4.0000000000000003E-5</v>
      </c>
      <c r="G743">
        <f t="shared" si="71"/>
        <v>99.629565374626623</v>
      </c>
      <c r="H743">
        <f t="shared" si="72"/>
        <v>-5.6238992798297582E-3</v>
      </c>
      <c r="I743">
        <f t="shared" si="73"/>
        <v>-5.6638992798297583E-3</v>
      </c>
      <c r="K743">
        <f t="shared" si="74"/>
        <v>1.2116316639741331E-2</v>
      </c>
      <c r="L743">
        <f t="shared" si="75"/>
        <v>-7.4436410038282164E-3</v>
      </c>
      <c r="M743">
        <f t="shared" si="76"/>
        <v>-2.9543505193938557E-3</v>
      </c>
    </row>
    <row r="744" spans="1:13" x14ac:dyDescent="0.3">
      <c r="A744" s="3">
        <v>43077</v>
      </c>
      <c r="B744" s="8">
        <v>12.469285009999998</v>
      </c>
      <c r="C744" s="8">
        <v>140.59</v>
      </c>
      <c r="D744" s="8">
        <v>105.93</v>
      </c>
      <c r="E744">
        <v>4.0000000000000003E-5</v>
      </c>
      <c r="G744">
        <f t="shared" si="71"/>
        <v>100.7530622777345</v>
      </c>
      <c r="H744">
        <f t="shared" si="72"/>
        <v>1.1276741988016425E-2</v>
      </c>
      <c r="I744">
        <f t="shared" si="73"/>
        <v>1.1236741988016425E-2</v>
      </c>
      <c r="K744">
        <f t="shared" si="74"/>
        <v>6.3846767757380629E-3</v>
      </c>
      <c r="L744">
        <f t="shared" si="75"/>
        <v>4.142561245625398E-3</v>
      </c>
      <c r="M744">
        <f t="shared" si="76"/>
        <v>1.2521506404129301E-2</v>
      </c>
    </row>
    <row r="745" spans="1:13" x14ac:dyDescent="0.3">
      <c r="A745" s="3">
        <v>43080</v>
      </c>
      <c r="B745" s="8">
        <v>12.439619779999999</v>
      </c>
      <c r="C745" s="8">
        <v>141.13999999999999</v>
      </c>
      <c r="D745" s="8">
        <v>105.62</v>
      </c>
      <c r="E745">
        <v>4.0000000000000003E-5</v>
      </c>
      <c r="G745">
        <f t="shared" si="71"/>
        <v>100.06793432223304</v>
      </c>
      <c r="H745">
        <f t="shared" si="72"/>
        <v>-6.8000707870580213E-3</v>
      </c>
      <c r="I745">
        <f t="shared" si="73"/>
        <v>-6.8400707870580214E-3</v>
      </c>
      <c r="K745">
        <f t="shared" si="74"/>
        <v>-2.3790642347342184E-3</v>
      </c>
      <c r="L745">
        <f t="shared" si="75"/>
        <v>3.9120847855464991E-3</v>
      </c>
      <c r="M745">
        <f t="shared" si="76"/>
        <v>-2.9264608703861716E-3</v>
      </c>
    </row>
    <row r="746" spans="1:13" x14ac:dyDescent="0.3">
      <c r="A746" s="3">
        <v>43081</v>
      </c>
      <c r="B746" s="8">
        <v>12.4593966</v>
      </c>
      <c r="C746" s="8">
        <v>142.6</v>
      </c>
      <c r="D746" s="8">
        <v>106.85</v>
      </c>
      <c r="E746">
        <v>4.0000000000000003E-5</v>
      </c>
      <c r="G746">
        <f t="shared" si="71"/>
        <v>100.99164939608802</v>
      </c>
      <c r="H746">
        <f t="shared" si="72"/>
        <v>9.2308798029194783E-3</v>
      </c>
      <c r="I746">
        <f t="shared" si="73"/>
        <v>9.1908798029194782E-3</v>
      </c>
      <c r="K746">
        <f t="shared" si="74"/>
        <v>1.5898251192369983E-3</v>
      </c>
      <c r="L746">
        <f t="shared" si="75"/>
        <v>1.0344338954229926E-2</v>
      </c>
      <c r="M746">
        <f t="shared" si="76"/>
        <v>1.1645521681499682E-2</v>
      </c>
    </row>
    <row r="747" spans="1:13" x14ac:dyDescent="0.3">
      <c r="A747" s="3">
        <v>43082</v>
      </c>
      <c r="B747" s="8">
        <v>12.489061830000001</v>
      </c>
      <c r="C747" s="8">
        <v>142.88999999999999</v>
      </c>
      <c r="D747" s="8">
        <v>105.51</v>
      </c>
      <c r="E747">
        <v>4.0000000000000003E-5</v>
      </c>
      <c r="G747">
        <f t="shared" si="71"/>
        <v>99.658548456321668</v>
      </c>
      <c r="H747">
        <f t="shared" si="72"/>
        <v>-1.3200110580806057E-2</v>
      </c>
      <c r="I747">
        <f t="shared" si="73"/>
        <v>-1.3240110580806057E-2</v>
      </c>
      <c r="K747">
        <f t="shared" si="74"/>
        <v>2.3809523809523725E-3</v>
      </c>
      <c r="L747">
        <f t="shared" si="75"/>
        <v>2.0336605890602932E-3</v>
      </c>
      <c r="M747">
        <f t="shared" si="76"/>
        <v>-1.2540945250350877E-2</v>
      </c>
    </row>
    <row r="748" spans="1:13" x14ac:dyDescent="0.3">
      <c r="A748" s="3">
        <v>43083</v>
      </c>
      <c r="B748" s="8">
        <v>12.320958860000001</v>
      </c>
      <c r="C748" s="8">
        <v>141.65</v>
      </c>
      <c r="D748" s="8">
        <v>104.66</v>
      </c>
      <c r="E748">
        <v>4.0000000000000003E-5</v>
      </c>
      <c r="G748">
        <f t="shared" si="71"/>
        <v>99.105485570057255</v>
      </c>
      <c r="H748">
        <f t="shared" si="72"/>
        <v>-5.5495779823324654E-3</v>
      </c>
      <c r="I748">
        <f t="shared" si="73"/>
        <v>-5.5895779823324655E-3</v>
      </c>
      <c r="K748">
        <f t="shared" si="74"/>
        <v>-1.3460015835312755E-2</v>
      </c>
      <c r="L748">
        <f t="shared" si="75"/>
        <v>-8.6780040590662688E-3</v>
      </c>
      <c r="M748">
        <f t="shared" si="76"/>
        <v>-8.0561084257416704E-3</v>
      </c>
    </row>
    <row r="749" spans="1:13" x14ac:dyDescent="0.3">
      <c r="A749" s="3">
        <v>43084</v>
      </c>
      <c r="B749" s="8">
        <v>12.439619779999999</v>
      </c>
      <c r="C749" s="8">
        <v>142.46</v>
      </c>
      <c r="D749" s="8">
        <v>106.14</v>
      </c>
      <c r="E749">
        <v>4.0000000000000003E-5</v>
      </c>
      <c r="G749">
        <f t="shared" si="71"/>
        <v>100.92979098869131</v>
      </c>
      <c r="H749">
        <f t="shared" si="72"/>
        <v>1.8407713842887752E-2</v>
      </c>
      <c r="I749">
        <f t="shared" si="73"/>
        <v>1.8367713842887753E-2</v>
      </c>
      <c r="K749">
        <f t="shared" si="74"/>
        <v>9.6308186195825929E-3</v>
      </c>
      <c r="L749">
        <f t="shared" si="75"/>
        <v>5.7183198023296189E-3</v>
      </c>
      <c r="M749">
        <f t="shared" si="76"/>
        <v>1.4141028090961294E-2</v>
      </c>
    </row>
    <row r="750" spans="1:13" x14ac:dyDescent="0.3">
      <c r="A750" s="3">
        <v>43087</v>
      </c>
      <c r="B750" s="8">
        <v>12.51872706</v>
      </c>
      <c r="C750" s="8">
        <v>141.80000000000001</v>
      </c>
      <c r="D750" s="8">
        <v>106.96</v>
      </c>
      <c r="E750">
        <v>4.0000000000000003E-5</v>
      </c>
      <c r="G750">
        <f t="shared" si="71"/>
        <v>100.11697656017118</v>
      </c>
      <c r="H750">
        <f t="shared" si="72"/>
        <v>-8.0532657459996271E-3</v>
      </c>
      <c r="I750">
        <f t="shared" si="73"/>
        <v>-8.0932657459996272E-3</v>
      </c>
      <c r="K750">
        <f t="shared" si="74"/>
        <v>6.3593004769475492E-3</v>
      </c>
      <c r="L750">
        <f t="shared" si="75"/>
        <v>-4.632879404745216E-3</v>
      </c>
      <c r="M750">
        <f t="shared" si="76"/>
        <v>7.7256453740341957E-3</v>
      </c>
    </row>
    <row r="751" spans="1:13" x14ac:dyDescent="0.3">
      <c r="A751" s="3">
        <v>43088</v>
      </c>
      <c r="B751" s="8">
        <v>12.548392289999999</v>
      </c>
      <c r="C751" s="8">
        <v>141.78</v>
      </c>
      <c r="D751" s="8">
        <v>106.51</v>
      </c>
      <c r="E751">
        <v>4.0000000000000003E-5</v>
      </c>
      <c r="G751">
        <f t="shared" si="71"/>
        <v>99.859195601104958</v>
      </c>
      <c r="H751">
        <f t="shared" si="72"/>
        <v>-2.5747976809037398E-3</v>
      </c>
      <c r="I751">
        <f t="shared" si="73"/>
        <v>-2.6147976809037399E-3</v>
      </c>
      <c r="K751">
        <f t="shared" si="74"/>
        <v>2.3696682464453556E-3</v>
      </c>
      <c r="L751">
        <f t="shared" si="75"/>
        <v>-1.4104372355439043E-4</v>
      </c>
      <c r="M751">
        <f t="shared" si="76"/>
        <v>-4.2071802543005576E-3</v>
      </c>
    </row>
    <row r="752" spans="1:13" x14ac:dyDescent="0.3">
      <c r="A752" s="3">
        <v>43089</v>
      </c>
      <c r="B752" s="8">
        <v>12.57805752</v>
      </c>
      <c r="C752" s="8">
        <v>141.16</v>
      </c>
      <c r="D752" s="8">
        <v>106.14</v>
      </c>
      <c r="E752">
        <v>4.0000000000000003E-5</v>
      </c>
      <c r="G752">
        <f t="shared" si="71"/>
        <v>99.667143306326196</v>
      </c>
      <c r="H752">
        <f t="shared" si="72"/>
        <v>-1.9232309415542215E-3</v>
      </c>
      <c r="I752">
        <f t="shared" si="73"/>
        <v>-1.9632309415542216E-3</v>
      </c>
      <c r="K752">
        <f t="shared" si="74"/>
        <v>2.3640661938535423E-3</v>
      </c>
      <c r="L752">
        <f t="shared" si="75"/>
        <v>-4.3729722104669522E-3</v>
      </c>
      <c r="M752">
        <f t="shared" si="76"/>
        <v>-3.4738522204488254E-3</v>
      </c>
    </row>
    <row r="753" spans="1:13" x14ac:dyDescent="0.3">
      <c r="A753" s="3">
        <v>43090</v>
      </c>
      <c r="B753" s="8">
        <v>12.489061830000001</v>
      </c>
      <c r="C753" s="8">
        <v>141.06</v>
      </c>
      <c r="D753" s="8">
        <v>107.83</v>
      </c>
      <c r="E753">
        <v>4.0000000000000003E-5</v>
      </c>
      <c r="G753">
        <f t="shared" si="71"/>
        <v>100.48826351698024</v>
      </c>
      <c r="H753">
        <f t="shared" si="72"/>
        <v>8.2386249210568696E-3</v>
      </c>
      <c r="I753">
        <f t="shared" si="73"/>
        <v>8.1986249210568695E-3</v>
      </c>
      <c r="K753">
        <f t="shared" si="74"/>
        <v>-7.0754716981131782E-3</v>
      </c>
      <c r="L753">
        <f t="shared" si="75"/>
        <v>-7.084159818645519E-4</v>
      </c>
      <c r="M753">
        <f t="shared" si="76"/>
        <v>1.5922366685509726E-2</v>
      </c>
    </row>
    <row r="754" spans="1:13" x14ac:dyDescent="0.3">
      <c r="A754" s="3">
        <v>43091</v>
      </c>
      <c r="B754" s="8">
        <v>12.439619779999999</v>
      </c>
      <c r="C754" s="8">
        <v>140.12</v>
      </c>
      <c r="D754" s="8">
        <v>107.45</v>
      </c>
      <c r="E754">
        <v>4.0000000000000003E-5</v>
      </c>
      <c r="G754">
        <f t="shared" si="71"/>
        <v>99.480118532818224</v>
      </c>
      <c r="H754">
        <f t="shared" si="72"/>
        <v>-1.0032464975291977E-2</v>
      </c>
      <c r="I754">
        <f t="shared" si="73"/>
        <v>-1.0072464975291977E-2</v>
      </c>
      <c r="K754">
        <f t="shared" si="74"/>
        <v>-3.9588281868567776E-3</v>
      </c>
      <c r="L754">
        <f t="shared" si="75"/>
        <v>-6.6638309939033302E-3</v>
      </c>
      <c r="M754">
        <f t="shared" si="76"/>
        <v>-3.5240656589075048E-3</v>
      </c>
    </row>
    <row r="755" spans="1:13" x14ac:dyDescent="0.3">
      <c r="A755" s="3">
        <v>43095</v>
      </c>
      <c r="B755" s="8">
        <v>12.4593966</v>
      </c>
      <c r="C755" s="8">
        <v>140.09</v>
      </c>
      <c r="D755" s="8">
        <v>107.02</v>
      </c>
      <c r="E755">
        <v>4.0000000000000003E-5</v>
      </c>
      <c r="G755">
        <f t="shared" si="71"/>
        <v>99.85495811243203</v>
      </c>
      <c r="H755">
        <f t="shared" si="72"/>
        <v>3.7679848510649983E-3</v>
      </c>
      <c r="I755">
        <f t="shared" si="73"/>
        <v>3.7279848510649981E-3</v>
      </c>
      <c r="K755">
        <f t="shared" si="74"/>
        <v>1.5898251192369983E-3</v>
      </c>
      <c r="L755">
        <f t="shared" si="75"/>
        <v>-2.1410219811590636E-4</v>
      </c>
      <c r="M755">
        <f t="shared" si="76"/>
        <v>-4.0018613308516748E-3</v>
      </c>
    </row>
    <row r="756" spans="1:13" x14ac:dyDescent="0.3">
      <c r="A756" s="3">
        <v>43096</v>
      </c>
      <c r="B756" s="8">
        <v>12.3605125</v>
      </c>
      <c r="C756" s="8">
        <v>140.57</v>
      </c>
      <c r="D756" s="8">
        <v>107.22</v>
      </c>
      <c r="E756">
        <v>4.0000000000000003E-5</v>
      </c>
      <c r="G756">
        <f t="shared" si="71"/>
        <v>100.1649387517585</v>
      </c>
      <c r="H756">
        <f t="shared" si="72"/>
        <v>3.1043089415494496E-3</v>
      </c>
      <c r="I756">
        <f t="shared" si="73"/>
        <v>3.0643089415494495E-3</v>
      </c>
      <c r="K756">
        <f t="shared" si="74"/>
        <v>-7.9365079365079083E-3</v>
      </c>
      <c r="L756">
        <f t="shared" si="75"/>
        <v>3.4263687629381145E-3</v>
      </c>
      <c r="M756">
        <f t="shared" si="76"/>
        <v>1.868809568305041E-3</v>
      </c>
    </row>
    <row r="757" spans="1:13" x14ac:dyDescent="0.3">
      <c r="A757" s="3">
        <v>43097</v>
      </c>
      <c r="B757" s="8">
        <v>12.439619779999999</v>
      </c>
      <c r="C757" s="8">
        <v>140.56</v>
      </c>
      <c r="D757" s="8">
        <v>107.79</v>
      </c>
      <c r="E757">
        <v>4.0000000000000003E-5</v>
      </c>
      <c r="G757">
        <f t="shared" si="71"/>
        <v>100.26343516775007</v>
      </c>
      <c r="H757">
        <f t="shared" si="72"/>
        <v>9.8334224748719556E-4</v>
      </c>
      <c r="I757">
        <f t="shared" si="73"/>
        <v>9.4334224748719557E-4</v>
      </c>
      <c r="K757">
        <f t="shared" si="74"/>
        <v>6.3999999999999613E-3</v>
      </c>
      <c r="L757">
        <f t="shared" si="75"/>
        <v>-7.1138934338743631E-5</v>
      </c>
      <c r="M757">
        <f t="shared" si="76"/>
        <v>5.3161723559038698E-3</v>
      </c>
    </row>
    <row r="758" spans="1:13" x14ac:dyDescent="0.3">
      <c r="A758" s="3">
        <v>43098</v>
      </c>
      <c r="B758" s="8">
        <v>12.35062409</v>
      </c>
      <c r="C758" s="8">
        <v>139.72</v>
      </c>
      <c r="D758" s="8">
        <v>106.94</v>
      </c>
      <c r="E758">
        <v>4.0000000000000003E-5</v>
      </c>
      <c r="G758">
        <f t="shared" si="71"/>
        <v>99.318182993068405</v>
      </c>
      <c r="H758">
        <f t="shared" si="72"/>
        <v>-9.427685906633565E-3</v>
      </c>
      <c r="I758">
        <f t="shared" si="73"/>
        <v>-9.4676859066335651E-3</v>
      </c>
      <c r="K758">
        <f t="shared" si="74"/>
        <v>-7.1542130365659373E-3</v>
      </c>
      <c r="L758">
        <f t="shared" si="75"/>
        <v>-5.9760956175298752E-3</v>
      </c>
      <c r="M758">
        <f t="shared" si="76"/>
        <v>-7.8857036830876082E-3</v>
      </c>
    </row>
    <row r="759" spans="1:13" x14ac:dyDescent="0.3">
      <c r="A759" s="3">
        <v>43102</v>
      </c>
      <c r="B759" s="8">
        <v>12.51872706</v>
      </c>
      <c r="C759" s="8">
        <v>139.22999999999999</v>
      </c>
      <c r="D759" s="8">
        <v>107.95</v>
      </c>
      <c r="E759">
        <v>5.0000000000000002E-5</v>
      </c>
      <c r="G759">
        <f t="shared" si="71"/>
        <v>100.31607870346768</v>
      </c>
      <c r="H759">
        <f t="shared" si="72"/>
        <v>1.0047462411479247E-2</v>
      </c>
      <c r="I759">
        <f t="shared" si="73"/>
        <v>9.9974624114792469E-3</v>
      </c>
      <c r="K759">
        <f t="shared" si="74"/>
        <v>1.3610888710968716E-2</v>
      </c>
      <c r="L759">
        <f t="shared" si="75"/>
        <v>-3.507014028056199E-3</v>
      </c>
      <c r="M759">
        <f t="shared" si="76"/>
        <v>9.4445483448664103E-3</v>
      </c>
    </row>
    <row r="760" spans="1:13" x14ac:dyDescent="0.3">
      <c r="A760" s="3">
        <v>43103</v>
      </c>
      <c r="B760" s="8">
        <v>12.617611159999999</v>
      </c>
      <c r="C760" s="8">
        <v>140.56</v>
      </c>
      <c r="D760" s="8">
        <v>108.06</v>
      </c>
      <c r="E760">
        <v>5.0000000000000002E-5</v>
      </c>
      <c r="G760">
        <f t="shared" si="71"/>
        <v>100.61679716399871</v>
      </c>
      <c r="H760">
        <f t="shared" si="72"/>
        <v>2.9977094840394347E-3</v>
      </c>
      <c r="I760">
        <f t="shared" si="73"/>
        <v>2.9477094840394346E-3</v>
      </c>
      <c r="K760">
        <f t="shared" si="74"/>
        <v>7.89889415481837E-3</v>
      </c>
      <c r="L760">
        <f t="shared" si="75"/>
        <v>9.5525389643038583E-3</v>
      </c>
      <c r="M760">
        <f t="shared" si="76"/>
        <v>1.0189902732746781E-3</v>
      </c>
    </row>
    <row r="761" spans="1:13" x14ac:dyDescent="0.3">
      <c r="A761" s="3">
        <v>43104</v>
      </c>
      <c r="B761" s="8">
        <v>12.83515618</v>
      </c>
      <c r="C761" s="8">
        <v>140.55000000000001</v>
      </c>
      <c r="D761" s="8">
        <v>109.04</v>
      </c>
      <c r="E761">
        <v>5.0000000000000002E-5</v>
      </c>
      <c r="G761">
        <f t="shared" si="71"/>
        <v>100.51827915389589</v>
      </c>
      <c r="H761">
        <f t="shared" si="72"/>
        <v>-9.7914078841376817E-4</v>
      </c>
      <c r="I761">
        <f t="shared" si="73"/>
        <v>-1.0291407884137681E-3</v>
      </c>
      <c r="K761">
        <f t="shared" si="74"/>
        <v>1.7241379310344973E-2</v>
      </c>
      <c r="L761">
        <f t="shared" si="75"/>
        <v>-7.1143995446720787E-5</v>
      </c>
      <c r="M761">
        <f t="shared" si="76"/>
        <v>9.0690357208957906E-3</v>
      </c>
    </row>
    <row r="762" spans="1:13" x14ac:dyDescent="0.3">
      <c r="A762" s="3">
        <v>43105</v>
      </c>
      <c r="B762" s="8">
        <v>13.0527012</v>
      </c>
      <c r="C762" s="8">
        <v>141.71</v>
      </c>
      <c r="D762" s="8">
        <v>108.34</v>
      </c>
      <c r="E762">
        <v>5.0000000000000002E-5</v>
      </c>
      <c r="G762">
        <f t="shared" si="71"/>
        <v>100.36430550170512</v>
      </c>
      <c r="H762">
        <f t="shared" si="72"/>
        <v>-1.531797534605972E-3</v>
      </c>
      <c r="I762">
        <f t="shared" si="73"/>
        <v>-1.5817975346059719E-3</v>
      </c>
      <c r="K762">
        <f t="shared" si="74"/>
        <v>1.6949152542372836E-2</v>
      </c>
      <c r="L762">
        <f t="shared" si="75"/>
        <v>8.2532906438990139E-3</v>
      </c>
      <c r="M762">
        <f t="shared" si="76"/>
        <v>-6.4196625091709203E-3</v>
      </c>
    </row>
    <row r="763" spans="1:13" x14ac:dyDescent="0.3">
      <c r="A763" s="3">
        <v>43108</v>
      </c>
      <c r="B763" s="8">
        <v>13.00325915</v>
      </c>
      <c r="C763" s="8">
        <v>141.88999999999999</v>
      </c>
      <c r="D763" s="8">
        <v>108.5</v>
      </c>
      <c r="E763">
        <v>5.0000000000000002E-5</v>
      </c>
      <c r="G763">
        <f t="shared" si="71"/>
        <v>100.08178592707078</v>
      </c>
      <c r="H763">
        <f t="shared" si="72"/>
        <v>-2.8149407622766187E-3</v>
      </c>
      <c r="I763">
        <f t="shared" si="73"/>
        <v>-2.8649407622766188E-3</v>
      </c>
      <c r="K763">
        <f t="shared" si="74"/>
        <v>-3.7878787878787845E-3</v>
      </c>
      <c r="L763">
        <f t="shared" si="75"/>
        <v>1.2701997036199675E-3</v>
      </c>
      <c r="M763">
        <f t="shared" si="76"/>
        <v>1.4768321949418795E-3</v>
      </c>
    </row>
    <row r="764" spans="1:13" x14ac:dyDescent="0.3">
      <c r="A764" s="3">
        <v>43109</v>
      </c>
      <c r="B764" s="8">
        <v>12.93404028</v>
      </c>
      <c r="C764" s="8">
        <v>144.13999999999999</v>
      </c>
      <c r="D764" s="8">
        <v>109.05</v>
      </c>
      <c r="E764">
        <v>5.0000000000000002E-5</v>
      </c>
      <c r="G764">
        <f t="shared" si="71"/>
        <v>100.9577862679055</v>
      </c>
      <c r="H764">
        <f t="shared" si="72"/>
        <v>8.7528448130718139E-3</v>
      </c>
      <c r="I764">
        <f t="shared" si="73"/>
        <v>8.7028448130718142E-3</v>
      </c>
      <c r="K764">
        <f t="shared" si="74"/>
        <v>-5.3231939163498332E-3</v>
      </c>
      <c r="L764">
        <f t="shared" si="75"/>
        <v>1.585735428853341E-2</v>
      </c>
      <c r="M764">
        <f t="shared" si="76"/>
        <v>5.0691244239631228E-3</v>
      </c>
    </row>
    <row r="765" spans="1:13" x14ac:dyDescent="0.3">
      <c r="A765" s="3">
        <v>43110</v>
      </c>
      <c r="B765" s="8">
        <v>12.884598229999998</v>
      </c>
      <c r="C765" s="8">
        <v>143.97</v>
      </c>
      <c r="D765" s="8">
        <v>110.25</v>
      </c>
      <c r="E765">
        <v>5.0000000000000002E-5</v>
      </c>
      <c r="G765">
        <f t="shared" si="71"/>
        <v>100.31283642062473</v>
      </c>
      <c r="H765">
        <f t="shared" si="72"/>
        <v>-6.3883120967936913E-3</v>
      </c>
      <c r="I765">
        <f t="shared" si="73"/>
        <v>-6.438312096793691E-3</v>
      </c>
      <c r="K765">
        <f t="shared" si="74"/>
        <v>-3.8226299694190669E-3</v>
      </c>
      <c r="L765">
        <f t="shared" si="75"/>
        <v>-1.1794089080060521E-3</v>
      </c>
      <c r="M765">
        <f t="shared" si="76"/>
        <v>1.1004126547455417E-2</v>
      </c>
    </row>
    <row r="766" spans="1:13" x14ac:dyDescent="0.3">
      <c r="A766" s="3">
        <v>43111</v>
      </c>
      <c r="B766" s="8">
        <v>13.01314756</v>
      </c>
      <c r="C766" s="8">
        <v>144.79</v>
      </c>
      <c r="D766" s="8">
        <v>110.84</v>
      </c>
      <c r="E766">
        <v>5.0000000000000002E-5</v>
      </c>
      <c r="G766">
        <f t="shared" si="71"/>
        <v>100.60148160963378</v>
      </c>
      <c r="H766">
        <f t="shared" si="72"/>
        <v>2.8774501779484929E-3</v>
      </c>
      <c r="I766">
        <f t="shared" si="73"/>
        <v>2.8274501779484928E-3</v>
      </c>
      <c r="K766">
        <f t="shared" si="74"/>
        <v>9.9769762087491554E-3</v>
      </c>
      <c r="L766">
        <f t="shared" si="75"/>
        <v>5.6956310342430871E-3</v>
      </c>
      <c r="M766">
        <f t="shared" si="76"/>
        <v>5.3514739229025832E-3</v>
      </c>
    </row>
    <row r="767" spans="1:13" x14ac:dyDescent="0.3">
      <c r="A767" s="3">
        <v>43112</v>
      </c>
      <c r="B767" s="8">
        <v>13.08236643</v>
      </c>
      <c r="C767" s="8">
        <v>145.76</v>
      </c>
      <c r="D767" s="8">
        <v>112.67</v>
      </c>
      <c r="E767">
        <v>5.0000000000000002E-5</v>
      </c>
      <c r="G767">
        <f t="shared" si="71"/>
        <v>101.02466607839318</v>
      </c>
      <c r="H767">
        <f t="shared" si="72"/>
        <v>4.2065431044195911E-3</v>
      </c>
      <c r="I767">
        <f t="shared" si="73"/>
        <v>4.1565431044195914E-3</v>
      </c>
      <c r="K767">
        <f t="shared" si="74"/>
        <v>5.3191489361701372E-3</v>
      </c>
      <c r="L767">
        <f t="shared" si="75"/>
        <v>6.69935769044816E-3</v>
      </c>
      <c r="M767">
        <f t="shared" si="76"/>
        <v>1.6510285095633348E-2</v>
      </c>
    </row>
    <row r="768" spans="1:13" x14ac:dyDescent="0.3">
      <c r="A768" s="3">
        <v>43116</v>
      </c>
      <c r="B768" s="8">
        <v>12.953817099999998</v>
      </c>
      <c r="C768" s="8">
        <v>146.86000000000001</v>
      </c>
      <c r="D768" s="8">
        <v>112.27</v>
      </c>
      <c r="E768">
        <v>5.0000000000000002E-5</v>
      </c>
      <c r="G768">
        <f t="shared" si="71"/>
        <v>100.15500865454305</v>
      </c>
      <c r="H768">
        <f t="shared" si="72"/>
        <v>-8.6083672196974881E-3</v>
      </c>
      <c r="I768">
        <f t="shared" si="73"/>
        <v>-8.6583672196974878E-3</v>
      </c>
      <c r="K768">
        <f t="shared" si="74"/>
        <v>-9.8261526832956747E-3</v>
      </c>
      <c r="L768">
        <f t="shared" si="75"/>
        <v>7.5466520307356788E-3</v>
      </c>
      <c r="M768">
        <f t="shared" si="76"/>
        <v>-3.5501908227567602E-3</v>
      </c>
    </row>
    <row r="769" spans="1:13" x14ac:dyDescent="0.3">
      <c r="A769" s="3">
        <v>43117</v>
      </c>
      <c r="B769" s="8">
        <v>12.04408338</v>
      </c>
      <c r="C769" s="8">
        <v>146.97999999999999</v>
      </c>
      <c r="D769" s="8">
        <v>112.99</v>
      </c>
      <c r="E769">
        <v>5.0000000000000002E-5</v>
      </c>
      <c r="G769">
        <f t="shared" si="71"/>
        <v>99.547714188054414</v>
      </c>
      <c r="H769">
        <f t="shared" si="72"/>
        <v>-6.0635456443655089E-3</v>
      </c>
      <c r="I769">
        <f t="shared" si="73"/>
        <v>-6.1135456443655086E-3</v>
      </c>
      <c r="K769">
        <f t="shared" si="74"/>
        <v>-7.0229007633587637E-2</v>
      </c>
      <c r="L769">
        <f t="shared" si="75"/>
        <v>8.1710472558893521E-4</v>
      </c>
      <c r="M769">
        <f t="shared" si="76"/>
        <v>6.4131112496659259E-3</v>
      </c>
    </row>
    <row r="770" spans="1:13" x14ac:dyDescent="0.3">
      <c r="A770" s="3">
        <v>43118</v>
      </c>
      <c r="B770" s="8">
        <v>11.93531087</v>
      </c>
      <c r="C770" s="8">
        <v>146.91999999999999</v>
      </c>
      <c r="D770" s="8">
        <v>113.26</v>
      </c>
      <c r="E770">
        <v>5.0000000000000002E-5</v>
      </c>
      <c r="G770">
        <f t="shared" si="71"/>
        <v>99.974091769338955</v>
      </c>
      <c r="H770">
        <f t="shared" si="72"/>
        <v>4.2831478830249736E-3</v>
      </c>
      <c r="I770">
        <f t="shared" si="73"/>
        <v>4.2331478830249739E-3</v>
      </c>
      <c r="K770">
        <f t="shared" si="74"/>
        <v>-9.0311986863710336E-3</v>
      </c>
      <c r="L770">
        <f t="shared" si="75"/>
        <v>-4.082188052796365E-4</v>
      </c>
      <c r="M770">
        <f t="shared" si="76"/>
        <v>2.3895919992920067E-3</v>
      </c>
    </row>
    <row r="771" spans="1:13" x14ac:dyDescent="0.3">
      <c r="A771" s="3">
        <v>43119</v>
      </c>
      <c r="B771" s="8">
        <v>11.866092</v>
      </c>
      <c r="C771" s="8">
        <v>147.36000000000001</v>
      </c>
      <c r="D771" s="8">
        <v>113.01</v>
      </c>
      <c r="E771">
        <v>5.0000000000000002E-5</v>
      </c>
      <c r="G771">
        <f t="shared" si="71"/>
        <v>100.01155433967143</v>
      </c>
      <c r="H771">
        <f t="shared" si="72"/>
        <v>3.7472278736894182E-4</v>
      </c>
      <c r="I771">
        <f t="shared" si="73"/>
        <v>3.247227873689418E-4</v>
      </c>
      <c r="K771">
        <f t="shared" si="74"/>
        <v>-5.7995028997515075E-3</v>
      </c>
      <c r="L771">
        <f t="shared" si="75"/>
        <v>2.9948271167983265E-3</v>
      </c>
      <c r="M771">
        <f t="shared" si="76"/>
        <v>-2.2073106127494801E-3</v>
      </c>
    </row>
    <row r="772" spans="1:13" x14ac:dyDescent="0.3">
      <c r="A772" s="3">
        <v>43122</v>
      </c>
      <c r="B772" s="8">
        <v>11.885868819999999</v>
      </c>
      <c r="C772" s="8">
        <v>148.13999999999999</v>
      </c>
      <c r="D772" s="8">
        <v>114.33</v>
      </c>
      <c r="E772">
        <v>5.0000000000000002E-5</v>
      </c>
      <c r="G772">
        <f t="shared" si="71"/>
        <v>100.73166718546227</v>
      </c>
      <c r="H772">
        <f t="shared" si="72"/>
        <v>7.2002965111921391E-3</v>
      </c>
      <c r="I772">
        <f t="shared" si="73"/>
        <v>7.1502965111921394E-3</v>
      </c>
      <c r="K772">
        <f t="shared" si="74"/>
        <v>1.6666666666664831E-3</v>
      </c>
      <c r="L772">
        <f t="shared" si="75"/>
        <v>5.293159609120357E-3</v>
      </c>
      <c r="M772">
        <f t="shared" si="76"/>
        <v>1.1680382267055922E-2</v>
      </c>
    </row>
    <row r="773" spans="1:13" x14ac:dyDescent="0.3">
      <c r="A773" s="3">
        <v>43123</v>
      </c>
      <c r="B773" s="8">
        <v>11.826538360000001</v>
      </c>
      <c r="C773" s="8">
        <v>141.83000000000001</v>
      </c>
      <c r="D773" s="8">
        <v>114.21</v>
      </c>
      <c r="E773">
        <v>5.0000000000000002E-5</v>
      </c>
      <c r="G773">
        <f t="shared" ref="G773:G836" si="77">$G$4*(B773*$P$8/B772 + C773*$Q$8/C772 + D773*$R$8/D772)</f>
        <v>97.697995745130612</v>
      </c>
      <c r="H773">
        <f t="shared" ref="H773:H836" si="78">G773/G772-1</f>
        <v>-3.0116362858823797E-2</v>
      </c>
      <c r="I773">
        <f t="shared" si="73"/>
        <v>-3.0166362858823799E-2</v>
      </c>
      <c r="K773">
        <f t="shared" si="74"/>
        <v>-4.991680532445808E-3</v>
      </c>
      <c r="L773">
        <f t="shared" si="75"/>
        <v>-4.2594842716349279E-2</v>
      </c>
      <c r="M773">
        <f t="shared" si="76"/>
        <v>-1.0495932826030119E-3</v>
      </c>
    </row>
    <row r="774" spans="1:13" x14ac:dyDescent="0.3">
      <c r="A774" s="3">
        <v>43124</v>
      </c>
      <c r="B774" s="8">
        <v>11.91553405</v>
      </c>
      <c r="C774" s="8">
        <v>142.07</v>
      </c>
      <c r="D774" s="8">
        <v>115.67</v>
      </c>
      <c r="E774">
        <v>5.0000000000000002E-5</v>
      </c>
      <c r="G774">
        <f t="shared" si="77"/>
        <v>100.64772402366783</v>
      </c>
      <c r="H774">
        <f t="shared" si="78"/>
        <v>3.0192311070867062E-2</v>
      </c>
      <c r="I774">
        <f t="shared" ref="I774:I837" si="79">H774-E774</f>
        <v>3.014231107086706E-2</v>
      </c>
      <c r="K774">
        <f t="shared" ref="K774:K837" si="80">B774/B773-1</f>
        <v>7.5250836120399622E-3</v>
      </c>
      <c r="L774">
        <f t="shared" ref="L774:L837" si="81">C774/C773-1</f>
        <v>1.6921666784177614E-3</v>
      </c>
      <c r="M774">
        <f t="shared" ref="M774:M837" si="82">D774/D773-1</f>
        <v>1.2783469048244456E-2</v>
      </c>
    </row>
    <row r="775" spans="1:13" x14ac:dyDescent="0.3">
      <c r="A775" s="3">
        <v>43125</v>
      </c>
      <c r="B775" s="8">
        <v>11.44089037</v>
      </c>
      <c r="C775" s="8">
        <v>144.4</v>
      </c>
      <c r="D775" s="8">
        <v>115.7</v>
      </c>
      <c r="E775">
        <v>5.0000000000000002E-5</v>
      </c>
      <c r="G775">
        <f t="shared" si="77"/>
        <v>100.4432845559291</v>
      </c>
      <c r="H775">
        <f t="shared" si="78"/>
        <v>-2.031237861778834E-3</v>
      </c>
      <c r="I775">
        <f t="shared" si="79"/>
        <v>-2.0812378617788342E-3</v>
      </c>
      <c r="K775">
        <f t="shared" si="80"/>
        <v>-3.983402489626553E-2</v>
      </c>
      <c r="L775">
        <f t="shared" si="81"/>
        <v>1.6400366016752432E-2</v>
      </c>
      <c r="M775">
        <f t="shared" si="82"/>
        <v>2.5935851992731074E-4</v>
      </c>
    </row>
    <row r="776" spans="1:13" x14ac:dyDescent="0.3">
      <c r="A776" s="3">
        <v>43126</v>
      </c>
      <c r="B776" s="8">
        <v>11.519997650000001</v>
      </c>
      <c r="C776" s="8">
        <v>145.33000000000001</v>
      </c>
      <c r="D776" s="8">
        <v>116.32</v>
      </c>
      <c r="E776">
        <v>5.0000000000000002E-5</v>
      </c>
      <c r="G776">
        <f t="shared" si="77"/>
        <v>100.60830423447085</v>
      </c>
      <c r="H776">
        <f t="shared" si="78"/>
        <v>1.6429140013822785E-3</v>
      </c>
      <c r="I776">
        <f t="shared" si="79"/>
        <v>1.5929140013822786E-3</v>
      </c>
      <c r="K776">
        <f t="shared" si="80"/>
        <v>6.9144338807261008E-3</v>
      </c>
      <c r="L776">
        <f t="shared" si="81"/>
        <v>6.4404432132965095E-3</v>
      </c>
      <c r="M776">
        <f t="shared" si="82"/>
        <v>5.3586862575625283E-3</v>
      </c>
    </row>
    <row r="777" spans="1:13" x14ac:dyDescent="0.3">
      <c r="A777" s="3">
        <v>43129</v>
      </c>
      <c r="B777" s="8">
        <v>11.12</v>
      </c>
      <c r="C777" s="8">
        <v>143.68</v>
      </c>
      <c r="D777" s="8">
        <v>116.2</v>
      </c>
      <c r="E777">
        <v>5.0000000000000002E-5</v>
      </c>
      <c r="G777">
        <f t="shared" si="77"/>
        <v>99.008166172203815</v>
      </c>
      <c r="H777">
        <f t="shared" si="78"/>
        <v>-1.5904632072297531E-2</v>
      </c>
      <c r="I777">
        <f t="shared" si="79"/>
        <v>-1.5954632072297532E-2</v>
      </c>
      <c r="K777">
        <f t="shared" si="80"/>
        <v>-3.4722025312218796E-2</v>
      </c>
      <c r="L777">
        <f t="shared" si="81"/>
        <v>-1.1353471409894733E-2</v>
      </c>
      <c r="M777">
        <f t="shared" si="82"/>
        <v>-1.0316368638239037E-3</v>
      </c>
    </row>
    <row r="778" spans="1:13" x14ac:dyDescent="0.3">
      <c r="A778" s="3">
        <v>43130</v>
      </c>
      <c r="B778" s="8">
        <v>11.06</v>
      </c>
      <c r="C778" s="8">
        <v>142.43</v>
      </c>
      <c r="D778" s="8">
        <v>115.11</v>
      </c>
      <c r="E778">
        <v>5.0000000000000002E-5</v>
      </c>
      <c r="G778">
        <f t="shared" si="77"/>
        <v>99.139032437867797</v>
      </c>
      <c r="H778">
        <f t="shared" si="78"/>
        <v>1.3217724428544741E-3</v>
      </c>
      <c r="I778">
        <f t="shared" si="79"/>
        <v>1.2717724428544742E-3</v>
      </c>
      <c r="K778">
        <f t="shared" si="80"/>
        <v>-5.3956834532372655E-3</v>
      </c>
      <c r="L778">
        <f t="shared" si="81"/>
        <v>-8.6998886414253462E-3</v>
      </c>
      <c r="M778">
        <f t="shared" si="82"/>
        <v>-9.3803786574870873E-3</v>
      </c>
    </row>
    <row r="779" spans="1:13" x14ac:dyDescent="0.3">
      <c r="A779" s="3">
        <v>43131</v>
      </c>
      <c r="B779" s="8">
        <v>10.97</v>
      </c>
      <c r="C779" s="8">
        <v>138.19</v>
      </c>
      <c r="D779" s="8">
        <v>115.67</v>
      </c>
      <c r="E779">
        <v>5.0000000000000002E-5</v>
      </c>
      <c r="G779">
        <f t="shared" si="77"/>
        <v>98.553112829322359</v>
      </c>
      <c r="H779">
        <f t="shared" si="78"/>
        <v>-5.9100799567782802E-3</v>
      </c>
      <c r="I779">
        <f t="shared" si="79"/>
        <v>-5.9600799567782799E-3</v>
      </c>
      <c r="K779">
        <f t="shared" si="80"/>
        <v>-8.1374321880650635E-3</v>
      </c>
      <c r="L779">
        <f t="shared" si="81"/>
        <v>-2.9769009337920482E-2</v>
      </c>
      <c r="M779">
        <f t="shared" si="82"/>
        <v>4.8649118234731503E-3</v>
      </c>
    </row>
    <row r="780" spans="1:13" x14ac:dyDescent="0.3">
      <c r="A780" s="3">
        <v>43132</v>
      </c>
      <c r="B780" s="8">
        <v>10.92</v>
      </c>
      <c r="C780" s="8">
        <v>140.02000000000001</v>
      </c>
      <c r="D780" s="8">
        <v>116.87</v>
      </c>
      <c r="E780">
        <v>6.0000000000000002E-5</v>
      </c>
      <c r="G780">
        <f t="shared" si="77"/>
        <v>101.02977318435926</v>
      </c>
      <c r="H780">
        <f t="shared" si="78"/>
        <v>2.5130209325057606E-2</v>
      </c>
      <c r="I780">
        <f t="shared" si="79"/>
        <v>2.5070209325057605E-2</v>
      </c>
      <c r="K780">
        <f t="shared" si="80"/>
        <v>-4.5578851412945154E-3</v>
      </c>
      <c r="L780">
        <f t="shared" si="81"/>
        <v>1.3242636949128084E-2</v>
      </c>
      <c r="M780">
        <f t="shared" si="82"/>
        <v>1.0374340797095316E-2</v>
      </c>
    </row>
    <row r="781" spans="1:13" x14ac:dyDescent="0.3">
      <c r="A781" s="3">
        <v>43133</v>
      </c>
      <c r="B781" s="8">
        <v>10.71</v>
      </c>
      <c r="C781" s="8">
        <v>137.68</v>
      </c>
      <c r="D781" s="8">
        <v>114.28</v>
      </c>
      <c r="E781">
        <v>6.0000000000000002E-5</v>
      </c>
      <c r="G781">
        <f t="shared" si="77"/>
        <v>98.097342412277072</v>
      </c>
      <c r="H781">
        <f t="shared" si="78"/>
        <v>-2.9025411813318414E-2</v>
      </c>
      <c r="I781">
        <f t="shared" si="79"/>
        <v>-2.9085411813318415E-2</v>
      </c>
      <c r="K781">
        <f t="shared" si="80"/>
        <v>-1.9230769230769162E-2</v>
      </c>
      <c r="L781">
        <f t="shared" si="81"/>
        <v>-1.6711898300242889E-2</v>
      </c>
      <c r="M781">
        <f t="shared" si="82"/>
        <v>-2.2161375887738588E-2</v>
      </c>
    </row>
    <row r="782" spans="1:13" x14ac:dyDescent="0.3">
      <c r="A782" s="3">
        <v>43136</v>
      </c>
      <c r="B782" s="8">
        <v>10.24</v>
      </c>
      <c r="C782" s="8">
        <v>130.38999999999999</v>
      </c>
      <c r="D782" s="8">
        <v>108.8</v>
      </c>
      <c r="E782">
        <v>6.0000000000000002E-5</v>
      </c>
      <c r="G782">
        <f t="shared" si="77"/>
        <v>94.988135146142682</v>
      </c>
      <c r="H782">
        <f t="shared" si="78"/>
        <v>-3.1695122310930857E-2</v>
      </c>
      <c r="I782">
        <f t="shared" si="79"/>
        <v>-3.1755122310930854E-2</v>
      </c>
      <c r="K782">
        <f t="shared" si="80"/>
        <v>-4.3884220354808656E-2</v>
      </c>
      <c r="L782">
        <f t="shared" si="81"/>
        <v>-5.2948866937826966E-2</v>
      </c>
      <c r="M782">
        <f t="shared" si="82"/>
        <v>-4.7952397619881015E-2</v>
      </c>
    </row>
    <row r="783" spans="1:13" x14ac:dyDescent="0.3">
      <c r="A783" s="3">
        <v>43137</v>
      </c>
      <c r="B783" s="8">
        <v>10.76</v>
      </c>
      <c r="C783" s="8">
        <v>131.83000000000001</v>
      </c>
      <c r="D783" s="8">
        <v>112.11</v>
      </c>
      <c r="E783">
        <v>6.0000000000000002E-5</v>
      </c>
      <c r="G783">
        <f t="shared" si="77"/>
        <v>102.25008859385972</v>
      </c>
      <c r="H783">
        <f t="shared" si="78"/>
        <v>7.6451163469461347E-2</v>
      </c>
      <c r="I783">
        <f t="shared" si="79"/>
        <v>7.6391163469461343E-2</v>
      </c>
      <c r="K783">
        <f t="shared" si="80"/>
        <v>5.078125E-2</v>
      </c>
      <c r="L783">
        <f t="shared" si="81"/>
        <v>1.1043791701817796E-2</v>
      </c>
      <c r="M783">
        <f t="shared" si="82"/>
        <v>3.0422794117647145E-2</v>
      </c>
    </row>
    <row r="784" spans="1:13" x14ac:dyDescent="0.3">
      <c r="A784" s="3">
        <v>43138</v>
      </c>
      <c r="B784" s="8">
        <v>10.76</v>
      </c>
      <c r="C784" s="8">
        <v>131.41999999999999</v>
      </c>
      <c r="D784" s="8">
        <v>112.87</v>
      </c>
      <c r="E784">
        <v>6.0000000000000002E-5</v>
      </c>
      <c r="G784">
        <f t="shared" si="77"/>
        <v>100.09372538297434</v>
      </c>
      <c r="H784">
        <f t="shared" si="78"/>
        <v>-2.1089108484301788E-2</v>
      </c>
      <c r="I784">
        <f t="shared" si="79"/>
        <v>-2.1149108484301789E-2</v>
      </c>
      <c r="K784">
        <f t="shared" si="80"/>
        <v>0</v>
      </c>
      <c r="L784">
        <f t="shared" si="81"/>
        <v>-3.1100659940834774E-3</v>
      </c>
      <c r="M784">
        <f t="shared" si="82"/>
        <v>6.7790562840068791E-3</v>
      </c>
    </row>
    <row r="785" spans="1:13" x14ac:dyDescent="0.3">
      <c r="A785" s="3">
        <v>43139</v>
      </c>
      <c r="B785" s="8">
        <v>10.43</v>
      </c>
      <c r="C785" s="8">
        <v>126.36</v>
      </c>
      <c r="D785" s="8">
        <v>107.88</v>
      </c>
      <c r="E785">
        <v>6.0000000000000002E-5</v>
      </c>
      <c r="G785">
        <f t="shared" si="77"/>
        <v>96.017059982459259</v>
      </c>
      <c r="H785">
        <f t="shared" si="78"/>
        <v>-4.0728481080278711E-2</v>
      </c>
      <c r="I785">
        <f t="shared" si="79"/>
        <v>-4.0788481080278709E-2</v>
      </c>
      <c r="K785">
        <f t="shared" si="80"/>
        <v>-3.0669144981412599E-2</v>
      </c>
      <c r="L785">
        <f t="shared" si="81"/>
        <v>-3.8502511033328135E-2</v>
      </c>
      <c r="M785">
        <f t="shared" si="82"/>
        <v>-4.4210153273677721E-2</v>
      </c>
    </row>
    <row r="786" spans="1:13" x14ac:dyDescent="0.3">
      <c r="A786" s="3">
        <v>43140</v>
      </c>
      <c r="B786" s="8">
        <v>10.53</v>
      </c>
      <c r="C786" s="8">
        <v>129.53</v>
      </c>
      <c r="D786" s="8">
        <v>110.04</v>
      </c>
      <c r="E786">
        <v>6.0000000000000002E-5</v>
      </c>
      <c r="G786">
        <f t="shared" si="77"/>
        <v>102.15567494742234</v>
      </c>
      <c r="H786">
        <f t="shared" si="78"/>
        <v>6.3932544550775683E-2</v>
      </c>
      <c r="I786">
        <f t="shared" si="79"/>
        <v>6.3872544550775678E-2</v>
      </c>
      <c r="K786">
        <f t="shared" si="80"/>
        <v>9.5877277085330004E-3</v>
      </c>
      <c r="L786">
        <f t="shared" si="81"/>
        <v>2.5087052864830595E-2</v>
      </c>
      <c r="M786">
        <f t="shared" si="82"/>
        <v>2.0022246941045818E-2</v>
      </c>
    </row>
    <row r="787" spans="1:13" x14ac:dyDescent="0.3">
      <c r="A787" s="3">
        <v>43143</v>
      </c>
      <c r="B787" s="8">
        <v>10.7</v>
      </c>
      <c r="C787" s="8">
        <v>130.27000000000001</v>
      </c>
      <c r="D787" s="8">
        <v>111.74</v>
      </c>
      <c r="E787">
        <v>6.0000000000000002E-5</v>
      </c>
      <c r="G787">
        <f t="shared" si="77"/>
        <v>101.04699390149786</v>
      </c>
      <c r="H787">
        <f t="shared" si="78"/>
        <v>-1.0852858115763975E-2</v>
      </c>
      <c r="I787">
        <f t="shared" si="79"/>
        <v>-1.0912858115763974E-2</v>
      </c>
      <c r="K787">
        <f t="shared" si="80"/>
        <v>1.6144349477682729E-2</v>
      </c>
      <c r="L787">
        <f t="shared" si="81"/>
        <v>5.7129622481280062E-3</v>
      </c>
      <c r="M787">
        <f t="shared" si="82"/>
        <v>1.5448927662667922E-2</v>
      </c>
    </row>
    <row r="788" spans="1:13" x14ac:dyDescent="0.3">
      <c r="A788" s="3">
        <v>43144</v>
      </c>
      <c r="B788" s="8">
        <v>10.59</v>
      </c>
      <c r="C788" s="8">
        <v>129.96</v>
      </c>
      <c r="D788" s="8">
        <v>112.43</v>
      </c>
      <c r="E788">
        <v>6.0000000000000002E-5</v>
      </c>
      <c r="G788">
        <f t="shared" si="77"/>
        <v>100.0011544578626</v>
      </c>
      <c r="H788">
        <f t="shared" si="78"/>
        <v>-1.0350030250823261E-2</v>
      </c>
      <c r="I788">
        <f t="shared" si="79"/>
        <v>-1.041003025082326E-2</v>
      </c>
      <c r="K788">
        <f t="shared" si="80"/>
        <v>-1.0280373831775602E-2</v>
      </c>
      <c r="L788">
        <f t="shared" si="81"/>
        <v>-2.3796729868734712E-3</v>
      </c>
      <c r="M788">
        <f t="shared" si="82"/>
        <v>6.1750492214069919E-3</v>
      </c>
    </row>
    <row r="789" spans="1:13" x14ac:dyDescent="0.3">
      <c r="A789" s="3">
        <v>43145</v>
      </c>
      <c r="B789" s="8">
        <v>10.74</v>
      </c>
      <c r="C789" s="8">
        <v>129.66999999999999</v>
      </c>
      <c r="D789" s="8">
        <v>115.03</v>
      </c>
      <c r="E789">
        <v>6.0000000000000002E-5</v>
      </c>
      <c r="G789">
        <f t="shared" si="77"/>
        <v>100.90289395416781</v>
      </c>
      <c r="H789">
        <f t="shared" si="78"/>
        <v>9.0172908622287995E-3</v>
      </c>
      <c r="I789">
        <f t="shared" si="79"/>
        <v>8.9572908622288002E-3</v>
      </c>
      <c r="K789">
        <f t="shared" si="80"/>
        <v>1.4164305949008638E-2</v>
      </c>
      <c r="L789">
        <f t="shared" si="81"/>
        <v>-2.231455832564011E-3</v>
      </c>
      <c r="M789">
        <f t="shared" si="82"/>
        <v>2.312550031130467E-2</v>
      </c>
    </row>
    <row r="790" spans="1:13" x14ac:dyDescent="0.3">
      <c r="A790" s="3">
        <v>43146</v>
      </c>
      <c r="B790" s="8">
        <v>10.76</v>
      </c>
      <c r="C790" s="8">
        <v>131.22999999999999</v>
      </c>
      <c r="D790" s="8">
        <v>115.51</v>
      </c>
      <c r="E790">
        <v>6.0000000000000002E-5</v>
      </c>
      <c r="G790">
        <f t="shared" si="77"/>
        <v>100.80079350477484</v>
      </c>
      <c r="H790">
        <f t="shared" si="78"/>
        <v>-1.0118683953637131E-3</v>
      </c>
      <c r="I790">
        <f t="shared" si="79"/>
        <v>-1.071868395363713E-3</v>
      </c>
      <c r="K790">
        <f t="shared" si="80"/>
        <v>1.8621973929235924E-3</v>
      </c>
      <c r="L790">
        <f t="shared" si="81"/>
        <v>1.2030539060692513E-2</v>
      </c>
      <c r="M790">
        <f t="shared" si="82"/>
        <v>4.1728244805703252E-3</v>
      </c>
    </row>
    <row r="791" spans="1:13" x14ac:dyDescent="0.3">
      <c r="A791" s="3">
        <v>43147</v>
      </c>
      <c r="B791" s="8">
        <v>10.61</v>
      </c>
      <c r="C791" s="8">
        <v>133.15</v>
      </c>
      <c r="D791" s="8">
        <v>114.68</v>
      </c>
      <c r="E791">
        <v>6.0000000000000002E-5</v>
      </c>
      <c r="G791">
        <f t="shared" si="77"/>
        <v>100.34267539480517</v>
      </c>
      <c r="H791">
        <f t="shared" si="78"/>
        <v>-4.5447867426556821E-3</v>
      </c>
      <c r="I791">
        <f t="shared" si="79"/>
        <v>-4.6047867426556822E-3</v>
      </c>
      <c r="K791">
        <f t="shared" si="80"/>
        <v>-1.3940520446096727E-2</v>
      </c>
      <c r="L791">
        <f t="shared" si="81"/>
        <v>1.4630800883944417E-2</v>
      </c>
      <c r="M791">
        <f t="shared" si="82"/>
        <v>-7.1855250627651523E-3</v>
      </c>
    </row>
    <row r="792" spans="1:13" x14ac:dyDescent="0.3">
      <c r="A792" s="3">
        <v>43151</v>
      </c>
      <c r="B792" s="8">
        <v>10.63</v>
      </c>
      <c r="C792" s="8">
        <v>130.87</v>
      </c>
      <c r="D792" s="8">
        <v>114.71</v>
      </c>
      <c r="E792">
        <v>6.0000000000000002E-5</v>
      </c>
      <c r="G792">
        <f t="shared" si="77"/>
        <v>99.141080277319432</v>
      </c>
      <c r="H792">
        <f t="shared" si="78"/>
        <v>-1.1974916083889342E-2</v>
      </c>
      <c r="I792">
        <f t="shared" si="79"/>
        <v>-1.2034916083889341E-2</v>
      </c>
      <c r="K792">
        <f t="shared" si="80"/>
        <v>1.8850141376061114E-3</v>
      </c>
      <c r="L792">
        <f t="shared" si="81"/>
        <v>-1.712354487420209E-2</v>
      </c>
      <c r="M792">
        <f t="shared" si="82"/>
        <v>2.6159748866394494E-4</v>
      </c>
    </row>
    <row r="793" spans="1:13" x14ac:dyDescent="0.3">
      <c r="A793" s="3">
        <v>43152</v>
      </c>
      <c r="B793" s="8">
        <v>10.6</v>
      </c>
      <c r="C793" s="8">
        <v>129.91</v>
      </c>
      <c r="D793" s="8">
        <v>115.19</v>
      </c>
      <c r="E793">
        <v>6.0000000000000002E-5</v>
      </c>
      <c r="G793">
        <f t="shared" si="77"/>
        <v>99.747257234658008</v>
      </c>
      <c r="H793">
        <f t="shared" si="78"/>
        <v>6.1142863850480733E-3</v>
      </c>
      <c r="I793">
        <f t="shared" si="79"/>
        <v>6.0542863850480732E-3</v>
      </c>
      <c r="K793">
        <f t="shared" si="80"/>
        <v>-2.822201317027373E-3</v>
      </c>
      <c r="L793">
        <f t="shared" si="81"/>
        <v>-7.3355238022465574E-3</v>
      </c>
      <c r="M793">
        <f t="shared" si="82"/>
        <v>4.1844651730451599E-3</v>
      </c>
    </row>
    <row r="794" spans="1:13" x14ac:dyDescent="0.3">
      <c r="A794" s="3">
        <v>43153</v>
      </c>
      <c r="B794" s="8">
        <v>10.63</v>
      </c>
      <c r="C794" s="8">
        <v>129.91</v>
      </c>
      <c r="D794" s="8">
        <v>114.98</v>
      </c>
      <c r="E794">
        <v>6.0000000000000002E-5</v>
      </c>
      <c r="G794">
        <f t="shared" si="77"/>
        <v>99.961056862418701</v>
      </c>
      <c r="H794">
        <f t="shared" si="78"/>
        <v>2.1434136004132576E-3</v>
      </c>
      <c r="I794">
        <f t="shared" si="79"/>
        <v>2.0834136004132574E-3</v>
      </c>
      <c r="K794">
        <f t="shared" si="80"/>
        <v>2.8301886792454489E-3</v>
      </c>
      <c r="L794">
        <f t="shared" si="81"/>
        <v>0</v>
      </c>
      <c r="M794">
        <f t="shared" si="82"/>
        <v>-1.823074919697798E-3</v>
      </c>
    </row>
    <row r="795" spans="1:13" x14ac:dyDescent="0.3">
      <c r="A795" s="3">
        <v>43154</v>
      </c>
      <c r="B795" s="8">
        <v>10.7</v>
      </c>
      <c r="C795" s="8">
        <v>132.02000000000001</v>
      </c>
      <c r="D795" s="8">
        <v>117.31</v>
      </c>
      <c r="E795">
        <v>6.0000000000000002E-5</v>
      </c>
      <c r="G795">
        <f t="shared" si="77"/>
        <v>101.67436132882229</v>
      </c>
      <c r="H795">
        <f t="shared" si="78"/>
        <v>1.7139719408546084E-2</v>
      </c>
      <c r="I795">
        <f t="shared" si="79"/>
        <v>1.7079719408546083E-2</v>
      </c>
      <c r="K795">
        <f t="shared" si="80"/>
        <v>6.5851364063969076E-3</v>
      </c>
      <c r="L795">
        <f t="shared" si="81"/>
        <v>1.6242013701793567E-2</v>
      </c>
      <c r="M795">
        <f t="shared" si="82"/>
        <v>2.0264393807618797E-2</v>
      </c>
    </row>
    <row r="796" spans="1:13" x14ac:dyDescent="0.3">
      <c r="A796" s="3">
        <v>43157</v>
      </c>
      <c r="B796" s="8">
        <v>10.89</v>
      </c>
      <c r="C796" s="8">
        <v>132.07</v>
      </c>
      <c r="D796" s="8">
        <v>118.77</v>
      </c>
      <c r="E796">
        <v>6.0000000000000002E-5</v>
      </c>
      <c r="G796">
        <f t="shared" si="77"/>
        <v>100.67409219943806</v>
      </c>
      <c r="H796">
        <f t="shared" si="78"/>
        <v>-9.8379681594387147E-3</v>
      </c>
      <c r="I796">
        <f t="shared" si="79"/>
        <v>-9.897968159438714E-3</v>
      </c>
      <c r="K796">
        <f t="shared" si="80"/>
        <v>1.7757009345794605E-2</v>
      </c>
      <c r="L796">
        <f t="shared" si="81"/>
        <v>3.7873049537928694E-4</v>
      </c>
      <c r="M796">
        <f t="shared" si="82"/>
        <v>1.2445656806751249E-2</v>
      </c>
    </row>
    <row r="797" spans="1:13" x14ac:dyDescent="0.3">
      <c r="A797" s="3">
        <v>43158</v>
      </c>
      <c r="B797" s="8">
        <v>10.61</v>
      </c>
      <c r="C797" s="8">
        <v>131.66999999999999</v>
      </c>
      <c r="D797" s="8">
        <v>117.36</v>
      </c>
      <c r="E797">
        <v>6.0000000000000002E-5</v>
      </c>
      <c r="G797">
        <f t="shared" si="77"/>
        <v>99.126636913552574</v>
      </c>
      <c r="H797">
        <f t="shared" si="78"/>
        <v>-1.5370938561034553E-2</v>
      </c>
      <c r="I797">
        <f t="shared" si="79"/>
        <v>-1.5430938561034552E-2</v>
      </c>
      <c r="K797">
        <f t="shared" si="80"/>
        <v>-2.5711662075298514E-2</v>
      </c>
      <c r="L797">
        <f t="shared" si="81"/>
        <v>-3.0286969031574351E-3</v>
      </c>
      <c r="M797">
        <f t="shared" si="82"/>
        <v>-1.1871684768881008E-2</v>
      </c>
    </row>
    <row r="798" spans="1:13" x14ac:dyDescent="0.3">
      <c r="A798" s="3">
        <v>43159</v>
      </c>
      <c r="B798" s="8">
        <v>10.61</v>
      </c>
      <c r="C798" s="8">
        <v>129.88</v>
      </c>
      <c r="D798" s="8">
        <v>115.5</v>
      </c>
      <c r="E798">
        <v>6.0000000000000002E-5</v>
      </c>
      <c r="G798">
        <f t="shared" si="77"/>
        <v>98.698191961547209</v>
      </c>
      <c r="H798">
        <f t="shared" si="78"/>
        <v>-4.3221980019256812E-3</v>
      </c>
      <c r="I798">
        <f t="shared" si="79"/>
        <v>-4.3821980019256813E-3</v>
      </c>
      <c r="K798">
        <f t="shared" si="80"/>
        <v>0</v>
      </c>
      <c r="L798">
        <f t="shared" si="81"/>
        <v>-1.3594592541960937E-2</v>
      </c>
      <c r="M798">
        <f t="shared" si="82"/>
        <v>-1.5848670756646199E-2</v>
      </c>
    </row>
    <row r="799" spans="1:13" x14ac:dyDescent="0.3">
      <c r="A799" s="3">
        <v>43160</v>
      </c>
      <c r="B799" s="8">
        <v>10.29</v>
      </c>
      <c r="C799" s="8">
        <v>127.28</v>
      </c>
      <c r="D799" s="8">
        <v>113.43</v>
      </c>
      <c r="E799">
        <v>6.0000000000000002E-5</v>
      </c>
      <c r="G799">
        <f t="shared" si="77"/>
        <v>97.9707539730299</v>
      </c>
      <c r="H799">
        <f t="shared" si="78"/>
        <v>-7.3703273997229868E-3</v>
      </c>
      <c r="I799">
        <f t="shared" si="79"/>
        <v>-7.4303273997229869E-3</v>
      </c>
      <c r="K799">
        <f t="shared" si="80"/>
        <v>-3.0160226201696561E-2</v>
      </c>
      <c r="L799">
        <f t="shared" si="81"/>
        <v>-2.0018478595626665E-2</v>
      </c>
      <c r="M799">
        <f t="shared" si="82"/>
        <v>-1.7922077922077895E-2</v>
      </c>
    </row>
    <row r="800" spans="1:13" x14ac:dyDescent="0.3">
      <c r="A800" s="3">
        <v>43161</v>
      </c>
      <c r="B800" s="8">
        <v>10.4</v>
      </c>
      <c r="C800" s="8">
        <v>128.82</v>
      </c>
      <c r="D800" s="8">
        <v>113.32</v>
      </c>
      <c r="E800">
        <v>6.0000000000000002E-5</v>
      </c>
      <c r="G800">
        <f t="shared" si="77"/>
        <v>100.70335843975762</v>
      </c>
      <c r="H800">
        <f t="shared" si="78"/>
        <v>2.789204283841662E-2</v>
      </c>
      <c r="I800">
        <f t="shared" si="79"/>
        <v>2.7832042838416619E-2</v>
      </c>
      <c r="K800">
        <f t="shared" si="80"/>
        <v>1.0689990281827155E-2</v>
      </c>
      <c r="L800">
        <f t="shared" si="81"/>
        <v>1.2099308610936443E-2</v>
      </c>
      <c r="M800">
        <f t="shared" si="82"/>
        <v>-9.6976108613255896E-4</v>
      </c>
    </row>
    <row r="801" spans="1:13" x14ac:dyDescent="0.3">
      <c r="A801" s="3">
        <v>43164</v>
      </c>
      <c r="B801" s="8">
        <v>10.58</v>
      </c>
      <c r="C801" s="8">
        <v>129.79</v>
      </c>
      <c r="D801" s="8">
        <v>115.06</v>
      </c>
      <c r="E801">
        <v>6.0000000000000002E-5</v>
      </c>
      <c r="G801">
        <f t="shared" si="77"/>
        <v>101.14991984409683</v>
      </c>
      <c r="H801">
        <f t="shared" si="78"/>
        <v>4.4344241469000956E-3</v>
      </c>
      <c r="I801">
        <f t="shared" si="79"/>
        <v>4.3744241469000954E-3</v>
      </c>
      <c r="K801">
        <f t="shared" si="80"/>
        <v>1.7307692307692246E-2</v>
      </c>
      <c r="L801">
        <f t="shared" si="81"/>
        <v>7.5298866635615802E-3</v>
      </c>
      <c r="M801">
        <f t="shared" si="82"/>
        <v>1.5354747617366771E-2</v>
      </c>
    </row>
    <row r="802" spans="1:13" x14ac:dyDescent="0.3">
      <c r="A802" s="3">
        <v>43165</v>
      </c>
      <c r="B802" s="8">
        <v>10.63</v>
      </c>
      <c r="C802" s="8">
        <v>128.22</v>
      </c>
      <c r="D802" s="8">
        <v>115.16</v>
      </c>
      <c r="E802">
        <v>6.0000000000000002E-5</v>
      </c>
      <c r="G802">
        <f t="shared" si="77"/>
        <v>99.454563733365319</v>
      </c>
      <c r="H802">
        <f t="shared" si="78"/>
        <v>-1.6760825053985018E-2</v>
      </c>
      <c r="I802">
        <f t="shared" si="79"/>
        <v>-1.6820825053985019E-2</v>
      </c>
      <c r="K802">
        <f t="shared" si="80"/>
        <v>4.7258979206050711E-3</v>
      </c>
      <c r="L802">
        <f t="shared" si="81"/>
        <v>-1.2096463517990541E-2</v>
      </c>
      <c r="M802">
        <f t="shared" si="82"/>
        <v>8.6911176777326737E-4</v>
      </c>
    </row>
    <row r="803" spans="1:13" x14ac:dyDescent="0.3">
      <c r="A803" s="3">
        <v>43166</v>
      </c>
      <c r="B803" s="8">
        <v>10.63</v>
      </c>
      <c r="C803" s="8">
        <v>129.04</v>
      </c>
      <c r="D803" s="8">
        <v>114.73</v>
      </c>
      <c r="E803">
        <v>6.0000000000000002E-5</v>
      </c>
      <c r="G803">
        <f t="shared" si="77"/>
        <v>100.19133013048507</v>
      </c>
      <c r="H803">
        <f t="shared" si="78"/>
        <v>7.4080702731249559E-3</v>
      </c>
      <c r="I803">
        <f t="shared" si="79"/>
        <v>7.3480702731249558E-3</v>
      </c>
      <c r="K803">
        <f t="shared" si="80"/>
        <v>0</v>
      </c>
      <c r="L803">
        <f t="shared" si="81"/>
        <v>6.3952581500545946E-3</v>
      </c>
      <c r="M803">
        <f t="shared" si="82"/>
        <v>-3.7339353942340558E-3</v>
      </c>
    </row>
    <row r="804" spans="1:13" x14ac:dyDescent="0.3">
      <c r="A804" s="3">
        <v>43167</v>
      </c>
      <c r="B804" s="8">
        <v>10.61</v>
      </c>
      <c r="C804" s="8">
        <v>132.06</v>
      </c>
      <c r="D804" s="8">
        <v>114.74</v>
      </c>
      <c r="E804">
        <v>6.0000000000000002E-5</v>
      </c>
      <c r="G804">
        <f t="shared" si="77"/>
        <v>101.19794500899188</v>
      </c>
      <c r="H804">
        <f t="shared" si="78"/>
        <v>1.0046925988464572E-2</v>
      </c>
      <c r="I804">
        <f t="shared" si="79"/>
        <v>9.986925988464573E-3</v>
      </c>
      <c r="K804">
        <f t="shared" si="80"/>
        <v>-1.8814675446849893E-3</v>
      </c>
      <c r="L804">
        <f t="shared" si="81"/>
        <v>2.3403595784253106E-2</v>
      </c>
      <c r="M804">
        <f t="shared" si="82"/>
        <v>8.7161160986504171E-5</v>
      </c>
    </row>
    <row r="805" spans="1:13" x14ac:dyDescent="0.3">
      <c r="A805" s="3">
        <v>43168</v>
      </c>
      <c r="B805" s="8">
        <v>10.73</v>
      </c>
      <c r="C805" s="8">
        <v>133.80000000000001</v>
      </c>
      <c r="D805" s="8">
        <v>118.04</v>
      </c>
      <c r="E805">
        <v>6.0000000000000002E-5</v>
      </c>
      <c r="G805">
        <f t="shared" si="77"/>
        <v>101.88450319665743</v>
      </c>
      <c r="H805">
        <f t="shared" si="78"/>
        <v>6.7843095786634944E-3</v>
      </c>
      <c r="I805">
        <f t="shared" si="79"/>
        <v>6.7243095786634942E-3</v>
      </c>
      <c r="K805">
        <f t="shared" si="80"/>
        <v>1.1310084825636224E-2</v>
      </c>
      <c r="L805">
        <f t="shared" si="81"/>
        <v>1.317582916855975E-2</v>
      </c>
      <c r="M805">
        <f t="shared" si="82"/>
        <v>2.8760676311661237E-2</v>
      </c>
    </row>
    <row r="806" spans="1:13" x14ac:dyDescent="0.3">
      <c r="A806" s="3">
        <v>43171</v>
      </c>
      <c r="B806" s="8">
        <v>10.81</v>
      </c>
      <c r="C806" s="8">
        <v>132.63</v>
      </c>
      <c r="D806" s="8">
        <v>117.66</v>
      </c>
      <c r="E806">
        <v>6.0000000000000002E-5</v>
      </c>
      <c r="G806">
        <f t="shared" si="77"/>
        <v>99.503258535937334</v>
      </c>
      <c r="H806">
        <f t="shared" si="78"/>
        <v>-2.3372000510458624E-2</v>
      </c>
      <c r="I806">
        <f t="shared" si="79"/>
        <v>-2.3432000510458625E-2</v>
      </c>
      <c r="K806">
        <f t="shared" si="80"/>
        <v>7.455731593662529E-3</v>
      </c>
      <c r="L806">
        <f t="shared" si="81"/>
        <v>-8.7443946188342503E-3</v>
      </c>
      <c r="M806">
        <f t="shared" si="82"/>
        <v>-3.2192477126398167E-3</v>
      </c>
    </row>
    <row r="807" spans="1:13" x14ac:dyDescent="0.3">
      <c r="A807" s="3">
        <v>43172</v>
      </c>
      <c r="B807" s="8">
        <v>10.78</v>
      </c>
      <c r="C807" s="8">
        <v>134.35</v>
      </c>
      <c r="D807" s="8">
        <v>116.25</v>
      </c>
      <c r="E807">
        <v>6.0000000000000002E-5</v>
      </c>
      <c r="G807">
        <f t="shared" si="77"/>
        <v>100.19287145256905</v>
      </c>
      <c r="H807">
        <f t="shared" si="78"/>
        <v>6.9305561122166015E-3</v>
      </c>
      <c r="I807">
        <f t="shared" si="79"/>
        <v>6.8705561122166013E-3</v>
      </c>
      <c r="K807">
        <f t="shared" si="80"/>
        <v>-2.7752081406106077E-3</v>
      </c>
      <c r="L807">
        <f t="shared" si="81"/>
        <v>1.2968408354067762E-2</v>
      </c>
      <c r="M807">
        <f t="shared" si="82"/>
        <v>-1.1983681795002532E-2</v>
      </c>
    </row>
    <row r="808" spans="1:13" x14ac:dyDescent="0.3">
      <c r="A808" s="3">
        <v>43173</v>
      </c>
      <c r="B808" s="8">
        <v>11.02</v>
      </c>
      <c r="C808" s="8">
        <v>132.32</v>
      </c>
      <c r="D808" s="8">
        <v>114.95</v>
      </c>
      <c r="E808">
        <v>6.0000000000000002E-5</v>
      </c>
      <c r="G808">
        <f t="shared" si="77"/>
        <v>99.028478142671219</v>
      </c>
      <c r="H808">
        <f t="shared" si="78"/>
        <v>-1.1621518507422435E-2</v>
      </c>
      <c r="I808">
        <f t="shared" si="79"/>
        <v>-1.1681518507422434E-2</v>
      </c>
      <c r="K808">
        <f t="shared" si="80"/>
        <v>2.226345083487935E-2</v>
      </c>
      <c r="L808">
        <f t="shared" si="81"/>
        <v>-1.5109787867510271E-2</v>
      </c>
      <c r="M808">
        <f t="shared" si="82"/>
        <v>-1.1182795698924664E-2</v>
      </c>
    </row>
    <row r="809" spans="1:13" x14ac:dyDescent="0.3">
      <c r="A809" s="3">
        <v>43174</v>
      </c>
      <c r="B809" s="8">
        <v>11.07</v>
      </c>
      <c r="C809" s="8">
        <v>133.06</v>
      </c>
      <c r="D809" s="8">
        <v>115.24</v>
      </c>
      <c r="E809">
        <v>6.0000000000000002E-5</v>
      </c>
      <c r="G809">
        <f t="shared" si="77"/>
        <v>100.43267583110314</v>
      </c>
      <c r="H809">
        <f t="shared" si="78"/>
        <v>1.4179736120036868E-2</v>
      </c>
      <c r="I809">
        <f t="shared" si="79"/>
        <v>1.4119736120036868E-2</v>
      </c>
      <c r="K809">
        <f t="shared" si="80"/>
        <v>4.5372050816696596E-3</v>
      </c>
      <c r="L809">
        <f t="shared" si="81"/>
        <v>5.5925030229746486E-3</v>
      </c>
      <c r="M809">
        <f t="shared" si="82"/>
        <v>2.5228360156588359E-3</v>
      </c>
    </row>
    <row r="810" spans="1:13" x14ac:dyDescent="0.3">
      <c r="A810" s="3">
        <v>43175</v>
      </c>
      <c r="B810" s="8">
        <v>11.15</v>
      </c>
      <c r="C810" s="8">
        <v>133.68</v>
      </c>
      <c r="D810" s="8">
        <v>115.44</v>
      </c>
      <c r="E810">
        <v>6.0000000000000002E-5</v>
      </c>
      <c r="G810">
        <f t="shared" si="77"/>
        <v>100.382825175598</v>
      </c>
      <c r="H810">
        <f t="shared" si="78"/>
        <v>-4.9635892992605513E-4</v>
      </c>
      <c r="I810">
        <f t="shared" si="79"/>
        <v>-5.5635892992605517E-4</v>
      </c>
      <c r="K810">
        <f t="shared" si="80"/>
        <v>7.2267389340561206E-3</v>
      </c>
      <c r="L810">
        <f t="shared" si="81"/>
        <v>4.6595520817676039E-3</v>
      </c>
      <c r="M810">
        <f t="shared" si="82"/>
        <v>1.7355085039916229E-3</v>
      </c>
    </row>
    <row r="811" spans="1:13" x14ac:dyDescent="0.3">
      <c r="A811" s="3">
        <v>43178</v>
      </c>
      <c r="B811" s="8">
        <v>11.01</v>
      </c>
      <c r="C811" s="8">
        <v>130.24</v>
      </c>
      <c r="D811" s="8">
        <v>114.53</v>
      </c>
      <c r="E811">
        <v>6.0000000000000002E-5</v>
      </c>
      <c r="G811">
        <f t="shared" si="77"/>
        <v>98.236510710284207</v>
      </c>
      <c r="H811">
        <f t="shared" si="78"/>
        <v>-2.1381291685697024E-2</v>
      </c>
      <c r="I811">
        <f t="shared" si="79"/>
        <v>-2.1441291685697025E-2</v>
      </c>
      <c r="K811">
        <f t="shared" si="80"/>
        <v>-1.2556053811659251E-2</v>
      </c>
      <c r="L811">
        <f t="shared" si="81"/>
        <v>-2.5733093955715103E-2</v>
      </c>
      <c r="M811">
        <f t="shared" si="82"/>
        <v>-7.8828828828828579E-3</v>
      </c>
    </row>
    <row r="812" spans="1:13" x14ac:dyDescent="0.3">
      <c r="A812" s="3">
        <v>43179</v>
      </c>
      <c r="B812" s="8">
        <v>10.99</v>
      </c>
      <c r="C812" s="8">
        <v>131.21</v>
      </c>
      <c r="D812" s="8">
        <v>114.64</v>
      </c>
      <c r="E812">
        <v>6.0000000000000002E-5</v>
      </c>
      <c r="G812">
        <f t="shared" si="77"/>
        <v>100.40356136690424</v>
      </c>
      <c r="H812">
        <f t="shared" si="78"/>
        <v>2.2059523907674405E-2</v>
      </c>
      <c r="I812">
        <f t="shared" si="79"/>
        <v>2.1999523907674404E-2</v>
      </c>
      <c r="K812">
        <f t="shared" si="80"/>
        <v>-1.8165304268845661E-3</v>
      </c>
      <c r="L812">
        <f t="shared" si="81"/>
        <v>7.4477886977886154E-3</v>
      </c>
      <c r="M812">
        <f t="shared" si="82"/>
        <v>9.6044704444242512E-4</v>
      </c>
    </row>
    <row r="813" spans="1:13" x14ac:dyDescent="0.3">
      <c r="A813" s="3">
        <v>43180</v>
      </c>
      <c r="B813" s="8">
        <v>11.1</v>
      </c>
      <c r="C813" s="8">
        <v>131.19</v>
      </c>
      <c r="D813" s="8">
        <v>114.74</v>
      </c>
      <c r="E813">
        <v>6.0000000000000002E-5</v>
      </c>
      <c r="G813">
        <f t="shared" si="77"/>
        <v>100.12981379702612</v>
      </c>
      <c r="H813">
        <f t="shared" si="78"/>
        <v>-2.7264727082515483E-3</v>
      </c>
      <c r="I813">
        <f t="shared" si="79"/>
        <v>-2.7864727082515485E-3</v>
      </c>
      <c r="K813">
        <f t="shared" si="80"/>
        <v>1.0009099181073733E-2</v>
      </c>
      <c r="L813">
        <f t="shared" si="81"/>
        <v>-1.5242740644771935E-4</v>
      </c>
      <c r="M813">
        <f t="shared" si="82"/>
        <v>8.7229588276338532E-4</v>
      </c>
    </row>
    <row r="814" spans="1:13" x14ac:dyDescent="0.3">
      <c r="A814" s="3">
        <v>43181</v>
      </c>
      <c r="B814" s="8">
        <v>10.75</v>
      </c>
      <c r="C814" s="8">
        <v>127.38</v>
      </c>
      <c r="D814" s="8">
        <v>109.95</v>
      </c>
      <c r="E814">
        <v>6.0000000000000002E-5</v>
      </c>
      <c r="G814">
        <f t="shared" si="77"/>
        <v>96.591631565178986</v>
      </c>
      <c r="H814">
        <f t="shared" si="78"/>
        <v>-3.5335951378271835E-2</v>
      </c>
      <c r="I814">
        <f t="shared" si="79"/>
        <v>-3.5395951378271832E-2</v>
      </c>
      <c r="K814">
        <f t="shared" si="80"/>
        <v>-3.1531531531531543E-2</v>
      </c>
      <c r="L814">
        <f t="shared" si="81"/>
        <v>-2.9041847701806511E-2</v>
      </c>
      <c r="M814">
        <f t="shared" si="82"/>
        <v>-4.1746557434198972E-2</v>
      </c>
    </row>
    <row r="815" spans="1:13" x14ac:dyDescent="0.3">
      <c r="A815" s="3">
        <v>43182</v>
      </c>
      <c r="B815" s="8">
        <v>10.56</v>
      </c>
      <c r="C815" s="8">
        <v>125.1</v>
      </c>
      <c r="D815" s="8">
        <v>107.01</v>
      </c>
      <c r="E815">
        <v>6.0000000000000002E-5</v>
      </c>
      <c r="G815">
        <f t="shared" si="77"/>
        <v>97.879769030278439</v>
      </c>
      <c r="H815">
        <f t="shared" si="78"/>
        <v>1.3335911654315913E-2</v>
      </c>
      <c r="I815">
        <f t="shared" si="79"/>
        <v>1.3275911654315914E-2</v>
      </c>
      <c r="K815">
        <f t="shared" si="80"/>
        <v>-1.7674418604651132E-2</v>
      </c>
      <c r="L815">
        <f t="shared" si="81"/>
        <v>-1.7899199246349529E-2</v>
      </c>
      <c r="M815">
        <f t="shared" si="82"/>
        <v>-2.6739427012278272E-2</v>
      </c>
    </row>
    <row r="816" spans="1:13" x14ac:dyDescent="0.3">
      <c r="A816" s="3">
        <v>43185</v>
      </c>
      <c r="B816" s="8">
        <v>10.83</v>
      </c>
      <c r="C816" s="8">
        <v>127.39</v>
      </c>
      <c r="D816" s="8">
        <v>110.31</v>
      </c>
      <c r="E816">
        <v>6.0000000000000002E-5</v>
      </c>
      <c r="G816">
        <f t="shared" si="77"/>
        <v>102.37827688451024</v>
      </c>
      <c r="H816">
        <f t="shared" si="78"/>
        <v>4.5959526660102945E-2</v>
      </c>
      <c r="I816">
        <f t="shared" si="79"/>
        <v>4.5899526660102948E-2</v>
      </c>
      <c r="K816">
        <f t="shared" si="80"/>
        <v>2.5568181818181879E-2</v>
      </c>
      <c r="L816">
        <f t="shared" si="81"/>
        <v>1.8305355715427796E-2</v>
      </c>
      <c r="M816">
        <f t="shared" si="82"/>
        <v>3.0838239416876911E-2</v>
      </c>
    </row>
    <row r="817" spans="1:13" x14ac:dyDescent="0.3">
      <c r="A817" s="3">
        <v>43186</v>
      </c>
      <c r="B817" s="8">
        <v>10.83</v>
      </c>
      <c r="C817" s="8">
        <v>127.21</v>
      </c>
      <c r="D817" s="8">
        <v>108.17</v>
      </c>
      <c r="E817">
        <v>6.0000000000000002E-5</v>
      </c>
      <c r="G817">
        <f t="shared" si="77"/>
        <v>99.196645008607902</v>
      </c>
      <c r="H817">
        <f t="shared" si="78"/>
        <v>-3.1077216502592986E-2</v>
      </c>
      <c r="I817">
        <f t="shared" si="79"/>
        <v>-3.1137216502592987E-2</v>
      </c>
      <c r="K817">
        <f t="shared" si="80"/>
        <v>0</v>
      </c>
      <c r="L817">
        <f t="shared" si="81"/>
        <v>-1.4129837506868803E-3</v>
      </c>
      <c r="M817">
        <f t="shared" si="82"/>
        <v>-1.9399873084942398E-2</v>
      </c>
    </row>
    <row r="818" spans="1:13" x14ac:dyDescent="0.3">
      <c r="A818" s="3">
        <v>43187</v>
      </c>
      <c r="B818" s="8">
        <v>10.86</v>
      </c>
      <c r="C818" s="8">
        <v>127.45</v>
      </c>
      <c r="D818" s="8">
        <v>108</v>
      </c>
      <c r="E818">
        <v>6.0000000000000002E-5</v>
      </c>
      <c r="G818">
        <f t="shared" si="77"/>
        <v>100.06778579043694</v>
      </c>
      <c r="H818">
        <f t="shared" si="78"/>
        <v>8.7819581171666439E-3</v>
      </c>
      <c r="I818">
        <f t="shared" si="79"/>
        <v>8.7219581171666446E-3</v>
      </c>
      <c r="K818">
        <f t="shared" si="80"/>
        <v>2.7700831024930483E-3</v>
      </c>
      <c r="L818">
        <f t="shared" si="81"/>
        <v>1.8866441317506588E-3</v>
      </c>
      <c r="M818">
        <f t="shared" si="82"/>
        <v>-1.5716002588518352E-3</v>
      </c>
    </row>
    <row r="819" spans="1:13" x14ac:dyDescent="0.3">
      <c r="A819" s="3">
        <v>43188</v>
      </c>
      <c r="B819" s="8">
        <v>11.08</v>
      </c>
      <c r="C819" s="8">
        <v>128.15</v>
      </c>
      <c r="D819" s="8">
        <v>109.97</v>
      </c>
      <c r="E819">
        <v>6.0000000000000002E-5</v>
      </c>
      <c r="G819">
        <f t="shared" si="77"/>
        <v>101.18371557905965</v>
      </c>
      <c r="H819">
        <f t="shared" si="78"/>
        <v>1.1151738592074967E-2</v>
      </c>
      <c r="I819">
        <f t="shared" si="79"/>
        <v>1.1091738592074967E-2</v>
      </c>
      <c r="K819">
        <f t="shared" si="80"/>
        <v>2.0257826887661201E-2</v>
      </c>
      <c r="L819">
        <f t="shared" si="81"/>
        <v>5.4923499411534404E-3</v>
      </c>
      <c r="M819">
        <f t="shared" si="82"/>
        <v>1.824074074074078E-2</v>
      </c>
    </row>
    <row r="820" spans="1:13" x14ac:dyDescent="0.3">
      <c r="A820" s="3">
        <v>43192</v>
      </c>
      <c r="B820" s="8">
        <v>10.86</v>
      </c>
      <c r="C820" s="8">
        <v>124.56</v>
      </c>
      <c r="D820" s="8">
        <v>107.85</v>
      </c>
      <c r="E820">
        <v>7.0000000000000007E-5</v>
      </c>
      <c r="G820">
        <f t="shared" si="77"/>
        <v>97.612844748487859</v>
      </c>
      <c r="H820">
        <f t="shared" si="78"/>
        <v>-3.5290963670747022E-2</v>
      </c>
      <c r="I820">
        <f t="shared" si="79"/>
        <v>-3.5360963670747023E-2</v>
      </c>
      <c r="K820">
        <f t="shared" si="80"/>
        <v>-1.9855595667870096E-2</v>
      </c>
      <c r="L820">
        <f t="shared" si="81"/>
        <v>-2.801404603979718E-2</v>
      </c>
      <c r="M820">
        <f t="shared" si="82"/>
        <v>-1.9277984904974121E-2</v>
      </c>
    </row>
    <row r="821" spans="1:13" x14ac:dyDescent="0.3">
      <c r="A821" s="3">
        <v>43193</v>
      </c>
      <c r="B821" s="8">
        <v>11.15</v>
      </c>
      <c r="C821" s="8">
        <v>128.35</v>
      </c>
      <c r="D821" s="8">
        <v>109.33</v>
      </c>
      <c r="E821">
        <v>7.0000000000000007E-5</v>
      </c>
      <c r="G821">
        <f t="shared" si="77"/>
        <v>102.37508472009674</v>
      </c>
      <c r="H821">
        <f t="shared" si="78"/>
        <v>4.8787021665841257E-2</v>
      </c>
      <c r="I821">
        <f t="shared" si="79"/>
        <v>4.8717021665841256E-2</v>
      </c>
      <c r="K821">
        <f t="shared" si="80"/>
        <v>2.6703499079189674E-2</v>
      </c>
      <c r="L821">
        <f t="shared" si="81"/>
        <v>3.0427103403982025E-2</v>
      </c>
      <c r="M821">
        <f t="shared" si="82"/>
        <v>1.3722763096893908E-2</v>
      </c>
    </row>
    <row r="822" spans="1:13" x14ac:dyDescent="0.3">
      <c r="A822" s="3">
        <v>43194</v>
      </c>
      <c r="B822" s="8">
        <v>11.33</v>
      </c>
      <c r="C822" s="8">
        <v>130.41</v>
      </c>
      <c r="D822" s="8">
        <v>110.99</v>
      </c>
      <c r="E822">
        <v>7.0000000000000007E-5</v>
      </c>
      <c r="G822">
        <f t="shared" si="77"/>
        <v>101.57336137420891</v>
      </c>
      <c r="H822">
        <f t="shared" si="78"/>
        <v>-7.8312349931607406E-3</v>
      </c>
      <c r="I822">
        <f t="shared" si="79"/>
        <v>-7.9012349931607412E-3</v>
      </c>
      <c r="K822">
        <f t="shared" si="80"/>
        <v>1.6143497757847403E-2</v>
      </c>
      <c r="L822">
        <f t="shared" si="81"/>
        <v>1.6049863654070906E-2</v>
      </c>
      <c r="M822">
        <f t="shared" si="82"/>
        <v>1.5183389737492003E-2</v>
      </c>
    </row>
    <row r="823" spans="1:13" x14ac:dyDescent="0.3">
      <c r="A823" s="3">
        <v>43195</v>
      </c>
      <c r="B823" s="8">
        <v>11.35</v>
      </c>
      <c r="C823" s="8">
        <v>130.71</v>
      </c>
      <c r="D823" s="8">
        <v>111.88</v>
      </c>
      <c r="E823">
        <v>7.0000000000000007E-5</v>
      </c>
      <c r="G823">
        <f t="shared" si="77"/>
        <v>100.43962015657937</v>
      </c>
      <c r="H823">
        <f t="shared" si="78"/>
        <v>-1.1161796777136357E-2</v>
      </c>
      <c r="I823">
        <f t="shared" si="79"/>
        <v>-1.1231796777136357E-2</v>
      </c>
      <c r="K823">
        <f t="shared" si="80"/>
        <v>1.765225066195919E-3</v>
      </c>
      <c r="L823">
        <f t="shared" si="81"/>
        <v>2.3004370830459475E-3</v>
      </c>
      <c r="M823">
        <f t="shared" si="82"/>
        <v>8.0187404270655183E-3</v>
      </c>
    </row>
    <row r="824" spans="1:13" x14ac:dyDescent="0.3">
      <c r="A824" s="3">
        <v>43196</v>
      </c>
      <c r="B824" s="8">
        <v>11.18</v>
      </c>
      <c r="C824" s="8">
        <v>128.1</v>
      </c>
      <c r="D824" s="8">
        <v>109.09</v>
      </c>
      <c r="E824">
        <v>7.0000000000000007E-5</v>
      </c>
      <c r="G824">
        <f t="shared" si="77"/>
        <v>97.868498656211187</v>
      </c>
      <c r="H824">
        <f t="shared" si="78"/>
        <v>-2.5598678055133606E-2</v>
      </c>
      <c r="I824">
        <f t="shared" si="79"/>
        <v>-2.5668678055133606E-2</v>
      </c>
      <c r="K824">
        <f t="shared" si="80"/>
        <v>-1.4977973568281899E-2</v>
      </c>
      <c r="L824">
        <f t="shared" si="81"/>
        <v>-1.9967867798944328E-2</v>
      </c>
      <c r="M824">
        <f t="shared" si="82"/>
        <v>-2.4937432963889838E-2</v>
      </c>
    </row>
    <row r="825" spans="1:13" x14ac:dyDescent="0.3">
      <c r="A825" s="3">
        <v>43199</v>
      </c>
      <c r="B825" s="8">
        <v>11.25</v>
      </c>
      <c r="C825" s="8">
        <v>129.47999999999999</v>
      </c>
      <c r="D825" s="8">
        <v>110.4</v>
      </c>
      <c r="E825">
        <v>7.0000000000000007E-5</v>
      </c>
      <c r="G825">
        <f t="shared" si="77"/>
        <v>101.07649708048629</v>
      </c>
      <c r="H825">
        <f t="shared" si="78"/>
        <v>3.2778661860789704E-2</v>
      </c>
      <c r="I825">
        <f t="shared" si="79"/>
        <v>3.2708661860789703E-2</v>
      </c>
      <c r="K825">
        <f t="shared" si="80"/>
        <v>6.2611806797854275E-3</v>
      </c>
      <c r="L825">
        <f t="shared" si="81"/>
        <v>1.0772833723653452E-2</v>
      </c>
      <c r="M825">
        <f t="shared" si="82"/>
        <v>1.2008433403611685E-2</v>
      </c>
    </row>
    <row r="826" spans="1:13" x14ac:dyDescent="0.3">
      <c r="A826" s="3">
        <v>43200</v>
      </c>
      <c r="B826" s="8">
        <v>11.45</v>
      </c>
      <c r="C826" s="8">
        <v>130.25</v>
      </c>
      <c r="D826" s="8">
        <v>112.51</v>
      </c>
      <c r="E826">
        <v>7.0000000000000007E-5</v>
      </c>
      <c r="G826">
        <f t="shared" si="77"/>
        <v>101.21410664827448</v>
      </c>
      <c r="H826">
        <f t="shared" si="78"/>
        <v>1.3614398179886411E-3</v>
      </c>
      <c r="I826">
        <f t="shared" si="79"/>
        <v>1.2914398179886411E-3</v>
      </c>
      <c r="K826">
        <f t="shared" si="80"/>
        <v>1.777777777777767E-2</v>
      </c>
      <c r="L826">
        <f t="shared" si="81"/>
        <v>5.946864380599326E-3</v>
      </c>
      <c r="M826">
        <f t="shared" si="82"/>
        <v>1.9112318840579734E-2</v>
      </c>
    </row>
    <row r="827" spans="1:13" x14ac:dyDescent="0.3">
      <c r="A827" s="3">
        <v>43201</v>
      </c>
      <c r="B827" s="8">
        <v>11.43</v>
      </c>
      <c r="C827" s="8">
        <v>129.63</v>
      </c>
      <c r="D827" s="8">
        <v>110.62</v>
      </c>
      <c r="E827">
        <v>7.0000000000000007E-5</v>
      </c>
      <c r="G827">
        <f t="shared" si="77"/>
        <v>99.102554533413439</v>
      </c>
      <c r="H827">
        <f t="shared" si="78"/>
        <v>-2.0862231410082144E-2</v>
      </c>
      <c r="I827">
        <f t="shared" si="79"/>
        <v>-2.0932231410082144E-2</v>
      </c>
      <c r="K827">
        <f t="shared" si="80"/>
        <v>-1.7467248908296096E-3</v>
      </c>
      <c r="L827">
        <f t="shared" si="81"/>
        <v>-4.7600767754318873E-3</v>
      </c>
      <c r="M827">
        <f t="shared" si="82"/>
        <v>-1.6798506799395652E-2</v>
      </c>
    </row>
    <row r="828" spans="1:13" x14ac:dyDescent="0.3">
      <c r="A828" s="3">
        <v>43202</v>
      </c>
      <c r="B828" s="8">
        <v>11.31</v>
      </c>
      <c r="C828" s="8">
        <v>130.43</v>
      </c>
      <c r="D828" s="8">
        <v>113.37</v>
      </c>
      <c r="E828">
        <v>7.0000000000000007E-5</v>
      </c>
      <c r="G828">
        <f t="shared" si="77"/>
        <v>101.14570079714508</v>
      </c>
      <c r="H828">
        <f t="shared" si="78"/>
        <v>2.0616484341407837E-2</v>
      </c>
      <c r="I828">
        <f t="shared" si="79"/>
        <v>2.0546484341407836E-2</v>
      </c>
      <c r="K828">
        <f t="shared" si="80"/>
        <v>-1.0498687664041939E-2</v>
      </c>
      <c r="L828">
        <f t="shared" si="81"/>
        <v>6.1714109388260052E-3</v>
      </c>
      <c r="M828">
        <f t="shared" si="82"/>
        <v>2.4859880672572832E-2</v>
      </c>
    </row>
    <row r="829" spans="1:13" x14ac:dyDescent="0.3">
      <c r="A829" s="3">
        <v>43203</v>
      </c>
      <c r="B829" s="8">
        <v>11.28</v>
      </c>
      <c r="C829" s="8">
        <v>130.62</v>
      </c>
      <c r="D829" s="8">
        <v>110.3</v>
      </c>
      <c r="E829">
        <v>7.0000000000000007E-5</v>
      </c>
      <c r="G829">
        <f t="shared" si="77"/>
        <v>99.028760085924517</v>
      </c>
      <c r="H829">
        <f t="shared" si="78"/>
        <v>-2.0929616331061274E-2</v>
      </c>
      <c r="I829">
        <f t="shared" si="79"/>
        <v>-2.0999616331061274E-2</v>
      </c>
      <c r="K829">
        <f t="shared" si="80"/>
        <v>-2.6525198938992522E-3</v>
      </c>
      <c r="L829">
        <f t="shared" si="81"/>
        <v>1.4567200797361846E-3</v>
      </c>
      <c r="M829">
        <f t="shared" si="82"/>
        <v>-2.7079474287730498E-2</v>
      </c>
    </row>
    <row r="830" spans="1:13" x14ac:dyDescent="0.3">
      <c r="A830" s="3">
        <v>43206</v>
      </c>
      <c r="B830" s="8">
        <v>11.38</v>
      </c>
      <c r="C830" s="8">
        <v>131.76</v>
      </c>
      <c r="D830" s="8">
        <v>110.21</v>
      </c>
      <c r="E830">
        <v>7.0000000000000007E-5</v>
      </c>
      <c r="G830">
        <f t="shared" si="77"/>
        <v>100.51506916194472</v>
      </c>
      <c r="H830">
        <f t="shared" si="78"/>
        <v>1.5008862826622948E-2</v>
      </c>
      <c r="I830">
        <f t="shared" si="79"/>
        <v>1.4938862826622948E-2</v>
      </c>
      <c r="K830">
        <f t="shared" si="80"/>
        <v>8.8652482269504507E-3</v>
      </c>
      <c r="L830">
        <f t="shared" si="81"/>
        <v>8.7276067983461658E-3</v>
      </c>
      <c r="M830">
        <f t="shared" si="82"/>
        <v>-8.1595648232102302E-4</v>
      </c>
    </row>
    <row r="831" spans="1:13" x14ac:dyDescent="0.3">
      <c r="A831" s="3">
        <v>43207</v>
      </c>
      <c r="B831" s="8">
        <v>11.38</v>
      </c>
      <c r="C831" s="8">
        <v>130.54</v>
      </c>
      <c r="D831" s="8">
        <v>110.21</v>
      </c>
      <c r="E831">
        <v>7.0000000000000007E-5</v>
      </c>
      <c r="G831">
        <f t="shared" si="77"/>
        <v>99.519548638528548</v>
      </c>
      <c r="H831">
        <f t="shared" si="78"/>
        <v>-9.9041917964782789E-3</v>
      </c>
      <c r="I831">
        <f t="shared" si="79"/>
        <v>-9.9741917964782795E-3</v>
      </c>
      <c r="K831">
        <f t="shared" si="80"/>
        <v>0</v>
      </c>
      <c r="L831">
        <f t="shared" si="81"/>
        <v>-9.2592592592593004E-3</v>
      </c>
      <c r="M831">
        <f t="shared" si="82"/>
        <v>0</v>
      </c>
    </row>
    <row r="832" spans="1:13" x14ac:dyDescent="0.3">
      <c r="A832" s="3">
        <v>43208</v>
      </c>
      <c r="B832" s="8">
        <v>11.33</v>
      </c>
      <c r="C832" s="8">
        <v>127.72</v>
      </c>
      <c r="D832" s="8">
        <v>109.32</v>
      </c>
      <c r="E832">
        <v>7.0000000000000007E-5</v>
      </c>
      <c r="G832">
        <f t="shared" si="77"/>
        <v>98.529133774105702</v>
      </c>
      <c r="H832">
        <f t="shared" si="78"/>
        <v>-9.9519629858872971E-3</v>
      </c>
      <c r="I832">
        <f t="shared" si="79"/>
        <v>-1.0021962985887298E-2</v>
      </c>
      <c r="K832">
        <f t="shared" si="80"/>
        <v>-4.3936731107205862E-3</v>
      </c>
      <c r="L832">
        <f t="shared" si="81"/>
        <v>-2.1602573923701462E-2</v>
      </c>
      <c r="M832">
        <f t="shared" si="82"/>
        <v>-8.0754922420832598E-3</v>
      </c>
    </row>
    <row r="833" spans="1:13" x14ac:dyDescent="0.3">
      <c r="A833" s="3">
        <v>43209</v>
      </c>
      <c r="B833" s="8">
        <v>10.96</v>
      </c>
      <c r="C833" s="8">
        <v>127.55</v>
      </c>
      <c r="D833" s="8">
        <v>111.72</v>
      </c>
      <c r="E833">
        <v>7.0000000000000007E-5</v>
      </c>
      <c r="G833">
        <f t="shared" si="77"/>
        <v>100.41483232750616</v>
      </c>
      <c r="H833">
        <f t="shared" si="78"/>
        <v>1.9138487076560962E-2</v>
      </c>
      <c r="I833">
        <f t="shared" si="79"/>
        <v>1.9068487076560961E-2</v>
      </c>
      <c r="K833">
        <f t="shared" si="80"/>
        <v>-3.2656663724624835E-2</v>
      </c>
      <c r="L833">
        <f t="shared" si="81"/>
        <v>-1.3310366426557696E-3</v>
      </c>
      <c r="M833">
        <f t="shared" si="82"/>
        <v>2.1953896816685026E-2</v>
      </c>
    </row>
    <row r="834" spans="1:13" x14ac:dyDescent="0.3">
      <c r="A834" s="3">
        <v>43210</v>
      </c>
      <c r="B834" s="8">
        <v>10.82</v>
      </c>
      <c r="C834" s="8">
        <v>126.66</v>
      </c>
      <c r="D834" s="8">
        <v>111.47</v>
      </c>
      <c r="E834">
        <v>7.0000000000000007E-5</v>
      </c>
      <c r="G834">
        <f t="shared" si="77"/>
        <v>99.419858272365275</v>
      </c>
      <c r="H834">
        <f t="shared" si="78"/>
        <v>-9.9086363247189446E-3</v>
      </c>
      <c r="I834">
        <f t="shared" si="79"/>
        <v>-9.9786363247189452E-3</v>
      </c>
      <c r="K834">
        <f t="shared" si="80"/>
        <v>-1.2773722627737238E-2</v>
      </c>
      <c r="L834">
        <f t="shared" si="81"/>
        <v>-6.9776558212465423E-3</v>
      </c>
      <c r="M834">
        <f t="shared" si="82"/>
        <v>-2.2377372001431972E-3</v>
      </c>
    </row>
    <row r="835" spans="1:13" x14ac:dyDescent="0.3">
      <c r="A835" s="3">
        <v>43213</v>
      </c>
      <c r="B835" s="8">
        <v>11.04</v>
      </c>
      <c r="C835" s="8">
        <v>126.83</v>
      </c>
      <c r="D835" s="8">
        <v>110.93</v>
      </c>
      <c r="E835">
        <v>7.0000000000000007E-5</v>
      </c>
      <c r="G835">
        <f t="shared" si="77"/>
        <v>100.10043747422802</v>
      </c>
      <c r="H835">
        <f t="shared" si="78"/>
        <v>6.8455056533902603E-3</v>
      </c>
      <c r="I835">
        <f t="shared" si="79"/>
        <v>6.7755056533902605E-3</v>
      </c>
      <c r="K835">
        <f t="shared" si="80"/>
        <v>2.0332717190387983E-2</v>
      </c>
      <c r="L835">
        <f t="shared" si="81"/>
        <v>1.34217590399488E-3</v>
      </c>
      <c r="M835">
        <f t="shared" si="82"/>
        <v>-4.8443527406476505E-3</v>
      </c>
    </row>
    <row r="836" spans="1:13" x14ac:dyDescent="0.3">
      <c r="A836" s="3">
        <v>43214</v>
      </c>
      <c r="B836" s="8">
        <v>10.96</v>
      </c>
      <c r="C836" s="8">
        <v>126.19</v>
      </c>
      <c r="D836" s="8">
        <v>110.41</v>
      </c>
      <c r="E836">
        <v>7.0000000000000007E-5</v>
      </c>
      <c r="G836">
        <f t="shared" si="77"/>
        <v>99.485818489318518</v>
      </c>
      <c r="H836">
        <f t="shared" si="78"/>
        <v>-6.1400229651118465E-3</v>
      </c>
      <c r="I836">
        <f t="shared" si="79"/>
        <v>-6.2100229651118463E-3</v>
      </c>
      <c r="K836">
        <f t="shared" si="80"/>
        <v>-7.246376811594013E-3</v>
      </c>
      <c r="L836">
        <f t="shared" si="81"/>
        <v>-5.0461247338957627E-3</v>
      </c>
      <c r="M836">
        <f t="shared" si="82"/>
        <v>-4.6876408545930559E-3</v>
      </c>
    </row>
    <row r="837" spans="1:13" x14ac:dyDescent="0.3">
      <c r="A837" s="3">
        <v>43215</v>
      </c>
      <c r="B837" s="8">
        <v>11.11</v>
      </c>
      <c r="C837" s="8">
        <v>126.76</v>
      </c>
      <c r="D837" s="8">
        <v>109.99</v>
      </c>
      <c r="E837">
        <v>7.0000000000000007E-5</v>
      </c>
      <c r="G837">
        <f t="shared" ref="G837:G900" si="83">$G$4*(B837*$P$8/B836 + C837*$Q$8/C836 + D837*$R$8/D836)</f>
        <v>100.23466667762256</v>
      </c>
      <c r="H837">
        <f t="shared" ref="H837:H900" si="84">G837/G836-1</f>
        <v>7.5271852780147697E-3</v>
      </c>
      <c r="I837">
        <f t="shared" si="79"/>
        <v>7.4571852780147699E-3</v>
      </c>
      <c r="K837">
        <f t="shared" si="80"/>
        <v>1.3686131386861256E-2</v>
      </c>
      <c r="L837">
        <f t="shared" si="81"/>
        <v>4.5169981773516277E-3</v>
      </c>
      <c r="M837">
        <f t="shared" si="82"/>
        <v>-3.8040032605742846E-3</v>
      </c>
    </row>
    <row r="838" spans="1:13" x14ac:dyDescent="0.3">
      <c r="A838" s="3">
        <v>43216</v>
      </c>
      <c r="B838" s="8">
        <v>11.43</v>
      </c>
      <c r="C838" s="8">
        <v>128.01</v>
      </c>
      <c r="D838" s="8">
        <v>110.1</v>
      </c>
      <c r="E838">
        <v>7.0000000000000007E-5</v>
      </c>
      <c r="G838">
        <f t="shared" si="83"/>
        <v>100.85117827793945</v>
      </c>
      <c r="H838">
        <f t="shared" si="84"/>
        <v>6.1506824011270389E-3</v>
      </c>
      <c r="I838">
        <f t="shared" ref="I838:I901" si="85">H838-E838</f>
        <v>6.0806824011270392E-3</v>
      </c>
      <c r="K838">
        <f t="shared" ref="K838:K901" si="86">B838/B837-1</f>
        <v>2.8802880288028909E-2</v>
      </c>
      <c r="L838">
        <f t="shared" ref="L838:L901" si="87">C838/C837-1</f>
        <v>9.8611549384661767E-3</v>
      </c>
      <c r="M838">
        <f t="shared" ref="M838:M901" si="88">D838/D837-1</f>
        <v>1.0000909173562E-3</v>
      </c>
    </row>
    <row r="839" spans="1:13" x14ac:dyDescent="0.3">
      <c r="A839" s="3">
        <v>43217</v>
      </c>
      <c r="B839" s="8">
        <v>11.49</v>
      </c>
      <c r="C839" s="8">
        <v>128.27000000000001</v>
      </c>
      <c r="D839" s="8">
        <v>109.4</v>
      </c>
      <c r="E839">
        <v>7.0000000000000007E-5</v>
      </c>
      <c r="G839">
        <f t="shared" si="83"/>
        <v>99.921152491417047</v>
      </c>
      <c r="H839">
        <f t="shared" si="84"/>
        <v>-9.221764211413741E-3</v>
      </c>
      <c r="I839">
        <f t="shared" si="85"/>
        <v>-9.2917642114137416E-3</v>
      </c>
      <c r="K839">
        <f t="shared" si="86"/>
        <v>5.2493438320211361E-3</v>
      </c>
      <c r="L839">
        <f t="shared" si="87"/>
        <v>2.0310913209906634E-3</v>
      </c>
      <c r="M839">
        <f t="shared" si="88"/>
        <v>-6.3578564940961479E-3</v>
      </c>
    </row>
    <row r="840" spans="1:13" x14ac:dyDescent="0.3">
      <c r="A840" s="3">
        <v>43220</v>
      </c>
      <c r="B840" s="8">
        <v>11.24</v>
      </c>
      <c r="C840" s="8">
        <v>126.49</v>
      </c>
      <c r="D840" s="8">
        <v>108.78</v>
      </c>
      <c r="E840">
        <v>7.0000000000000007E-5</v>
      </c>
      <c r="G840">
        <f t="shared" si="83"/>
        <v>98.838646188764599</v>
      </c>
      <c r="H840">
        <f t="shared" si="84"/>
        <v>-1.0833605054199391E-2</v>
      </c>
      <c r="I840">
        <f t="shared" si="85"/>
        <v>-1.0903605054199392E-2</v>
      </c>
      <c r="K840">
        <f t="shared" si="86"/>
        <v>-2.1758050478677071E-2</v>
      </c>
      <c r="L840">
        <f t="shared" si="87"/>
        <v>-1.3876978249006133E-2</v>
      </c>
      <c r="M840">
        <f t="shared" si="88"/>
        <v>-5.6672760511883302E-3</v>
      </c>
    </row>
    <row r="841" spans="1:13" x14ac:dyDescent="0.3">
      <c r="A841" s="3">
        <v>43221</v>
      </c>
      <c r="B841" s="8">
        <v>11.26</v>
      </c>
      <c r="C841" s="8">
        <v>126.01</v>
      </c>
      <c r="D841" s="8">
        <v>108.78</v>
      </c>
      <c r="E841">
        <v>6.0000000000000002E-5</v>
      </c>
      <c r="G841">
        <f t="shared" si="83"/>
        <v>99.821742426244299</v>
      </c>
      <c r="H841">
        <f t="shared" si="84"/>
        <v>9.9464761547032321E-3</v>
      </c>
      <c r="I841">
        <f t="shared" si="85"/>
        <v>9.8864761547032328E-3</v>
      </c>
      <c r="K841">
        <f t="shared" si="86"/>
        <v>1.779359430605032E-3</v>
      </c>
      <c r="L841">
        <f t="shared" si="87"/>
        <v>-3.7947663846943369E-3</v>
      </c>
      <c r="M841">
        <f t="shared" si="88"/>
        <v>0</v>
      </c>
    </row>
    <row r="842" spans="1:13" x14ac:dyDescent="0.3">
      <c r="A842" s="3">
        <v>43222</v>
      </c>
      <c r="B842" s="8">
        <v>11.21</v>
      </c>
      <c r="C842" s="8">
        <v>123.5</v>
      </c>
      <c r="D842" s="8">
        <v>107.92</v>
      </c>
      <c r="E842">
        <v>6.0000000000000002E-5</v>
      </c>
      <c r="G842">
        <f t="shared" si="83"/>
        <v>98.622382027088975</v>
      </c>
      <c r="H842">
        <f t="shared" si="84"/>
        <v>-1.2015021677682092E-2</v>
      </c>
      <c r="I842">
        <f t="shared" si="85"/>
        <v>-1.2075021677682091E-2</v>
      </c>
      <c r="K842">
        <f t="shared" si="86"/>
        <v>-4.4404973357015098E-3</v>
      </c>
      <c r="L842">
        <f t="shared" si="87"/>
        <v>-1.9919054043329942E-2</v>
      </c>
      <c r="M842">
        <f t="shared" si="88"/>
        <v>-7.9058650487221493E-3</v>
      </c>
    </row>
    <row r="843" spans="1:13" x14ac:dyDescent="0.3">
      <c r="A843" s="3">
        <v>43223</v>
      </c>
      <c r="B843" s="8">
        <v>11.2</v>
      </c>
      <c r="C843" s="8">
        <v>123.03</v>
      </c>
      <c r="D843" s="8">
        <v>107.24</v>
      </c>
      <c r="E843">
        <v>6.0000000000000002E-5</v>
      </c>
      <c r="G843">
        <f t="shared" si="83"/>
        <v>99.556067954927286</v>
      </c>
      <c r="H843">
        <f t="shared" si="84"/>
        <v>9.4672822603478757E-3</v>
      </c>
      <c r="I843">
        <f t="shared" si="85"/>
        <v>9.4072822603478764E-3</v>
      </c>
      <c r="K843">
        <f t="shared" si="86"/>
        <v>-8.9206066012503804E-4</v>
      </c>
      <c r="L843">
        <f t="shared" si="87"/>
        <v>-3.8056680161943079E-3</v>
      </c>
      <c r="M843">
        <f t="shared" si="88"/>
        <v>-6.3009636767976662E-3</v>
      </c>
    </row>
    <row r="844" spans="1:13" x14ac:dyDescent="0.3">
      <c r="A844" s="3">
        <v>43224</v>
      </c>
      <c r="B844" s="8">
        <v>11.36</v>
      </c>
      <c r="C844" s="8">
        <v>124.19</v>
      </c>
      <c r="D844" s="8">
        <v>108.43</v>
      </c>
      <c r="E844">
        <v>6.0000000000000002E-5</v>
      </c>
      <c r="G844">
        <f t="shared" si="83"/>
        <v>101.05653216546546</v>
      </c>
      <c r="H844">
        <f t="shared" si="84"/>
        <v>1.5071549543494323E-2</v>
      </c>
      <c r="I844">
        <f t="shared" si="85"/>
        <v>1.5011549543494323E-2</v>
      </c>
      <c r="K844">
        <f t="shared" si="86"/>
        <v>1.4285714285714235E-2</v>
      </c>
      <c r="L844">
        <f t="shared" si="87"/>
        <v>9.4285946517109753E-3</v>
      </c>
      <c r="M844">
        <f t="shared" si="88"/>
        <v>1.1096605744125521E-2</v>
      </c>
    </row>
    <row r="845" spans="1:13" x14ac:dyDescent="0.3">
      <c r="A845" s="3">
        <v>43227</v>
      </c>
      <c r="B845" s="8">
        <v>11.34</v>
      </c>
      <c r="C845" s="8">
        <v>123.59</v>
      </c>
      <c r="D845" s="8">
        <v>109.37</v>
      </c>
      <c r="E845">
        <v>6.0000000000000002E-5</v>
      </c>
      <c r="G845">
        <f t="shared" si="83"/>
        <v>100.05708880596913</v>
      </c>
      <c r="H845">
        <f t="shared" si="84"/>
        <v>-9.8899431642862634E-3</v>
      </c>
      <c r="I845">
        <f t="shared" si="85"/>
        <v>-9.9499431642862627E-3</v>
      </c>
      <c r="K845">
        <f t="shared" si="86"/>
        <v>-1.7605633802816323E-3</v>
      </c>
      <c r="L845">
        <f t="shared" si="87"/>
        <v>-4.8313068685078564E-3</v>
      </c>
      <c r="M845">
        <f t="shared" si="88"/>
        <v>8.6691874942359526E-3</v>
      </c>
    </row>
    <row r="846" spans="1:13" x14ac:dyDescent="0.3">
      <c r="A846" s="3">
        <v>43228</v>
      </c>
      <c r="B846" s="8">
        <v>11.27</v>
      </c>
      <c r="C846" s="8">
        <v>122.61</v>
      </c>
      <c r="D846" s="8">
        <v>110.99</v>
      </c>
      <c r="E846">
        <v>6.0000000000000002E-5</v>
      </c>
      <c r="G846">
        <f t="shared" si="83"/>
        <v>100.08125295383125</v>
      </c>
      <c r="H846">
        <f t="shared" si="84"/>
        <v>2.4150360709551677E-4</v>
      </c>
      <c r="I846">
        <f t="shared" si="85"/>
        <v>1.8150360709551678E-4</v>
      </c>
      <c r="K846">
        <f t="shared" si="86"/>
        <v>-6.1728395061728669E-3</v>
      </c>
      <c r="L846">
        <f t="shared" si="87"/>
        <v>-7.9294441297840246E-3</v>
      </c>
      <c r="M846">
        <f t="shared" si="88"/>
        <v>1.4812105696260236E-2</v>
      </c>
    </row>
    <row r="847" spans="1:13" x14ac:dyDescent="0.3">
      <c r="A847" s="3">
        <v>43229</v>
      </c>
      <c r="B847" s="8">
        <v>11.06</v>
      </c>
      <c r="C847" s="8">
        <v>123.51</v>
      </c>
      <c r="D847" s="8">
        <v>113.41</v>
      </c>
      <c r="E847">
        <v>6.0000000000000002E-5</v>
      </c>
      <c r="G847">
        <f t="shared" si="83"/>
        <v>101.00609559381924</v>
      </c>
      <c r="H847">
        <f t="shared" si="84"/>
        <v>9.2409178811403425E-3</v>
      </c>
      <c r="I847">
        <f t="shared" si="85"/>
        <v>9.1809178811403432E-3</v>
      </c>
      <c r="K847">
        <f t="shared" si="86"/>
        <v>-1.8633540372670732E-2</v>
      </c>
      <c r="L847">
        <f t="shared" si="87"/>
        <v>7.3403474431124049E-3</v>
      </c>
      <c r="M847">
        <f t="shared" si="88"/>
        <v>2.1803766105054523E-2</v>
      </c>
    </row>
    <row r="848" spans="1:13" x14ac:dyDescent="0.3">
      <c r="A848" s="3">
        <v>43230</v>
      </c>
      <c r="B848" s="8">
        <v>11.21</v>
      </c>
      <c r="C848" s="8">
        <v>125.35</v>
      </c>
      <c r="D848" s="8">
        <v>114.29</v>
      </c>
      <c r="E848">
        <v>6.0000000000000002E-5</v>
      </c>
      <c r="G848">
        <f t="shared" si="83"/>
        <v>101.2071499593266</v>
      </c>
      <c r="H848">
        <f t="shared" si="84"/>
        <v>1.9905171497358598E-3</v>
      </c>
      <c r="I848">
        <f t="shared" si="85"/>
        <v>1.9305171497358599E-3</v>
      </c>
      <c r="K848">
        <f t="shared" si="86"/>
        <v>1.3562386980108476E-2</v>
      </c>
      <c r="L848">
        <f t="shared" si="87"/>
        <v>1.4897579143389184E-2</v>
      </c>
      <c r="M848">
        <f t="shared" si="88"/>
        <v>7.7594568380214834E-3</v>
      </c>
    </row>
    <row r="849" spans="1:13" x14ac:dyDescent="0.3">
      <c r="A849" s="3">
        <v>43231</v>
      </c>
      <c r="B849" s="8">
        <v>11.19</v>
      </c>
      <c r="C849" s="8">
        <v>127.24</v>
      </c>
      <c r="D849" s="8">
        <v>113.86</v>
      </c>
      <c r="E849">
        <v>6.0000000000000002E-5</v>
      </c>
      <c r="G849">
        <f t="shared" si="83"/>
        <v>100.62208781414064</v>
      </c>
      <c r="H849">
        <f t="shared" si="84"/>
        <v>-5.7808380674793103E-3</v>
      </c>
      <c r="I849">
        <f t="shared" si="85"/>
        <v>-5.8408380674793104E-3</v>
      </c>
      <c r="K849">
        <f t="shared" si="86"/>
        <v>-1.784121320249854E-3</v>
      </c>
      <c r="L849">
        <f t="shared" si="87"/>
        <v>1.5077782209812485E-2</v>
      </c>
      <c r="M849">
        <f t="shared" si="88"/>
        <v>-3.762358911540864E-3</v>
      </c>
    </row>
    <row r="850" spans="1:13" x14ac:dyDescent="0.3">
      <c r="A850" s="3">
        <v>43234</v>
      </c>
      <c r="B850" s="8">
        <v>11.18</v>
      </c>
      <c r="C850" s="8">
        <v>126.06</v>
      </c>
      <c r="D850" s="8">
        <v>113.9</v>
      </c>
      <c r="E850">
        <v>6.0000000000000002E-5</v>
      </c>
      <c r="G850">
        <f t="shared" si="83"/>
        <v>99.522647839589212</v>
      </c>
      <c r="H850">
        <f t="shared" si="84"/>
        <v>-1.092642776983721E-2</v>
      </c>
      <c r="I850">
        <f t="shared" si="85"/>
        <v>-1.098642776983721E-2</v>
      </c>
      <c r="K850">
        <f t="shared" si="86"/>
        <v>-8.9365504915095428E-4</v>
      </c>
      <c r="L850">
        <f t="shared" si="87"/>
        <v>-9.2738132662684158E-3</v>
      </c>
      <c r="M850">
        <f t="shared" si="88"/>
        <v>3.5130862462673385E-4</v>
      </c>
    </row>
    <row r="851" spans="1:13" x14ac:dyDescent="0.3">
      <c r="A851" s="3">
        <v>43235</v>
      </c>
      <c r="B851" s="8">
        <v>11.22</v>
      </c>
      <c r="C851" s="8">
        <v>125.13</v>
      </c>
      <c r="D851" s="8">
        <v>113.03</v>
      </c>
      <c r="E851">
        <v>6.0000000000000002E-5</v>
      </c>
      <c r="G851">
        <f t="shared" si="83"/>
        <v>99.367254028524883</v>
      </c>
      <c r="H851">
        <f t="shared" si="84"/>
        <v>-1.5613914464454037E-3</v>
      </c>
      <c r="I851">
        <f t="shared" si="85"/>
        <v>-1.6213914464454037E-3</v>
      </c>
      <c r="K851">
        <f t="shared" si="86"/>
        <v>3.5778175313059268E-3</v>
      </c>
      <c r="L851">
        <f t="shared" si="87"/>
        <v>-7.3774393146120998E-3</v>
      </c>
      <c r="M851">
        <f t="shared" si="88"/>
        <v>-7.6382791922740001E-3</v>
      </c>
    </row>
    <row r="852" spans="1:13" x14ac:dyDescent="0.3">
      <c r="A852" s="3">
        <v>43236</v>
      </c>
      <c r="B852" s="8">
        <v>11.4</v>
      </c>
      <c r="C852" s="8">
        <v>125.35</v>
      </c>
      <c r="D852" s="8">
        <v>113.34</v>
      </c>
      <c r="E852">
        <v>6.0000000000000002E-5</v>
      </c>
      <c r="G852">
        <f t="shared" si="83"/>
        <v>100.36256952137319</v>
      </c>
      <c r="H852">
        <f t="shared" si="84"/>
        <v>1.0016534144765554E-2</v>
      </c>
      <c r="I852">
        <f t="shared" si="85"/>
        <v>9.956534144765555E-3</v>
      </c>
      <c r="K852">
        <f t="shared" si="86"/>
        <v>1.6042780748663166E-2</v>
      </c>
      <c r="L852">
        <f t="shared" si="87"/>
        <v>1.7581715016383725E-3</v>
      </c>
      <c r="M852">
        <f t="shared" si="88"/>
        <v>2.7426346987524663E-3</v>
      </c>
    </row>
    <row r="853" spans="1:13" x14ac:dyDescent="0.3">
      <c r="A853" s="3">
        <v>43237</v>
      </c>
      <c r="B853" s="8">
        <v>11.46</v>
      </c>
      <c r="C853" s="8">
        <v>123.85</v>
      </c>
      <c r="D853" s="8">
        <v>112.96</v>
      </c>
      <c r="E853">
        <v>6.0000000000000002E-5</v>
      </c>
      <c r="G853">
        <f t="shared" si="83"/>
        <v>99.308065565164711</v>
      </c>
      <c r="H853">
        <f t="shared" si="84"/>
        <v>-1.0506944583397848E-2</v>
      </c>
      <c r="I853">
        <f t="shared" si="85"/>
        <v>-1.0566944583397847E-2</v>
      </c>
      <c r="K853">
        <f t="shared" si="86"/>
        <v>5.2631578947368585E-3</v>
      </c>
      <c r="L853">
        <f t="shared" si="87"/>
        <v>-1.1966493817311519E-2</v>
      </c>
      <c r="M853">
        <f t="shared" si="88"/>
        <v>-3.3527439562379691E-3</v>
      </c>
    </row>
    <row r="854" spans="1:13" x14ac:dyDescent="0.3">
      <c r="A854" s="3">
        <v>43238</v>
      </c>
      <c r="B854" s="8">
        <v>11.33</v>
      </c>
      <c r="C854" s="8">
        <v>124.24</v>
      </c>
      <c r="D854" s="8">
        <v>111.13</v>
      </c>
      <c r="E854">
        <v>6.0000000000000002E-5</v>
      </c>
      <c r="G854">
        <f t="shared" si="83"/>
        <v>99.434871900729405</v>
      </c>
      <c r="H854">
        <f t="shared" si="84"/>
        <v>1.2768986571536356E-3</v>
      </c>
      <c r="I854">
        <f t="shared" si="85"/>
        <v>1.2168986571536357E-3</v>
      </c>
      <c r="K854">
        <f t="shared" si="86"/>
        <v>-1.1343804537521929E-2</v>
      </c>
      <c r="L854">
        <f t="shared" si="87"/>
        <v>3.1489705288656467E-3</v>
      </c>
      <c r="M854">
        <f t="shared" si="88"/>
        <v>-1.6200424929178503E-2</v>
      </c>
    </row>
    <row r="855" spans="1:13" x14ac:dyDescent="0.3">
      <c r="A855" s="3">
        <v>43241</v>
      </c>
      <c r="B855" s="8">
        <v>11.51</v>
      </c>
      <c r="C855" s="8">
        <v>123.72</v>
      </c>
      <c r="D855" s="8">
        <v>112.15</v>
      </c>
      <c r="E855">
        <v>6.0000000000000002E-5</v>
      </c>
      <c r="G855">
        <f t="shared" si="83"/>
        <v>100.2947161403285</v>
      </c>
      <c r="H855">
        <f t="shared" si="84"/>
        <v>8.6473107790345782E-3</v>
      </c>
      <c r="I855">
        <f t="shared" si="85"/>
        <v>8.5873107790345789E-3</v>
      </c>
      <c r="K855">
        <f t="shared" si="86"/>
        <v>1.5887025595763493E-2</v>
      </c>
      <c r="L855">
        <f t="shared" si="87"/>
        <v>-4.1854475209271991E-3</v>
      </c>
      <c r="M855">
        <f t="shared" si="88"/>
        <v>9.1784396652569988E-3</v>
      </c>
    </row>
    <row r="856" spans="1:13" x14ac:dyDescent="0.3">
      <c r="A856" s="3">
        <v>43242</v>
      </c>
      <c r="B856" s="8">
        <v>11.52</v>
      </c>
      <c r="C856" s="8">
        <v>122.91</v>
      </c>
      <c r="D856" s="8">
        <v>113.01</v>
      </c>
      <c r="E856">
        <v>6.0000000000000002E-5</v>
      </c>
      <c r="G856">
        <f t="shared" si="83"/>
        <v>99.957953548094565</v>
      </c>
      <c r="H856">
        <f t="shared" si="84"/>
        <v>-3.3577301496396927E-3</v>
      </c>
      <c r="I856">
        <f t="shared" si="85"/>
        <v>-3.4177301496396929E-3</v>
      </c>
      <c r="K856">
        <f t="shared" si="86"/>
        <v>8.6880973066905121E-4</v>
      </c>
      <c r="L856">
        <f t="shared" si="87"/>
        <v>-6.5470417070805365E-3</v>
      </c>
      <c r="M856">
        <f t="shared" si="88"/>
        <v>7.6683013820775248E-3</v>
      </c>
    </row>
    <row r="857" spans="1:13" x14ac:dyDescent="0.3">
      <c r="A857" s="3">
        <v>43243</v>
      </c>
      <c r="B857" s="8">
        <v>11.44</v>
      </c>
      <c r="C857" s="8">
        <v>123.45</v>
      </c>
      <c r="D857" s="8">
        <v>112.49</v>
      </c>
      <c r="E857">
        <v>6.0000000000000002E-5</v>
      </c>
      <c r="G857">
        <f t="shared" si="83"/>
        <v>99.982037698378974</v>
      </c>
      <c r="H857">
        <f t="shared" si="84"/>
        <v>2.4094281074704682E-4</v>
      </c>
      <c r="I857">
        <f t="shared" si="85"/>
        <v>1.8094281074704683E-4</v>
      </c>
      <c r="K857">
        <f t="shared" si="86"/>
        <v>-6.9444444444444198E-3</v>
      </c>
      <c r="L857">
        <f t="shared" si="87"/>
        <v>4.3934586282645682E-3</v>
      </c>
      <c r="M857">
        <f t="shared" si="88"/>
        <v>-4.601362711264545E-3</v>
      </c>
    </row>
    <row r="858" spans="1:13" x14ac:dyDescent="0.3">
      <c r="A858" s="3">
        <v>43244</v>
      </c>
      <c r="B858" s="8">
        <v>11.62</v>
      </c>
      <c r="C858" s="8">
        <v>122.25</v>
      </c>
      <c r="D858" s="8">
        <v>111.23</v>
      </c>
      <c r="E858">
        <v>6.0000000000000002E-5</v>
      </c>
      <c r="G858">
        <f t="shared" si="83"/>
        <v>99.239007484966507</v>
      </c>
      <c r="H858">
        <f t="shared" si="84"/>
        <v>-7.431637027182858E-3</v>
      </c>
      <c r="I858">
        <f t="shared" si="85"/>
        <v>-7.4916370271828582E-3</v>
      </c>
      <c r="K858">
        <f t="shared" si="86"/>
        <v>1.5734265734265618E-2</v>
      </c>
      <c r="L858">
        <f t="shared" si="87"/>
        <v>-9.7205346294045869E-3</v>
      </c>
      <c r="M858">
        <f t="shared" si="88"/>
        <v>-1.1200995644057188E-2</v>
      </c>
    </row>
    <row r="859" spans="1:13" x14ac:dyDescent="0.3">
      <c r="A859" s="3">
        <v>43245</v>
      </c>
      <c r="B859" s="8">
        <v>11.51</v>
      </c>
      <c r="C859" s="8">
        <v>121.47</v>
      </c>
      <c r="D859" s="8">
        <v>110.66</v>
      </c>
      <c r="E859">
        <v>6.0000000000000002E-5</v>
      </c>
      <c r="G859">
        <f t="shared" si="83"/>
        <v>99.376879438989548</v>
      </c>
      <c r="H859">
        <f t="shared" si="84"/>
        <v>1.3892919479663313E-3</v>
      </c>
      <c r="I859">
        <f t="shared" si="85"/>
        <v>1.3292919479663313E-3</v>
      </c>
      <c r="K859">
        <f t="shared" si="86"/>
        <v>-9.4664371772804623E-3</v>
      </c>
      <c r="L859">
        <f t="shared" si="87"/>
        <v>-6.3803680981595612E-3</v>
      </c>
      <c r="M859">
        <f t="shared" si="88"/>
        <v>-5.1245167670592728E-3</v>
      </c>
    </row>
    <row r="860" spans="1:13" x14ac:dyDescent="0.3">
      <c r="A860" s="3">
        <v>43249</v>
      </c>
      <c r="B860" s="8">
        <v>11.44</v>
      </c>
      <c r="C860" s="8">
        <v>119.4</v>
      </c>
      <c r="D860" s="8">
        <v>105.93</v>
      </c>
      <c r="E860">
        <v>6.0000000000000002E-5</v>
      </c>
      <c r="G860">
        <f t="shared" si="83"/>
        <v>97.443530857660647</v>
      </c>
      <c r="H860">
        <f t="shared" si="84"/>
        <v>-1.9454712124622908E-2</v>
      </c>
      <c r="I860">
        <f t="shared" si="85"/>
        <v>-1.9514712124622909E-2</v>
      </c>
      <c r="K860">
        <f t="shared" si="86"/>
        <v>-6.0816681146829144E-3</v>
      </c>
      <c r="L860">
        <f t="shared" si="87"/>
        <v>-1.7041244751790474E-2</v>
      </c>
      <c r="M860">
        <f t="shared" si="88"/>
        <v>-4.2743538767395561E-2</v>
      </c>
    </row>
    <row r="861" spans="1:13" x14ac:dyDescent="0.3">
      <c r="A861" s="3">
        <v>43250</v>
      </c>
      <c r="B861" s="8">
        <v>11.55</v>
      </c>
      <c r="C861" s="8">
        <v>120.97</v>
      </c>
      <c r="D861" s="8">
        <v>108.35</v>
      </c>
      <c r="E861">
        <v>6.0000000000000002E-5</v>
      </c>
      <c r="G861">
        <f t="shared" si="83"/>
        <v>101.64275171354137</v>
      </c>
      <c r="H861">
        <f t="shared" si="84"/>
        <v>4.3093890573553617E-2</v>
      </c>
      <c r="I861">
        <f t="shared" si="85"/>
        <v>4.303389057355362E-2</v>
      </c>
      <c r="K861">
        <f t="shared" si="86"/>
        <v>9.6153846153848033E-3</v>
      </c>
      <c r="L861">
        <f t="shared" si="87"/>
        <v>1.3149078726968133E-2</v>
      </c>
      <c r="M861">
        <f t="shared" si="88"/>
        <v>2.2845275181723634E-2</v>
      </c>
    </row>
    <row r="862" spans="1:13" x14ac:dyDescent="0.3">
      <c r="A862" s="3">
        <v>43251</v>
      </c>
      <c r="B862" s="8">
        <v>11.55</v>
      </c>
      <c r="C862" s="8">
        <v>119.62</v>
      </c>
      <c r="D862" s="8">
        <v>107.01</v>
      </c>
      <c r="E862">
        <v>6.0000000000000002E-5</v>
      </c>
      <c r="G862">
        <f t="shared" si="83"/>
        <v>98.955537206488259</v>
      </c>
      <c r="H862">
        <f t="shared" si="84"/>
        <v>-2.6437837049379187E-2</v>
      </c>
      <c r="I862">
        <f t="shared" si="85"/>
        <v>-2.6497837049379188E-2</v>
      </c>
      <c r="K862">
        <f t="shared" si="86"/>
        <v>0</v>
      </c>
      <c r="L862">
        <f t="shared" si="87"/>
        <v>-1.1159791683888476E-2</v>
      </c>
      <c r="M862">
        <f t="shared" si="88"/>
        <v>-1.2367328103368602E-2</v>
      </c>
    </row>
    <row r="863" spans="1:13" x14ac:dyDescent="0.3">
      <c r="A863" s="3">
        <v>43252</v>
      </c>
      <c r="B863" s="8">
        <v>11.71</v>
      </c>
      <c r="C863" s="8">
        <v>121.26</v>
      </c>
      <c r="D863" s="8">
        <v>108.4</v>
      </c>
      <c r="E863">
        <v>6.0000000000000002E-5</v>
      </c>
      <c r="G863">
        <f t="shared" si="83"/>
        <v>101.34538557370118</v>
      </c>
      <c r="H863">
        <f t="shared" si="84"/>
        <v>2.4150729051433339E-2</v>
      </c>
      <c r="I863">
        <f t="shared" si="85"/>
        <v>2.4090729051433338E-2</v>
      </c>
      <c r="K863">
        <f t="shared" si="86"/>
        <v>1.3852813852813783E-2</v>
      </c>
      <c r="L863">
        <f t="shared" si="87"/>
        <v>1.3710081926099349E-2</v>
      </c>
      <c r="M863">
        <f t="shared" si="88"/>
        <v>1.2989440239229877E-2</v>
      </c>
    </row>
    <row r="864" spans="1:13" x14ac:dyDescent="0.3">
      <c r="A864" s="3">
        <v>43255</v>
      </c>
      <c r="B864" s="8">
        <v>11.74</v>
      </c>
      <c r="C864" s="8">
        <v>121.95</v>
      </c>
      <c r="D864" s="8">
        <v>108.45</v>
      </c>
      <c r="E864">
        <v>6.0000000000000002E-5</v>
      </c>
      <c r="G864">
        <f t="shared" si="83"/>
        <v>100.33946698782603</v>
      </c>
      <c r="H864">
        <f t="shared" si="84"/>
        <v>-9.9256476274750538E-3</v>
      </c>
      <c r="I864">
        <f t="shared" si="85"/>
        <v>-9.9856476274750531E-3</v>
      </c>
      <c r="K864">
        <f t="shared" si="86"/>
        <v>2.5619128949614378E-3</v>
      </c>
      <c r="L864">
        <f t="shared" si="87"/>
        <v>5.6902523503215008E-3</v>
      </c>
      <c r="M864">
        <f t="shared" si="88"/>
        <v>4.6125461254620248E-4</v>
      </c>
    </row>
    <row r="865" spans="1:13" x14ac:dyDescent="0.3">
      <c r="A865" s="3">
        <v>43256</v>
      </c>
      <c r="B865" s="8">
        <v>11.83</v>
      </c>
      <c r="C865" s="8">
        <v>121.48</v>
      </c>
      <c r="D865" s="8">
        <v>107.84</v>
      </c>
      <c r="E865">
        <v>6.0000000000000002E-5</v>
      </c>
      <c r="G865">
        <f t="shared" si="83"/>
        <v>99.668697610723015</v>
      </c>
      <c r="H865">
        <f t="shared" si="84"/>
        <v>-6.6850004015308606E-3</v>
      </c>
      <c r="I865">
        <f t="shared" si="85"/>
        <v>-6.7450004015308608E-3</v>
      </c>
      <c r="K865">
        <f t="shared" si="86"/>
        <v>7.6660988074956915E-3</v>
      </c>
      <c r="L865">
        <f t="shared" si="87"/>
        <v>-3.8540385403853517E-3</v>
      </c>
      <c r="M865">
        <f t="shared" si="88"/>
        <v>-5.6247118487782188E-3</v>
      </c>
    </row>
    <row r="866" spans="1:13" x14ac:dyDescent="0.3">
      <c r="A866" s="3">
        <v>43257</v>
      </c>
      <c r="B866" s="8">
        <v>11.97</v>
      </c>
      <c r="C866" s="8">
        <v>122.79</v>
      </c>
      <c r="D866" s="8">
        <v>110.36</v>
      </c>
      <c r="E866">
        <v>6.0000000000000002E-5</v>
      </c>
      <c r="G866">
        <f t="shared" si="83"/>
        <v>101.56293735378475</v>
      </c>
      <c r="H866">
        <f t="shared" si="84"/>
        <v>1.9005362651171476E-2</v>
      </c>
      <c r="I866">
        <f t="shared" si="85"/>
        <v>1.8945362651171475E-2</v>
      </c>
      <c r="K866">
        <f t="shared" si="86"/>
        <v>1.1834319526627279E-2</v>
      </c>
      <c r="L866">
        <f t="shared" si="87"/>
        <v>1.0783668093513388E-2</v>
      </c>
      <c r="M866">
        <f t="shared" si="88"/>
        <v>2.3367952522255209E-2</v>
      </c>
    </row>
    <row r="867" spans="1:13" x14ac:dyDescent="0.3">
      <c r="A867" s="3">
        <v>43258</v>
      </c>
      <c r="B867" s="8">
        <v>12.03</v>
      </c>
      <c r="C867" s="8">
        <v>123.33</v>
      </c>
      <c r="D867" s="8">
        <v>110.8</v>
      </c>
      <c r="E867">
        <v>6.0000000000000002E-5</v>
      </c>
      <c r="G867">
        <f t="shared" si="83"/>
        <v>100.43075941209412</v>
      </c>
      <c r="H867">
        <f t="shared" si="84"/>
        <v>-1.1147550190940159E-2</v>
      </c>
      <c r="I867">
        <f t="shared" si="85"/>
        <v>-1.1207550190940158E-2</v>
      </c>
      <c r="K867">
        <f t="shared" si="86"/>
        <v>5.0125313283206907E-3</v>
      </c>
      <c r="L867">
        <f t="shared" si="87"/>
        <v>4.3977522599558672E-3</v>
      </c>
      <c r="M867">
        <f t="shared" si="88"/>
        <v>3.986951794128224E-3</v>
      </c>
    </row>
    <row r="868" spans="1:13" x14ac:dyDescent="0.3">
      <c r="A868" s="3">
        <v>43259</v>
      </c>
      <c r="B868" s="8">
        <v>12.1</v>
      </c>
      <c r="C868" s="8">
        <v>124.06</v>
      </c>
      <c r="D868" s="8">
        <v>111.11</v>
      </c>
      <c r="E868">
        <v>6.0000000000000002E-5</v>
      </c>
      <c r="G868">
        <f t="shared" si="83"/>
        <v>100.47340116531205</v>
      </c>
      <c r="H868">
        <f t="shared" si="84"/>
        <v>4.245885769216251E-4</v>
      </c>
      <c r="I868">
        <f t="shared" si="85"/>
        <v>3.6458857692162511E-4</v>
      </c>
      <c r="K868">
        <f t="shared" si="86"/>
        <v>5.818786367414841E-3</v>
      </c>
      <c r="L868">
        <f t="shared" si="87"/>
        <v>5.9190788940242101E-3</v>
      </c>
      <c r="M868">
        <f t="shared" si="88"/>
        <v>2.7978339350180903E-3</v>
      </c>
    </row>
    <row r="869" spans="1:13" x14ac:dyDescent="0.3">
      <c r="A869" s="3">
        <v>43262</v>
      </c>
      <c r="B869" s="8">
        <v>12.03</v>
      </c>
      <c r="C869" s="8">
        <v>122.66</v>
      </c>
      <c r="D869" s="8">
        <v>110.83</v>
      </c>
      <c r="E869">
        <v>6.0000000000000002E-5</v>
      </c>
      <c r="G869">
        <f t="shared" si="83"/>
        <v>99.25898208009572</v>
      </c>
      <c r="H869">
        <f t="shared" si="84"/>
        <v>-1.2086970990642709E-2</v>
      </c>
      <c r="I869">
        <f t="shared" si="85"/>
        <v>-1.2146970990642708E-2</v>
      </c>
      <c r="K869">
        <f t="shared" si="86"/>
        <v>-5.7851239669421961E-3</v>
      </c>
      <c r="L869">
        <f t="shared" si="87"/>
        <v>-1.1284862163469356E-2</v>
      </c>
      <c r="M869">
        <f t="shared" si="88"/>
        <v>-2.520025200251963E-3</v>
      </c>
    </row>
    <row r="870" spans="1:13" x14ac:dyDescent="0.3">
      <c r="A870" s="3">
        <v>43263</v>
      </c>
      <c r="B870" s="8">
        <v>12.11</v>
      </c>
      <c r="C870" s="8">
        <v>122.54</v>
      </c>
      <c r="D870" s="8">
        <v>110.19</v>
      </c>
      <c r="E870">
        <v>6.0000000000000002E-5</v>
      </c>
      <c r="G870">
        <f t="shared" si="83"/>
        <v>99.801626024939267</v>
      </c>
      <c r="H870">
        <f t="shared" si="84"/>
        <v>5.466950531546555E-3</v>
      </c>
      <c r="I870">
        <f t="shared" si="85"/>
        <v>5.4069505315465548E-3</v>
      </c>
      <c r="K870">
        <f t="shared" si="86"/>
        <v>6.6500415627597231E-3</v>
      </c>
      <c r="L870">
        <f t="shared" si="87"/>
        <v>-9.7831403880632717E-4</v>
      </c>
      <c r="M870">
        <f t="shared" si="88"/>
        <v>-5.7746097626996118E-3</v>
      </c>
    </row>
    <row r="871" spans="1:13" x14ac:dyDescent="0.3">
      <c r="A871" s="3">
        <v>43264</v>
      </c>
      <c r="B871" s="8">
        <v>12.02</v>
      </c>
      <c r="C871" s="8">
        <v>122.63</v>
      </c>
      <c r="D871" s="8">
        <v>109.97</v>
      </c>
      <c r="E871">
        <v>6.0000000000000002E-5</v>
      </c>
      <c r="G871">
        <f t="shared" si="83"/>
        <v>99.885089865122595</v>
      </c>
      <c r="H871">
        <f t="shared" si="84"/>
        <v>8.3629739822543847E-4</v>
      </c>
      <c r="I871">
        <f t="shared" si="85"/>
        <v>7.7629739822543842E-4</v>
      </c>
      <c r="K871">
        <f t="shared" si="86"/>
        <v>-7.4318744838975936E-3</v>
      </c>
      <c r="L871">
        <f t="shared" si="87"/>
        <v>7.3445405581851197E-4</v>
      </c>
      <c r="M871">
        <f t="shared" si="88"/>
        <v>-1.9965514111988103E-3</v>
      </c>
    </row>
    <row r="872" spans="1:13" x14ac:dyDescent="0.3">
      <c r="A872" s="3">
        <v>43265</v>
      </c>
      <c r="B872" s="8">
        <v>11.89</v>
      </c>
      <c r="C872" s="8">
        <v>122.41</v>
      </c>
      <c r="D872" s="8">
        <v>108.03</v>
      </c>
      <c r="E872">
        <v>6.0000000000000002E-5</v>
      </c>
      <c r="G872">
        <f t="shared" si="83"/>
        <v>99.129708476866071</v>
      </c>
      <c r="H872">
        <f t="shared" si="84"/>
        <v>-7.56250396607272E-3</v>
      </c>
      <c r="I872">
        <f t="shared" si="85"/>
        <v>-7.6225039660727202E-3</v>
      </c>
      <c r="K872">
        <f t="shared" si="86"/>
        <v>-1.081530782029938E-2</v>
      </c>
      <c r="L872">
        <f t="shared" si="87"/>
        <v>-1.7940145152083309E-3</v>
      </c>
      <c r="M872">
        <f t="shared" si="88"/>
        <v>-1.7641174865872467E-2</v>
      </c>
    </row>
    <row r="873" spans="1:13" x14ac:dyDescent="0.3">
      <c r="A873" s="3">
        <v>43266</v>
      </c>
      <c r="B873" s="8">
        <v>11.88</v>
      </c>
      <c r="C873" s="8">
        <v>122.61</v>
      </c>
      <c r="D873" s="8">
        <v>107.9</v>
      </c>
      <c r="E873">
        <v>6.0000000000000002E-5</v>
      </c>
      <c r="G873">
        <f t="shared" si="83"/>
        <v>100.0306802628875</v>
      </c>
      <c r="H873">
        <f t="shared" si="84"/>
        <v>9.0888170646814537E-3</v>
      </c>
      <c r="I873">
        <f t="shared" si="85"/>
        <v>9.0288170646814544E-3</v>
      </c>
      <c r="K873">
        <f t="shared" si="86"/>
        <v>-8.41042893187538E-4</v>
      </c>
      <c r="L873">
        <f t="shared" si="87"/>
        <v>1.6338534433462115E-3</v>
      </c>
      <c r="M873">
        <f t="shared" si="88"/>
        <v>-1.2033694344163459E-3</v>
      </c>
    </row>
    <row r="874" spans="1:13" x14ac:dyDescent="0.3">
      <c r="A874" s="3">
        <v>43269</v>
      </c>
      <c r="B874" s="8">
        <v>11.99</v>
      </c>
      <c r="C874" s="8">
        <v>121.32</v>
      </c>
      <c r="D874" s="8">
        <v>108.18</v>
      </c>
      <c r="E874">
        <v>6.0000000000000002E-5</v>
      </c>
      <c r="G874">
        <f t="shared" si="83"/>
        <v>99.648761456692952</v>
      </c>
      <c r="H874">
        <f t="shared" si="84"/>
        <v>-3.8180166843896357E-3</v>
      </c>
      <c r="I874">
        <f t="shared" si="85"/>
        <v>-3.8780166843896359E-3</v>
      </c>
      <c r="K874">
        <f t="shared" si="86"/>
        <v>9.2592592592593004E-3</v>
      </c>
      <c r="L874">
        <f t="shared" si="87"/>
        <v>-1.0521164668460981E-2</v>
      </c>
      <c r="M874">
        <f t="shared" si="88"/>
        <v>2.5949953660797664E-3</v>
      </c>
    </row>
    <row r="875" spans="1:13" x14ac:dyDescent="0.3">
      <c r="A875" s="3">
        <v>43270</v>
      </c>
      <c r="B875" s="8">
        <v>11.89</v>
      </c>
      <c r="C875" s="8">
        <v>122.57</v>
      </c>
      <c r="D875" s="8">
        <v>107.55</v>
      </c>
      <c r="E875">
        <v>6.0000000000000002E-5</v>
      </c>
      <c r="G875">
        <f t="shared" si="83"/>
        <v>100.2280697391713</v>
      </c>
      <c r="H875">
        <f t="shared" si="84"/>
        <v>5.8135020848213426E-3</v>
      </c>
      <c r="I875">
        <f t="shared" si="85"/>
        <v>5.7535020848213424E-3</v>
      </c>
      <c r="K875">
        <f t="shared" si="86"/>
        <v>-8.340283569641338E-3</v>
      </c>
      <c r="L875">
        <f t="shared" si="87"/>
        <v>1.0303330036267822E-2</v>
      </c>
      <c r="M875">
        <f t="shared" si="88"/>
        <v>-5.8236272878536832E-3</v>
      </c>
    </row>
    <row r="876" spans="1:13" x14ac:dyDescent="0.3">
      <c r="A876" s="3">
        <v>43271</v>
      </c>
      <c r="B876" s="8">
        <v>11.87</v>
      </c>
      <c r="C876" s="8">
        <v>122.04</v>
      </c>
      <c r="D876" s="8">
        <v>107.54</v>
      </c>
      <c r="E876">
        <v>6.0000000000000002E-5</v>
      </c>
      <c r="G876">
        <f t="shared" si="83"/>
        <v>99.754502377343798</v>
      </c>
      <c r="H876">
        <f t="shared" si="84"/>
        <v>-4.7248975567413254E-3</v>
      </c>
      <c r="I876">
        <f t="shared" si="85"/>
        <v>-4.7848975567413255E-3</v>
      </c>
      <c r="K876">
        <f t="shared" si="86"/>
        <v>-1.682085786375187E-3</v>
      </c>
      <c r="L876">
        <f t="shared" si="87"/>
        <v>-4.3240597209757148E-3</v>
      </c>
      <c r="M876">
        <f t="shared" si="88"/>
        <v>-9.2980009297916055E-5</v>
      </c>
    </row>
    <row r="877" spans="1:13" x14ac:dyDescent="0.3">
      <c r="A877" s="3">
        <v>43272</v>
      </c>
      <c r="B877" s="8">
        <v>11.71</v>
      </c>
      <c r="C877" s="8">
        <v>121.45</v>
      </c>
      <c r="D877" s="8">
        <v>107.51</v>
      </c>
      <c r="E877">
        <v>6.0000000000000002E-5</v>
      </c>
      <c r="G877">
        <f t="shared" si="83"/>
        <v>99.597380275971375</v>
      </c>
      <c r="H877">
        <f t="shared" si="84"/>
        <v>-1.575087816869436E-3</v>
      </c>
      <c r="I877">
        <f t="shared" si="85"/>
        <v>-1.6350878168694359E-3</v>
      </c>
      <c r="K877">
        <f t="shared" si="86"/>
        <v>-1.3479359730412699E-2</v>
      </c>
      <c r="L877">
        <f t="shared" si="87"/>
        <v>-4.8344804981973466E-3</v>
      </c>
      <c r="M877">
        <f t="shared" si="88"/>
        <v>-2.7896596615217817E-4</v>
      </c>
    </row>
    <row r="878" spans="1:13" x14ac:dyDescent="0.3">
      <c r="A878" s="3">
        <v>43273</v>
      </c>
      <c r="B878" s="8">
        <v>11.65</v>
      </c>
      <c r="C878" s="8">
        <v>122.84</v>
      </c>
      <c r="D878" s="8">
        <v>105.75</v>
      </c>
      <c r="E878">
        <v>6.0000000000000002E-5</v>
      </c>
      <c r="G878">
        <f t="shared" si="83"/>
        <v>99.924128584209939</v>
      </c>
      <c r="H878">
        <f t="shared" si="84"/>
        <v>3.2806917946355263E-3</v>
      </c>
      <c r="I878">
        <f t="shared" si="85"/>
        <v>3.2206917946355261E-3</v>
      </c>
      <c r="K878">
        <f t="shared" si="86"/>
        <v>-5.1238257899232087E-3</v>
      </c>
      <c r="L878">
        <f t="shared" si="87"/>
        <v>1.1445039110745236E-2</v>
      </c>
      <c r="M878">
        <f t="shared" si="88"/>
        <v>-1.6370570179518262E-2</v>
      </c>
    </row>
    <row r="879" spans="1:13" x14ac:dyDescent="0.3">
      <c r="A879" s="3">
        <v>43276</v>
      </c>
      <c r="B879" s="8">
        <v>11.5</v>
      </c>
      <c r="C879" s="8">
        <v>122.59</v>
      </c>
      <c r="D879" s="8">
        <v>104.79</v>
      </c>
      <c r="E879">
        <v>6.0000000000000002E-5</v>
      </c>
      <c r="G879">
        <f t="shared" si="83"/>
        <v>99.417844147483976</v>
      </c>
      <c r="H879">
        <f t="shared" si="84"/>
        <v>-5.0666885355852287E-3</v>
      </c>
      <c r="I879">
        <f t="shared" si="85"/>
        <v>-5.1266885355852288E-3</v>
      </c>
      <c r="K879">
        <f t="shared" si="86"/>
        <v>-1.2875536480686733E-2</v>
      </c>
      <c r="L879">
        <f t="shared" si="87"/>
        <v>-2.0351676978183075E-3</v>
      </c>
      <c r="M879">
        <f t="shared" si="88"/>
        <v>-9.0780141843971318E-3</v>
      </c>
    </row>
    <row r="880" spans="1:13" x14ac:dyDescent="0.3">
      <c r="A880" s="3">
        <v>43277</v>
      </c>
      <c r="B880" s="8">
        <v>11.52</v>
      </c>
      <c r="C880" s="8">
        <v>122.35</v>
      </c>
      <c r="D880" s="8">
        <v>104.86</v>
      </c>
      <c r="E880">
        <v>6.0000000000000002E-5</v>
      </c>
      <c r="G880">
        <f t="shared" si="83"/>
        <v>99.9417791605579</v>
      </c>
      <c r="H880">
        <f t="shared" si="84"/>
        <v>5.2700299183381372E-3</v>
      </c>
      <c r="I880">
        <f t="shared" si="85"/>
        <v>5.210029918338137E-3</v>
      </c>
      <c r="K880">
        <f t="shared" si="86"/>
        <v>1.7391304347824654E-3</v>
      </c>
      <c r="L880">
        <f t="shared" si="87"/>
        <v>-1.9577453299617353E-3</v>
      </c>
      <c r="M880">
        <f t="shared" si="88"/>
        <v>6.6800267201072572E-4</v>
      </c>
    </row>
    <row r="881" spans="1:13" x14ac:dyDescent="0.3">
      <c r="A881" s="3">
        <v>43278</v>
      </c>
      <c r="B881" s="8">
        <v>11.42</v>
      </c>
      <c r="C881" s="8">
        <v>121.61</v>
      </c>
      <c r="D881" s="8">
        <v>103.24</v>
      </c>
      <c r="E881">
        <v>6.0000000000000002E-5</v>
      </c>
      <c r="G881">
        <f t="shared" si="83"/>
        <v>99.013823032527924</v>
      </c>
      <c r="H881">
        <f t="shared" si="84"/>
        <v>-9.2849670660675176E-3</v>
      </c>
      <c r="I881">
        <f t="shared" si="85"/>
        <v>-9.3449670660675169E-3</v>
      </c>
      <c r="K881">
        <f t="shared" si="86"/>
        <v>-8.6805555555555802E-3</v>
      </c>
      <c r="L881">
        <f t="shared" si="87"/>
        <v>-6.0482223130363666E-3</v>
      </c>
      <c r="M881">
        <f t="shared" si="88"/>
        <v>-1.5449170322334616E-2</v>
      </c>
    </row>
    <row r="882" spans="1:13" x14ac:dyDescent="0.3">
      <c r="A882" s="3">
        <v>43279</v>
      </c>
      <c r="B882" s="8">
        <v>11.28</v>
      </c>
      <c r="C882" s="8">
        <v>122</v>
      </c>
      <c r="D882" s="8">
        <v>104.93</v>
      </c>
      <c r="E882">
        <v>6.0000000000000002E-5</v>
      </c>
      <c r="G882">
        <f t="shared" si="83"/>
        <v>100.65393229193877</v>
      </c>
      <c r="H882">
        <f t="shared" si="84"/>
        <v>1.6564447358749623E-2</v>
      </c>
      <c r="I882">
        <f t="shared" si="85"/>
        <v>1.6504447358749622E-2</v>
      </c>
      <c r="K882">
        <f t="shared" si="86"/>
        <v>-1.2259194395796924E-2</v>
      </c>
      <c r="L882">
        <f t="shared" si="87"/>
        <v>3.2069731107640109E-3</v>
      </c>
      <c r="M882">
        <f t="shared" si="88"/>
        <v>1.6369624176675757E-2</v>
      </c>
    </row>
    <row r="883" spans="1:13" x14ac:dyDescent="0.3">
      <c r="A883" s="3">
        <v>43280</v>
      </c>
      <c r="B883" s="8">
        <v>11.07</v>
      </c>
      <c r="C883" s="8">
        <v>121.34</v>
      </c>
      <c r="D883" s="8">
        <v>104.2</v>
      </c>
      <c r="E883">
        <v>6.0000000000000002E-5</v>
      </c>
      <c r="G883">
        <f t="shared" si="83"/>
        <v>99.262379958817192</v>
      </c>
      <c r="H883">
        <f t="shared" si="84"/>
        <v>-1.382511643047879E-2</v>
      </c>
      <c r="I883">
        <f t="shared" si="85"/>
        <v>-1.3885116430478789E-2</v>
      </c>
      <c r="K883">
        <f t="shared" si="86"/>
        <v>-1.8617021276595702E-2</v>
      </c>
      <c r="L883">
        <f t="shared" si="87"/>
        <v>-5.4098360655737698E-3</v>
      </c>
      <c r="M883">
        <f t="shared" si="88"/>
        <v>-6.9570189650243197E-3</v>
      </c>
    </row>
    <row r="884" spans="1:13" x14ac:dyDescent="0.3">
      <c r="A884" s="3">
        <v>43283</v>
      </c>
      <c r="B884" s="8">
        <v>11.1</v>
      </c>
      <c r="C884" s="8">
        <v>121.58</v>
      </c>
      <c r="D884" s="8">
        <v>105.08</v>
      </c>
      <c r="E884">
        <v>8.0000000000000007E-5</v>
      </c>
      <c r="G884">
        <f t="shared" si="83"/>
        <v>100.44883832439307</v>
      </c>
      <c r="H884">
        <f t="shared" si="84"/>
        <v>1.1952749531777496E-2</v>
      </c>
      <c r="I884">
        <f t="shared" si="85"/>
        <v>1.1872749531777495E-2</v>
      </c>
      <c r="K884">
        <f t="shared" si="86"/>
        <v>2.7100271002709064E-3</v>
      </c>
      <c r="L884">
        <f t="shared" si="87"/>
        <v>1.9779133014670158E-3</v>
      </c>
      <c r="M884">
        <f t="shared" si="88"/>
        <v>8.445297504798388E-3</v>
      </c>
    </row>
    <row r="885" spans="1:13" x14ac:dyDescent="0.3">
      <c r="A885" s="3">
        <v>43284</v>
      </c>
      <c r="B885" s="8">
        <v>10.99</v>
      </c>
      <c r="C885" s="8">
        <v>122.71</v>
      </c>
      <c r="D885" s="8">
        <v>103.61</v>
      </c>
      <c r="E885">
        <v>8.0000000000000007E-5</v>
      </c>
      <c r="G885">
        <f t="shared" si="83"/>
        <v>99.851977800030411</v>
      </c>
      <c r="H885">
        <f t="shared" si="84"/>
        <v>-5.9419355596241896E-3</v>
      </c>
      <c r="I885">
        <f t="shared" si="85"/>
        <v>-6.0219355596241898E-3</v>
      </c>
      <c r="K885">
        <f t="shared" si="86"/>
        <v>-9.9099099099098087E-3</v>
      </c>
      <c r="L885">
        <f t="shared" si="87"/>
        <v>9.2942918243130723E-3</v>
      </c>
      <c r="M885">
        <f t="shared" si="88"/>
        <v>-1.3989341454130222E-2</v>
      </c>
    </row>
    <row r="886" spans="1:13" x14ac:dyDescent="0.3">
      <c r="A886" s="3">
        <v>43286</v>
      </c>
      <c r="B886" s="8">
        <v>11.05</v>
      </c>
      <c r="C886" s="8">
        <v>125</v>
      </c>
      <c r="D886" s="8">
        <v>103.72</v>
      </c>
      <c r="E886">
        <v>8.0000000000000007E-5</v>
      </c>
      <c r="G886">
        <f t="shared" si="83"/>
        <v>101.06551064589564</v>
      </c>
      <c r="H886">
        <f t="shared" si="84"/>
        <v>1.2153318067424923E-2</v>
      </c>
      <c r="I886">
        <f t="shared" si="85"/>
        <v>1.2073318067424923E-2</v>
      </c>
      <c r="K886">
        <f t="shared" si="86"/>
        <v>5.4595086442219554E-3</v>
      </c>
      <c r="L886">
        <f t="shared" si="87"/>
        <v>1.8661885746882989E-2</v>
      </c>
      <c r="M886">
        <f t="shared" si="88"/>
        <v>1.0616735836308511E-3</v>
      </c>
    </row>
    <row r="887" spans="1:13" x14ac:dyDescent="0.3">
      <c r="A887" s="3">
        <v>43287</v>
      </c>
      <c r="B887" s="8">
        <v>11.06</v>
      </c>
      <c r="C887" s="8">
        <v>125.75</v>
      </c>
      <c r="D887" s="8">
        <v>104.06</v>
      </c>
      <c r="E887">
        <v>8.0000000000000007E-5</v>
      </c>
      <c r="G887">
        <f t="shared" si="83"/>
        <v>100.44417346114938</v>
      </c>
      <c r="H887">
        <f t="shared" si="84"/>
        <v>-6.1478656841031931E-3</v>
      </c>
      <c r="I887">
        <f t="shared" si="85"/>
        <v>-6.2278656841031933E-3</v>
      </c>
      <c r="K887">
        <f t="shared" si="86"/>
        <v>9.0497737556560764E-4</v>
      </c>
      <c r="L887">
        <f t="shared" si="87"/>
        <v>6.0000000000000053E-3</v>
      </c>
      <c r="M887">
        <f t="shared" si="88"/>
        <v>3.2780563054377598E-3</v>
      </c>
    </row>
    <row r="888" spans="1:13" x14ac:dyDescent="0.3">
      <c r="A888" s="3">
        <v>43290</v>
      </c>
      <c r="B888" s="8">
        <v>11.2</v>
      </c>
      <c r="C888" s="8">
        <v>126.05</v>
      </c>
      <c r="D888" s="8">
        <v>107.28</v>
      </c>
      <c r="E888">
        <v>8.0000000000000007E-5</v>
      </c>
      <c r="G888">
        <f t="shared" si="83"/>
        <v>101.42089392905523</v>
      </c>
      <c r="H888">
        <f t="shared" si="84"/>
        <v>9.724013193096015E-3</v>
      </c>
      <c r="I888">
        <f t="shared" si="85"/>
        <v>9.6440131930960148E-3</v>
      </c>
      <c r="K888">
        <f t="shared" si="86"/>
        <v>1.2658227848101111E-2</v>
      </c>
      <c r="L888">
        <f t="shared" si="87"/>
        <v>2.3856858846917905E-3</v>
      </c>
      <c r="M888">
        <f t="shared" si="88"/>
        <v>3.094368633480693E-2</v>
      </c>
    </row>
    <row r="889" spans="1:13" x14ac:dyDescent="0.3">
      <c r="A889" s="3">
        <v>43291</v>
      </c>
      <c r="B889" s="8">
        <v>11.25</v>
      </c>
      <c r="C889" s="8">
        <v>127.38</v>
      </c>
      <c r="D889" s="8">
        <v>106.62</v>
      </c>
      <c r="E889">
        <v>8.0000000000000007E-5</v>
      </c>
      <c r="G889">
        <f t="shared" si="83"/>
        <v>100.36277328355156</v>
      </c>
      <c r="H889">
        <f t="shared" si="84"/>
        <v>-1.0432965087488033E-2</v>
      </c>
      <c r="I889">
        <f t="shared" si="85"/>
        <v>-1.0512965087488033E-2</v>
      </c>
      <c r="K889">
        <f t="shared" si="86"/>
        <v>4.4642857142858094E-3</v>
      </c>
      <c r="L889">
        <f t="shared" si="87"/>
        <v>1.0551368504561731E-2</v>
      </c>
      <c r="M889">
        <f t="shared" si="88"/>
        <v>-6.15212527964204E-3</v>
      </c>
    </row>
    <row r="890" spans="1:13" x14ac:dyDescent="0.3">
      <c r="A890" s="3">
        <v>43292</v>
      </c>
      <c r="B890" s="8">
        <v>11.07</v>
      </c>
      <c r="C890" s="8">
        <v>126.24</v>
      </c>
      <c r="D890" s="8">
        <v>106.39</v>
      </c>
      <c r="E890">
        <v>8.0000000000000007E-5</v>
      </c>
      <c r="G890">
        <f t="shared" si="83"/>
        <v>99.286755376046457</v>
      </c>
      <c r="H890">
        <f t="shared" si="84"/>
        <v>-1.0721285116993218E-2</v>
      </c>
      <c r="I890">
        <f t="shared" si="85"/>
        <v>-1.0801285116993218E-2</v>
      </c>
      <c r="K890">
        <f t="shared" si="86"/>
        <v>-1.6000000000000014E-2</v>
      </c>
      <c r="L890">
        <f t="shared" si="87"/>
        <v>-8.9495996231747643E-3</v>
      </c>
      <c r="M890">
        <f t="shared" si="88"/>
        <v>-2.157193772275412E-3</v>
      </c>
    </row>
    <row r="891" spans="1:13" x14ac:dyDescent="0.3">
      <c r="A891" s="3">
        <v>43293</v>
      </c>
      <c r="B891" s="8">
        <v>11.05</v>
      </c>
      <c r="C891" s="8">
        <v>127.76</v>
      </c>
      <c r="D891" s="8">
        <v>106.85</v>
      </c>
      <c r="E891">
        <v>8.0000000000000007E-5</v>
      </c>
      <c r="G891">
        <f t="shared" si="83"/>
        <v>100.76854077328676</v>
      </c>
      <c r="H891">
        <f t="shared" si="84"/>
        <v>1.4924300745130292E-2</v>
      </c>
      <c r="I891">
        <f t="shared" si="85"/>
        <v>1.4844300745130292E-2</v>
      </c>
      <c r="K891">
        <f t="shared" si="86"/>
        <v>-1.8066847335139746E-3</v>
      </c>
      <c r="L891">
        <f t="shared" si="87"/>
        <v>1.2040557667934104E-2</v>
      </c>
      <c r="M891">
        <f t="shared" si="88"/>
        <v>4.3237146348340527E-3</v>
      </c>
    </row>
    <row r="892" spans="1:13" x14ac:dyDescent="0.3">
      <c r="A892" s="3">
        <v>43294</v>
      </c>
      <c r="B892" s="8">
        <v>10.98</v>
      </c>
      <c r="C892" s="8">
        <v>125.93</v>
      </c>
      <c r="D892" s="8">
        <v>106.36</v>
      </c>
      <c r="E892">
        <v>8.0000000000000007E-5</v>
      </c>
      <c r="G892">
        <f t="shared" si="83"/>
        <v>99.017797987847985</v>
      </c>
      <c r="H892">
        <f t="shared" si="84"/>
        <v>-1.7373902331062507E-2</v>
      </c>
      <c r="I892">
        <f t="shared" si="85"/>
        <v>-1.7453902331062508E-2</v>
      </c>
      <c r="K892">
        <f t="shared" si="86"/>
        <v>-6.3348416289592535E-3</v>
      </c>
      <c r="L892">
        <f t="shared" si="87"/>
        <v>-1.4323731997495259E-2</v>
      </c>
      <c r="M892">
        <f t="shared" si="88"/>
        <v>-4.5858680393073836E-3</v>
      </c>
    </row>
    <row r="893" spans="1:13" x14ac:dyDescent="0.3">
      <c r="A893" s="3">
        <v>43297</v>
      </c>
      <c r="B893" s="8">
        <v>10.85</v>
      </c>
      <c r="C893" s="8">
        <v>124.69</v>
      </c>
      <c r="D893" s="8">
        <v>110.58</v>
      </c>
      <c r="E893">
        <v>8.0000000000000007E-5</v>
      </c>
      <c r="G893">
        <f t="shared" si="83"/>
        <v>100.85805194728495</v>
      </c>
      <c r="H893">
        <f t="shared" si="84"/>
        <v>1.8585082650119267E-2</v>
      </c>
      <c r="I893">
        <f t="shared" si="85"/>
        <v>1.8505082650119267E-2</v>
      </c>
      <c r="K893">
        <f t="shared" si="86"/>
        <v>-1.1839708561020124E-2</v>
      </c>
      <c r="L893">
        <f t="shared" si="87"/>
        <v>-9.8467402525213021E-3</v>
      </c>
      <c r="M893">
        <f t="shared" si="88"/>
        <v>3.9676570139149936E-2</v>
      </c>
    </row>
    <row r="894" spans="1:13" x14ac:dyDescent="0.3">
      <c r="A894" s="3">
        <v>43298</v>
      </c>
      <c r="B894" s="8">
        <v>10.86</v>
      </c>
      <c r="C894" s="8">
        <v>129.11000000000001</v>
      </c>
      <c r="D894" s="8">
        <v>110.5</v>
      </c>
      <c r="E894">
        <v>8.0000000000000007E-5</v>
      </c>
      <c r="G894">
        <f t="shared" si="83"/>
        <v>101.82178240912411</v>
      </c>
      <c r="H894">
        <f t="shared" si="84"/>
        <v>9.5553150515228502E-3</v>
      </c>
      <c r="I894">
        <f t="shared" si="85"/>
        <v>9.47531505152285E-3</v>
      </c>
      <c r="K894">
        <f t="shared" si="86"/>
        <v>9.2165898617513342E-4</v>
      </c>
      <c r="L894">
        <f t="shared" si="87"/>
        <v>3.5447910818830808E-2</v>
      </c>
      <c r="M894">
        <f t="shared" si="88"/>
        <v>-7.2345812986074343E-4</v>
      </c>
    </row>
    <row r="895" spans="1:13" x14ac:dyDescent="0.3">
      <c r="A895" s="3">
        <v>43299</v>
      </c>
      <c r="B895" s="8">
        <v>10.87</v>
      </c>
      <c r="C895" s="8">
        <v>127.8</v>
      </c>
      <c r="D895" s="8">
        <v>111.53</v>
      </c>
      <c r="E895">
        <v>8.0000000000000007E-5</v>
      </c>
      <c r="G895">
        <f t="shared" si="83"/>
        <v>99.833935802106112</v>
      </c>
      <c r="H895">
        <f t="shared" si="84"/>
        <v>-1.9522803077938189E-2</v>
      </c>
      <c r="I895">
        <f t="shared" si="85"/>
        <v>-1.9602803077938189E-2</v>
      </c>
      <c r="K895">
        <f t="shared" si="86"/>
        <v>9.2081031307555961E-4</v>
      </c>
      <c r="L895">
        <f t="shared" si="87"/>
        <v>-1.0146386801951901E-2</v>
      </c>
      <c r="M895">
        <f t="shared" si="88"/>
        <v>9.3212669683258031E-3</v>
      </c>
    </row>
    <row r="896" spans="1:13" x14ac:dyDescent="0.3">
      <c r="A896" s="3">
        <v>43300</v>
      </c>
      <c r="B896" s="8">
        <v>10.82</v>
      </c>
      <c r="C896" s="8">
        <v>125.94</v>
      </c>
      <c r="D896" s="8">
        <v>109.89</v>
      </c>
      <c r="E896">
        <v>8.0000000000000007E-5</v>
      </c>
      <c r="G896">
        <f t="shared" si="83"/>
        <v>98.643256773295505</v>
      </c>
      <c r="H896">
        <f t="shared" si="84"/>
        <v>-1.1926596094246067E-2</v>
      </c>
      <c r="I896">
        <f t="shared" si="85"/>
        <v>-1.2006596094246067E-2</v>
      </c>
      <c r="K896">
        <f t="shared" si="86"/>
        <v>-4.5998160073595917E-3</v>
      </c>
      <c r="L896">
        <f t="shared" si="87"/>
        <v>-1.4553990610328582E-2</v>
      </c>
      <c r="M896">
        <f t="shared" si="88"/>
        <v>-1.4704563794494807E-2</v>
      </c>
    </row>
    <row r="897" spans="1:13" x14ac:dyDescent="0.3">
      <c r="A897" s="3">
        <v>43301</v>
      </c>
      <c r="B897" s="8">
        <v>10.56</v>
      </c>
      <c r="C897" s="8">
        <v>125.85</v>
      </c>
      <c r="D897" s="8">
        <v>111.28</v>
      </c>
      <c r="E897">
        <v>8.0000000000000007E-5</v>
      </c>
      <c r="G897">
        <f t="shared" si="83"/>
        <v>100.18707870043282</v>
      </c>
      <c r="H897">
        <f t="shared" si="84"/>
        <v>1.5650557145384658E-2</v>
      </c>
      <c r="I897">
        <f t="shared" si="85"/>
        <v>1.5570557145384658E-2</v>
      </c>
      <c r="K897">
        <f t="shared" si="86"/>
        <v>-2.4029574861367808E-2</v>
      </c>
      <c r="L897">
        <f t="shared" si="87"/>
        <v>-7.1462601238692081E-4</v>
      </c>
      <c r="M897">
        <f t="shared" si="88"/>
        <v>1.2649012649012636E-2</v>
      </c>
    </row>
    <row r="898" spans="1:13" x14ac:dyDescent="0.3">
      <c r="A898" s="3">
        <v>43304</v>
      </c>
      <c r="B898" s="8">
        <v>10.47</v>
      </c>
      <c r="C898" s="8">
        <v>126.63</v>
      </c>
      <c r="D898" s="8">
        <v>113.35</v>
      </c>
      <c r="E898">
        <v>8.0000000000000007E-5</v>
      </c>
      <c r="G898">
        <f t="shared" si="83"/>
        <v>100.93228067342666</v>
      </c>
      <c r="H898">
        <f t="shared" si="84"/>
        <v>7.4381046204776702E-3</v>
      </c>
      <c r="I898">
        <f t="shared" si="85"/>
        <v>7.35810462047767E-3</v>
      </c>
      <c r="K898">
        <f t="shared" si="86"/>
        <v>-8.5227272727272929E-3</v>
      </c>
      <c r="L898">
        <f t="shared" si="87"/>
        <v>6.1978545887961811E-3</v>
      </c>
      <c r="M898">
        <f t="shared" si="88"/>
        <v>1.8601725377426215E-2</v>
      </c>
    </row>
    <row r="899" spans="1:13" x14ac:dyDescent="0.3">
      <c r="A899" s="3">
        <v>43305</v>
      </c>
      <c r="B899" s="8">
        <v>10.57</v>
      </c>
      <c r="C899" s="8">
        <v>129.36000000000001</v>
      </c>
      <c r="D899" s="8">
        <v>114.15</v>
      </c>
      <c r="E899">
        <v>8.0000000000000007E-5</v>
      </c>
      <c r="G899">
        <f t="shared" si="83"/>
        <v>101.48435227637029</v>
      </c>
      <c r="H899">
        <f t="shared" si="84"/>
        <v>5.469722860319548E-3</v>
      </c>
      <c r="I899">
        <f t="shared" si="85"/>
        <v>5.3897228603195478E-3</v>
      </c>
      <c r="K899">
        <f t="shared" si="86"/>
        <v>9.5510983763131829E-3</v>
      </c>
      <c r="L899">
        <f t="shared" si="87"/>
        <v>2.1558872305141197E-2</v>
      </c>
      <c r="M899">
        <f t="shared" si="88"/>
        <v>7.0577856197620026E-3</v>
      </c>
    </row>
    <row r="900" spans="1:13" x14ac:dyDescent="0.3">
      <c r="A900" s="3">
        <v>43306</v>
      </c>
      <c r="B900" s="8">
        <v>10.52</v>
      </c>
      <c r="C900" s="8">
        <v>128.62</v>
      </c>
      <c r="D900" s="8">
        <v>115.18</v>
      </c>
      <c r="E900">
        <v>8.0000000000000007E-5</v>
      </c>
      <c r="G900">
        <f t="shared" si="83"/>
        <v>99.993149413058106</v>
      </c>
      <c r="H900">
        <f t="shared" si="84"/>
        <v>-1.4693919110319809E-2</v>
      </c>
      <c r="I900">
        <f t="shared" si="85"/>
        <v>-1.4773919110319809E-2</v>
      </c>
      <c r="K900">
        <f t="shared" si="86"/>
        <v>-4.7303689687796524E-3</v>
      </c>
      <c r="L900">
        <f t="shared" si="87"/>
        <v>-5.7204700061843639E-3</v>
      </c>
      <c r="M900">
        <f t="shared" si="88"/>
        <v>9.0232150678930534E-3</v>
      </c>
    </row>
    <row r="901" spans="1:13" x14ac:dyDescent="0.3">
      <c r="A901" s="3">
        <v>43307</v>
      </c>
      <c r="B901" s="8">
        <v>9.89</v>
      </c>
      <c r="C901" s="8">
        <v>130.28</v>
      </c>
      <c r="D901" s="8">
        <v>114.85</v>
      </c>
      <c r="E901">
        <v>8.0000000000000007E-5</v>
      </c>
      <c r="G901">
        <f t="shared" ref="G901:G964" si="89">$G$4*(B901*$P$8/B900 + C901*$Q$8/C900 + D901*$R$8/D900)</f>
        <v>99.934254027852361</v>
      </c>
      <c r="H901">
        <f t="shared" ref="H901:H964" si="90">G901/G900-1</f>
        <v>-5.8899420161728777E-4</v>
      </c>
      <c r="I901">
        <f t="shared" si="85"/>
        <v>-6.6899420161728776E-4</v>
      </c>
      <c r="K901">
        <f t="shared" si="86"/>
        <v>-5.988593155893529E-2</v>
      </c>
      <c r="L901">
        <f t="shared" si="87"/>
        <v>1.290623542217384E-2</v>
      </c>
      <c r="M901">
        <f t="shared" si="88"/>
        <v>-2.8650807431847003E-3</v>
      </c>
    </row>
    <row r="902" spans="1:13" x14ac:dyDescent="0.3">
      <c r="A902" s="3">
        <v>43308</v>
      </c>
      <c r="B902" s="8">
        <v>9.93</v>
      </c>
      <c r="C902" s="8">
        <v>131.55000000000001</v>
      </c>
      <c r="D902" s="8">
        <v>116.03</v>
      </c>
      <c r="E902">
        <v>8.0000000000000007E-5</v>
      </c>
      <c r="G902">
        <f t="shared" si="89"/>
        <v>100.93484216558133</v>
      </c>
      <c r="H902">
        <f t="shared" si="90"/>
        <v>1.0012464169193658E-2</v>
      </c>
      <c r="I902">
        <f t="shared" ref="I902:I965" si="91">H902-E902</f>
        <v>9.9324641691936576E-3</v>
      </c>
      <c r="K902">
        <f t="shared" ref="K902:K965" si="92">B902/B901-1</f>
        <v>4.0444893832152218E-3</v>
      </c>
      <c r="L902">
        <f t="shared" ref="L902:L965" si="93">C902/C901-1</f>
        <v>9.7482345716917163E-3</v>
      </c>
      <c r="M902">
        <f t="shared" ref="M902:M965" si="94">D902/D901-1</f>
        <v>1.0274270787984374E-2</v>
      </c>
    </row>
    <row r="903" spans="1:13" x14ac:dyDescent="0.3">
      <c r="A903" s="3">
        <v>43311</v>
      </c>
      <c r="B903" s="8">
        <v>10.07</v>
      </c>
      <c r="C903" s="8">
        <v>132.16999999999999</v>
      </c>
      <c r="D903" s="8">
        <v>116.73</v>
      </c>
      <c r="E903">
        <v>8.0000000000000007E-5</v>
      </c>
      <c r="G903">
        <f t="shared" si="89"/>
        <v>100.61933616071883</v>
      </c>
      <c r="H903">
        <f t="shared" si="90"/>
        <v>-3.1258383932964984E-3</v>
      </c>
      <c r="I903">
        <f t="shared" si="91"/>
        <v>-3.2058383932964986E-3</v>
      </c>
      <c r="K903">
        <f t="shared" si="92"/>
        <v>1.4098690835850913E-2</v>
      </c>
      <c r="L903">
        <f t="shared" si="93"/>
        <v>4.7130368681107537E-3</v>
      </c>
      <c r="M903">
        <f t="shared" si="94"/>
        <v>6.0329225200379533E-3</v>
      </c>
    </row>
    <row r="904" spans="1:13" x14ac:dyDescent="0.3">
      <c r="A904" s="3">
        <v>43312</v>
      </c>
      <c r="B904" s="8">
        <v>10.039999999999999</v>
      </c>
      <c r="C904" s="8">
        <v>132.52000000000001</v>
      </c>
      <c r="D904" s="8">
        <v>114.95</v>
      </c>
      <c r="E904">
        <v>8.0000000000000007E-5</v>
      </c>
      <c r="G904">
        <f t="shared" si="89"/>
        <v>99.532354337141086</v>
      </c>
      <c r="H904">
        <f t="shared" si="90"/>
        <v>-1.0802911895994916E-2</v>
      </c>
      <c r="I904">
        <f t="shared" si="91"/>
        <v>-1.0882911895994916E-2</v>
      </c>
      <c r="K904">
        <f t="shared" si="92"/>
        <v>-2.9791459781530749E-3</v>
      </c>
      <c r="L904">
        <f t="shared" si="93"/>
        <v>2.6481047136266422E-3</v>
      </c>
      <c r="M904">
        <f t="shared" si="94"/>
        <v>-1.5248864901910353E-2</v>
      </c>
    </row>
    <row r="905" spans="1:13" x14ac:dyDescent="0.3">
      <c r="A905" s="3">
        <v>43313</v>
      </c>
      <c r="B905" s="8">
        <v>9.9</v>
      </c>
      <c r="C905" s="8">
        <v>132.63999999999999</v>
      </c>
      <c r="D905" s="8">
        <v>115.66</v>
      </c>
      <c r="E905">
        <v>7.0000000000000007E-5</v>
      </c>
      <c r="G905">
        <f t="shared" si="89"/>
        <v>100.13327950955188</v>
      </c>
      <c r="H905">
        <f t="shared" si="90"/>
        <v>6.0374857644309721E-3</v>
      </c>
      <c r="I905">
        <f t="shared" si="91"/>
        <v>5.9674857644309723E-3</v>
      </c>
      <c r="K905">
        <f t="shared" si="92"/>
        <v>-1.3944223107569598E-2</v>
      </c>
      <c r="L905">
        <f t="shared" si="93"/>
        <v>9.0552369453655857E-4</v>
      </c>
      <c r="M905">
        <f t="shared" si="94"/>
        <v>6.1765985210959773E-3</v>
      </c>
    </row>
    <row r="906" spans="1:13" x14ac:dyDescent="0.3">
      <c r="A906" s="3">
        <v>43314</v>
      </c>
      <c r="B906" s="8">
        <v>9.92</v>
      </c>
      <c r="C906" s="8">
        <v>131.25</v>
      </c>
      <c r="D906" s="8">
        <v>116.15</v>
      </c>
      <c r="E906">
        <v>7.0000000000000007E-5</v>
      </c>
      <c r="G906">
        <f t="shared" si="89"/>
        <v>99.636830311861956</v>
      </c>
      <c r="H906">
        <f t="shared" si="90"/>
        <v>-4.9578841332423851E-3</v>
      </c>
      <c r="I906">
        <f t="shared" si="91"/>
        <v>-5.0278841332423848E-3</v>
      </c>
      <c r="K906">
        <f t="shared" si="92"/>
        <v>2.0202020202020332E-3</v>
      </c>
      <c r="L906">
        <f t="shared" si="93"/>
        <v>-1.047949336550047E-2</v>
      </c>
      <c r="M906">
        <f t="shared" si="94"/>
        <v>4.2365554210617162E-3</v>
      </c>
    </row>
    <row r="907" spans="1:13" x14ac:dyDescent="0.3">
      <c r="A907" s="3">
        <v>43315</v>
      </c>
      <c r="B907" s="8">
        <v>10.039999999999999</v>
      </c>
      <c r="C907" s="8">
        <v>131.94999999999999</v>
      </c>
      <c r="D907" s="8">
        <v>117.09</v>
      </c>
      <c r="E907">
        <v>7.0000000000000007E-5</v>
      </c>
      <c r="G907">
        <f t="shared" si="89"/>
        <v>100.70806420418863</v>
      </c>
      <c r="H907">
        <f t="shared" si="90"/>
        <v>1.0751384693528765E-2</v>
      </c>
      <c r="I907">
        <f t="shared" si="91"/>
        <v>1.0681384693528764E-2</v>
      </c>
      <c r="K907">
        <f t="shared" si="92"/>
        <v>1.2096774193548265E-2</v>
      </c>
      <c r="L907">
        <f t="shared" si="93"/>
        <v>5.33333333333319E-3</v>
      </c>
      <c r="M907">
        <f t="shared" si="94"/>
        <v>8.092983211364535E-3</v>
      </c>
    </row>
    <row r="908" spans="1:13" x14ac:dyDescent="0.3">
      <c r="A908" s="3">
        <v>43318</v>
      </c>
      <c r="B908" s="8">
        <v>10.029999999999999</v>
      </c>
      <c r="C908" s="8">
        <v>132.02000000000001</v>
      </c>
      <c r="D908" s="8">
        <v>117.12</v>
      </c>
      <c r="E908">
        <v>7.0000000000000007E-5</v>
      </c>
      <c r="G908">
        <f t="shared" si="89"/>
        <v>100.02673027209327</v>
      </c>
      <c r="H908">
        <f t="shared" si="90"/>
        <v>-6.7654356925571646E-3</v>
      </c>
      <c r="I908">
        <f t="shared" si="91"/>
        <v>-6.8354356925571643E-3</v>
      </c>
      <c r="K908">
        <f t="shared" si="92"/>
        <v>-9.960159362549792E-4</v>
      </c>
      <c r="L908">
        <f t="shared" si="93"/>
        <v>5.3050397877996147E-4</v>
      </c>
      <c r="M908">
        <f t="shared" si="94"/>
        <v>2.56213169356867E-4</v>
      </c>
    </row>
    <row r="909" spans="1:13" x14ac:dyDescent="0.3">
      <c r="A909" s="3">
        <v>43319</v>
      </c>
      <c r="B909" s="8">
        <v>10.08</v>
      </c>
      <c r="C909" s="8">
        <v>131.46</v>
      </c>
      <c r="D909" s="8">
        <v>117.55</v>
      </c>
      <c r="E909">
        <v>7.0000000000000007E-5</v>
      </c>
      <c r="G909">
        <f t="shared" si="89"/>
        <v>99.970304036614152</v>
      </c>
      <c r="H909">
        <f t="shared" si="90"/>
        <v>-5.6411156623470404E-4</v>
      </c>
      <c r="I909">
        <f t="shared" si="91"/>
        <v>-6.3411156623470401E-4</v>
      </c>
      <c r="K909">
        <f t="shared" si="92"/>
        <v>4.9850448654038537E-3</v>
      </c>
      <c r="L909">
        <f t="shared" si="93"/>
        <v>-4.2417815482502785E-3</v>
      </c>
      <c r="M909">
        <f t="shared" si="94"/>
        <v>3.6714480874315836E-3</v>
      </c>
    </row>
    <row r="910" spans="1:13" x14ac:dyDescent="0.3">
      <c r="A910" s="3">
        <v>43320</v>
      </c>
      <c r="B910" s="8">
        <v>10.050000000000001</v>
      </c>
      <c r="C910" s="8">
        <v>131.16999999999999</v>
      </c>
      <c r="D910" s="8">
        <v>117.79</v>
      </c>
      <c r="E910">
        <v>7.0000000000000007E-5</v>
      </c>
      <c r="G910">
        <f t="shared" si="89"/>
        <v>99.931173226515085</v>
      </c>
      <c r="H910">
        <f t="shared" si="90"/>
        <v>-3.9142433821881539E-4</v>
      </c>
      <c r="I910">
        <f t="shared" si="91"/>
        <v>-4.6142433821881541E-4</v>
      </c>
      <c r="K910">
        <f t="shared" si="92"/>
        <v>-2.9761904761904656E-3</v>
      </c>
      <c r="L910">
        <f t="shared" si="93"/>
        <v>-2.2059942187738768E-3</v>
      </c>
      <c r="M910">
        <f t="shared" si="94"/>
        <v>2.0416843896216008E-3</v>
      </c>
    </row>
    <row r="911" spans="1:13" x14ac:dyDescent="0.3">
      <c r="A911" s="3">
        <v>43321</v>
      </c>
      <c r="B911" s="8">
        <v>9.91</v>
      </c>
      <c r="C911" s="8">
        <v>131.19999999999999</v>
      </c>
      <c r="D911" s="8">
        <v>116.88</v>
      </c>
      <c r="E911">
        <v>7.0000000000000007E-5</v>
      </c>
      <c r="G911">
        <f t="shared" si="89"/>
        <v>99.57515151931932</v>
      </c>
      <c r="H911">
        <f t="shared" si="90"/>
        <v>-3.5626691421781764E-3</v>
      </c>
      <c r="I911">
        <f t="shared" si="91"/>
        <v>-3.6326691421781766E-3</v>
      </c>
      <c r="K911">
        <f t="shared" si="92"/>
        <v>-1.3930348258706537E-2</v>
      </c>
      <c r="L911">
        <f t="shared" si="93"/>
        <v>2.2871083326991837E-4</v>
      </c>
      <c r="M911">
        <f t="shared" si="94"/>
        <v>-7.7256133797437565E-3</v>
      </c>
    </row>
    <row r="912" spans="1:13" x14ac:dyDescent="0.3">
      <c r="A912" s="3">
        <v>43322</v>
      </c>
      <c r="B912" s="8">
        <v>9.74</v>
      </c>
      <c r="C912" s="8">
        <v>130.75</v>
      </c>
      <c r="D912" s="8">
        <v>115.73</v>
      </c>
      <c r="E912">
        <v>7.0000000000000007E-5</v>
      </c>
      <c r="G912">
        <f t="shared" si="89"/>
        <v>99.271988637790415</v>
      </c>
      <c r="H912">
        <f t="shared" si="90"/>
        <v>-3.0445635974762908E-3</v>
      </c>
      <c r="I912">
        <f t="shared" si="91"/>
        <v>-3.114563597476291E-3</v>
      </c>
      <c r="K912">
        <f t="shared" si="92"/>
        <v>-1.7154389505549927E-2</v>
      </c>
      <c r="L912">
        <f t="shared" si="93"/>
        <v>-3.429878048780366E-3</v>
      </c>
      <c r="M912">
        <f t="shared" si="94"/>
        <v>-9.8391512662558966E-3</v>
      </c>
    </row>
    <row r="913" spans="1:13" x14ac:dyDescent="0.3">
      <c r="A913" s="3">
        <v>43325</v>
      </c>
      <c r="B913" s="8">
        <v>9.4600000000000009</v>
      </c>
      <c r="C913" s="8">
        <v>130.22</v>
      </c>
      <c r="D913" s="8">
        <v>113.89</v>
      </c>
      <c r="E913">
        <v>7.0000000000000007E-5</v>
      </c>
      <c r="G913">
        <f t="shared" si="89"/>
        <v>98.890088821099624</v>
      </c>
      <c r="H913">
        <f t="shared" si="90"/>
        <v>-3.8470047989489498E-3</v>
      </c>
      <c r="I913">
        <f t="shared" si="91"/>
        <v>-3.9170047989489495E-3</v>
      </c>
      <c r="K913">
        <f t="shared" si="92"/>
        <v>-2.8747433264887046E-2</v>
      </c>
      <c r="L913">
        <f t="shared" si="93"/>
        <v>-4.0535372848948814E-3</v>
      </c>
      <c r="M913">
        <f t="shared" si="94"/>
        <v>-1.5899075434200327E-2</v>
      </c>
    </row>
    <row r="914" spans="1:13" x14ac:dyDescent="0.3">
      <c r="A914" s="3">
        <v>43326</v>
      </c>
      <c r="B914" s="8">
        <v>9.5</v>
      </c>
      <c r="C914" s="8">
        <v>129.5</v>
      </c>
      <c r="D914" s="8">
        <v>114.65</v>
      </c>
      <c r="E914">
        <v>7.0000000000000007E-5</v>
      </c>
      <c r="G914">
        <f t="shared" si="89"/>
        <v>100.0085313461518</v>
      </c>
      <c r="H914">
        <f t="shared" si="90"/>
        <v>1.1309955713312503E-2</v>
      </c>
      <c r="I914">
        <f t="shared" si="91"/>
        <v>1.1239955713312502E-2</v>
      </c>
      <c r="K914">
        <f t="shared" si="92"/>
        <v>4.2283298097249844E-3</v>
      </c>
      <c r="L914">
        <f t="shared" si="93"/>
        <v>-5.5291045922285509E-3</v>
      </c>
      <c r="M914">
        <f t="shared" si="94"/>
        <v>6.6731056282378631E-3</v>
      </c>
    </row>
    <row r="915" spans="1:13" x14ac:dyDescent="0.3">
      <c r="A915" s="3">
        <v>43327</v>
      </c>
      <c r="B915" s="8">
        <v>9.4499999999999993</v>
      </c>
      <c r="C915" s="8">
        <v>130.43</v>
      </c>
      <c r="D915" s="8">
        <v>113.7</v>
      </c>
      <c r="E915">
        <v>7.0000000000000007E-5</v>
      </c>
      <c r="G915">
        <f t="shared" si="89"/>
        <v>100.00566426273272</v>
      </c>
      <c r="H915">
        <f t="shared" si="90"/>
        <v>-2.866838839132857E-5</v>
      </c>
      <c r="I915">
        <f t="shared" si="91"/>
        <v>-9.8668388391328577E-5</v>
      </c>
      <c r="K915">
        <f t="shared" si="92"/>
        <v>-5.2631578947369695E-3</v>
      </c>
      <c r="L915">
        <f t="shared" si="93"/>
        <v>7.1814671814671716E-3</v>
      </c>
      <c r="M915">
        <f t="shared" si="94"/>
        <v>-8.2860880941997284E-3</v>
      </c>
    </row>
    <row r="916" spans="1:13" x14ac:dyDescent="0.3">
      <c r="A916" s="3">
        <v>43328</v>
      </c>
      <c r="B916" s="8">
        <v>9.51</v>
      </c>
      <c r="C916" s="8">
        <v>132.47999999999999</v>
      </c>
      <c r="D916" s="8">
        <v>114.77</v>
      </c>
      <c r="E916">
        <v>7.0000000000000007E-5</v>
      </c>
      <c r="G916">
        <f t="shared" si="89"/>
        <v>101.23622457817918</v>
      </c>
      <c r="H916">
        <f t="shared" si="90"/>
        <v>1.2304906172249996E-2</v>
      </c>
      <c r="I916">
        <f t="shared" si="91"/>
        <v>1.2234906172249996E-2</v>
      </c>
      <c r="K916">
        <f t="shared" si="92"/>
        <v>6.3492063492063266E-3</v>
      </c>
      <c r="L916">
        <f t="shared" si="93"/>
        <v>1.5717242965575196E-2</v>
      </c>
      <c r="M916">
        <f t="shared" si="94"/>
        <v>9.410729991204958E-3</v>
      </c>
    </row>
    <row r="917" spans="1:13" x14ac:dyDescent="0.3">
      <c r="A917" s="3">
        <v>43329</v>
      </c>
      <c r="B917" s="8">
        <v>9.5500000000000007</v>
      </c>
      <c r="C917" s="8">
        <v>134.47</v>
      </c>
      <c r="D917" s="8">
        <v>114.77</v>
      </c>
      <c r="E917">
        <v>7.0000000000000007E-5</v>
      </c>
      <c r="G917">
        <f t="shared" si="89"/>
        <v>100.82350877880413</v>
      </c>
      <c r="H917">
        <f t="shared" si="90"/>
        <v>-4.0767600836035811E-3</v>
      </c>
      <c r="I917">
        <f t="shared" si="91"/>
        <v>-4.1467600836035809E-3</v>
      </c>
      <c r="K917">
        <f t="shared" si="92"/>
        <v>4.206098843323014E-3</v>
      </c>
      <c r="L917">
        <f t="shared" si="93"/>
        <v>1.5021135265700591E-2</v>
      </c>
      <c r="M917">
        <f t="shared" si="94"/>
        <v>0</v>
      </c>
    </row>
    <row r="918" spans="1:13" x14ac:dyDescent="0.3">
      <c r="A918" s="3">
        <v>43332</v>
      </c>
      <c r="B918" s="8">
        <v>9.7200000000000006</v>
      </c>
      <c r="C918" s="8">
        <v>136.88</v>
      </c>
      <c r="D918" s="8">
        <v>114.62</v>
      </c>
      <c r="E918">
        <v>7.0000000000000007E-5</v>
      </c>
      <c r="G918">
        <f t="shared" si="89"/>
        <v>101.06733797809244</v>
      </c>
      <c r="H918">
        <f t="shared" si="90"/>
        <v>2.4183764505085747E-3</v>
      </c>
      <c r="I918">
        <f t="shared" si="91"/>
        <v>2.3483764505085746E-3</v>
      </c>
      <c r="K918">
        <f t="shared" si="92"/>
        <v>1.7801047120418856E-2</v>
      </c>
      <c r="L918">
        <f t="shared" si="93"/>
        <v>1.7922213133040765E-2</v>
      </c>
      <c r="M918">
        <f t="shared" si="94"/>
        <v>-1.3069617495859998E-3</v>
      </c>
    </row>
    <row r="919" spans="1:13" x14ac:dyDescent="0.3">
      <c r="A919" s="3">
        <v>43333</v>
      </c>
      <c r="B919" s="8">
        <v>9.86</v>
      </c>
      <c r="C919" s="8">
        <v>135.35</v>
      </c>
      <c r="D919" s="8">
        <v>115.32</v>
      </c>
      <c r="E919">
        <v>7.0000000000000007E-5</v>
      </c>
      <c r="G919">
        <f t="shared" si="89"/>
        <v>99.800772135972721</v>
      </c>
      <c r="H919">
        <f t="shared" si="90"/>
        <v>-1.253190068580079E-2</v>
      </c>
      <c r="I919">
        <f t="shared" si="91"/>
        <v>-1.260190068580079E-2</v>
      </c>
      <c r="K919">
        <f t="shared" si="92"/>
        <v>1.4403292181069727E-2</v>
      </c>
      <c r="L919">
        <f t="shared" si="93"/>
        <v>-1.1177673874926963E-2</v>
      </c>
      <c r="M919">
        <f t="shared" si="94"/>
        <v>6.1071366253706572E-3</v>
      </c>
    </row>
    <row r="920" spans="1:13" x14ac:dyDescent="0.3">
      <c r="A920" s="3">
        <v>43334</v>
      </c>
      <c r="B920" s="8">
        <v>9.69</v>
      </c>
      <c r="C920" s="8">
        <v>134.61000000000001</v>
      </c>
      <c r="D920" s="8">
        <v>114.97</v>
      </c>
      <c r="E920">
        <v>7.0000000000000007E-5</v>
      </c>
      <c r="G920">
        <f t="shared" si="89"/>
        <v>99.421403250368286</v>
      </c>
      <c r="H920">
        <f t="shared" si="90"/>
        <v>-3.8012620291911769E-3</v>
      </c>
      <c r="I920">
        <f t="shared" si="91"/>
        <v>-3.8712620291911771E-3</v>
      </c>
      <c r="K920">
        <f t="shared" si="92"/>
        <v>-1.7241379310344862E-2</v>
      </c>
      <c r="L920">
        <f t="shared" si="93"/>
        <v>-5.4673069818986786E-3</v>
      </c>
      <c r="M920">
        <f t="shared" si="94"/>
        <v>-3.0350329517863095E-3</v>
      </c>
    </row>
    <row r="921" spans="1:13" x14ac:dyDescent="0.3">
      <c r="A921" s="3">
        <v>43335</v>
      </c>
      <c r="B921" s="8">
        <v>9.6300000000000008</v>
      </c>
      <c r="C921" s="8">
        <v>135.11000000000001</v>
      </c>
      <c r="D921" s="8">
        <v>114.73</v>
      </c>
      <c r="E921">
        <v>7.0000000000000007E-5</v>
      </c>
      <c r="G921">
        <f t="shared" si="89"/>
        <v>100.04928946768858</v>
      </c>
      <c r="H921">
        <f t="shared" si="90"/>
        <v>6.3154028890450853E-3</v>
      </c>
      <c r="I921">
        <f t="shared" si="91"/>
        <v>6.2454028890450855E-3</v>
      </c>
      <c r="K921">
        <f t="shared" si="92"/>
        <v>-6.1919504643961343E-3</v>
      </c>
      <c r="L921">
        <f t="shared" si="93"/>
        <v>3.7144342916572981E-3</v>
      </c>
      <c r="M921">
        <f t="shared" si="94"/>
        <v>-2.0875010872400956E-3</v>
      </c>
    </row>
    <row r="922" spans="1:13" x14ac:dyDescent="0.3">
      <c r="A922" s="3">
        <v>43336</v>
      </c>
      <c r="B922" s="8">
        <v>9.68</v>
      </c>
      <c r="C922" s="8">
        <v>135.94999999999999</v>
      </c>
      <c r="D922" s="8">
        <v>114.68</v>
      </c>
      <c r="E922">
        <v>7.0000000000000007E-5</v>
      </c>
      <c r="G922">
        <f t="shared" si="89"/>
        <v>100.36061513302184</v>
      </c>
      <c r="H922">
        <f t="shared" si="90"/>
        <v>3.1117229016783821E-3</v>
      </c>
      <c r="I922">
        <f t="shared" si="91"/>
        <v>3.0417229016783819E-3</v>
      </c>
      <c r="K922">
        <f t="shared" si="92"/>
        <v>5.1921079958461291E-3</v>
      </c>
      <c r="L922">
        <f t="shared" si="93"/>
        <v>6.2171563910886629E-3</v>
      </c>
      <c r="M922">
        <f t="shared" si="94"/>
        <v>-4.3580580493329801E-4</v>
      </c>
    </row>
    <row r="923" spans="1:13" x14ac:dyDescent="0.3">
      <c r="A923" s="3">
        <v>43339</v>
      </c>
      <c r="B923" s="8">
        <v>9.99</v>
      </c>
      <c r="C923" s="8">
        <v>134.91999999999999</v>
      </c>
      <c r="D923" s="8">
        <v>116.71</v>
      </c>
      <c r="E923">
        <v>7.0000000000000007E-5</v>
      </c>
      <c r="G923">
        <f t="shared" si="89"/>
        <v>100.6086246639007</v>
      </c>
      <c r="H923">
        <f t="shared" si="90"/>
        <v>2.4711838458755242E-3</v>
      </c>
      <c r="I923">
        <f t="shared" si="91"/>
        <v>2.401183845875524E-3</v>
      </c>
      <c r="K923">
        <f t="shared" si="92"/>
        <v>3.2024793388429895E-2</v>
      </c>
      <c r="L923">
        <f t="shared" si="93"/>
        <v>-7.5763148216255738E-3</v>
      </c>
      <c r="M923">
        <f t="shared" si="94"/>
        <v>1.7701430066271229E-2</v>
      </c>
    </row>
    <row r="924" spans="1:13" x14ac:dyDescent="0.3">
      <c r="A924" s="3">
        <v>43340</v>
      </c>
      <c r="B924" s="8">
        <v>10.01</v>
      </c>
      <c r="C924" s="8">
        <v>134.32</v>
      </c>
      <c r="D924" s="8">
        <v>116.14</v>
      </c>
      <c r="E924">
        <v>7.0000000000000007E-5</v>
      </c>
      <c r="G924">
        <f t="shared" si="89"/>
        <v>99.606441894399154</v>
      </c>
      <c r="H924">
        <f t="shared" si="90"/>
        <v>-9.9612013666769972E-3</v>
      </c>
      <c r="I924">
        <f t="shared" si="91"/>
        <v>-1.0031201366676998E-2</v>
      </c>
      <c r="K924">
        <f t="shared" si="92"/>
        <v>2.0020020020019569E-3</v>
      </c>
      <c r="L924">
        <f t="shared" si="93"/>
        <v>-4.4470797509634785E-3</v>
      </c>
      <c r="M924">
        <f t="shared" si="94"/>
        <v>-4.8839002656155817E-3</v>
      </c>
    </row>
    <row r="925" spans="1:13" x14ac:dyDescent="0.3">
      <c r="A925" s="3">
        <v>43341</v>
      </c>
      <c r="B925" s="8">
        <v>9.9700000000000006</v>
      </c>
      <c r="C925" s="8">
        <v>134.86000000000001</v>
      </c>
      <c r="D925" s="8">
        <v>115.76</v>
      </c>
      <c r="E925">
        <v>7.0000000000000007E-5</v>
      </c>
      <c r="G925">
        <f t="shared" si="89"/>
        <v>100.04360125969758</v>
      </c>
      <c r="H925">
        <f t="shared" si="90"/>
        <v>4.3888663924156468E-3</v>
      </c>
      <c r="I925">
        <f t="shared" si="91"/>
        <v>4.318866392415647E-3</v>
      </c>
      <c r="K925">
        <f t="shared" si="92"/>
        <v>-3.9960039960038607E-3</v>
      </c>
      <c r="L925">
        <f t="shared" si="93"/>
        <v>4.0202501488983966E-3</v>
      </c>
      <c r="M925">
        <f t="shared" si="94"/>
        <v>-3.2719132081969748E-3</v>
      </c>
    </row>
    <row r="926" spans="1:13" x14ac:dyDescent="0.3">
      <c r="A926" s="3">
        <v>43342</v>
      </c>
      <c r="B926" s="8">
        <v>9.6999999999999993</v>
      </c>
      <c r="C926" s="8">
        <v>134.94999999999999</v>
      </c>
      <c r="D926" s="8">
        <v>115.19</v>
      </c>
      <c r="E926">
        <v>7.0000000000000007E-5</v>
      </c>
      <c r="G926">
        <f t="shared" si="89"/>
        <v>99.565516277668522</v>
      </c>
      <c r="H926">
        <f t="shared" si="90"/>
        <v>-4.7787662180215351E-3</v>
      </c>
      <c r="I926">
        <f t="shared" si="91"/>
        <v>-4.8487662180215349E-3</v>
      </c>
      <c r="K926">
        <f t="shared" si="92"/>
        <v>-2.7081243731193694E-2</v>
      </c>
      <c r="L926">
        <f t="shared" si="93"/>
        <v>6.6735874239931547E-4</v>
      </c>
      <c r="M926">
        <f t="shared" si="94"/>
        <v>-4.9239806496199634E-3</v>
      </c>
    </row>
    <row r="927" spans="1:13" x14ac:dyDescent="0.3">
      <c r="A927" s="3">
        <v>43343</v>
      </c>
      <c r="B927" s="8">
        <v>9.48</v>
      </c>
      <c r="C927" s="8">
        <v>134.69</v>
      </c>
      <c r="D927" s="8">
        <v>114.58</v>
      </c>
      <c r="E927">
        <v>7.0000000000000007E-5</v>
      </c>
      <c r="G927">
        <f t="shared" si="89"/>
        <v>99.463054329857243</v>
      </c>
      <c r="H927">
        <f t="shared" si="90"/>
        <v>-1.0290907097345592E-3</v>
      </c>
      <c r="I927">
        <f t="shared" si="91"/>
        <v>-1.0990907097345592E-3</v>
      </c>
      <c r="K927">
        <f t="shared" si="92"/>
        <v>-2.268041237113394E-2</v>
      </c>
      <c r="L927">
        <f t="shared" si="93"/>
        <v>-1.9266394961096056E-3</v>
      </c>
      <c r="M927">
        <f t="shared" si="94"/>
        <v>-5.2955985762652702E-3</v>
      </c>
    </row>
    <row r="928" spans="1:13" x14ac:dyDescent="0.3">
      <c r="A928" s="3">
        <v>43347</v>
      </c>
      <c r="B928" s="8">
        <v>9.4700000000000006</v>
      </c>
      <c r="C928" s="8">
        <v>133.72</v>
      </c>
      <c r="D928" s="8">
        <v>115.15</v>
      </c>
      <c r="E928">
        <v>8.0000000000000007E-5</v>
      </c>
      <c r="G928">
        <f t="shared" si="89"/>
        <v>99.802459218762806</v>
      </c>
      <c r="H928">
        <f t="shared" si="90"/>
        <v>3.4123714699125784E-3</v>
      </c>
      <c r="I928">
        <f t="shared" si="91"/>
        <v>3.3323714699125782E-3</v>
      </c>
      <c r="K928">
        <f t="shared" si="92"/>
        <v>-1.0548523206750371E-3</v>
      </c>
      <c r="L928">
        <f t="shared" si="93"/>
        <v>-7.2017224738287755E-3</v>
      </c>
      <c r="M928">
        <f t="shared" si="94"/>
        <v>4.9746901728051629E-3</v>
      </c>
    </row>
    <row r="929" spans="1:13" x14ac:dyDescent="0.3">
      <c r="A929" s="3">
        <v>43348</v>
      </c>
      <c r="B929" s="8">
        <v>9.49</v>
      </c>
      <c r="C929" s="8">
        <v>135.86000000000001</v>
      </c>
      <c r="D929" s="8">
        <v>114.59</v>
      </c>
      <c r="E929">
        <v>8.0000000000000007E-5</v>
      </c>
      <c r="G929">
        <f t="shared" si="89"/>
        <v>100.66953174745751</v>
      </c>
      <c r="H929">
        <f t="shared" si="90"/>
        <v>8.6878874076050661E-3</v>
      </c>
      <c r="I929">
        <f t="shared" si="91"/>
        <v>8.6078874076050658E-3</v>
      </c>
      <c r="K929">
        <f t="shared" si="92"/>
        <v>2.1119324181626542E-3</v>
      </c>
      <c r="L929">
        <f t="shared" si="93"/>
        <v>1.600358959018866E-2</v>
      </c>
      <c r="M929">
        <f t="shared" si="94"/>
        <v>-4.8632218844985031E-3</v>
      </c>
    </row>
    <row r="930" spans="1:13" x14ac:dyDescent="0.3">
      <c r="A930" s="3">
        <v>43349</v>
      </c>
      <c r="B930" s="8">
        <v>9.43</v>
      </c>
      <c r="C930" s="8">
        <v>136.87</v>
      </c>
      <c r="D930" s="8">
        <v>114.1</v>
      </c>
      <c r="E930">
        <v>8.0000000000000007E-5</v>
      </c>
      <c r="G930">
        <f t="shared" si="89"/>
        <v>100.15857209267914</v>
      </c>
      <c r="H930">
        <f t="shared" si="90"/>
        <v>-5.0756137026660708E-3</v>
      </c>
      <c r="I930">
        <f t="shared" si="91"/>
        <v>-5.155613702666071E-3</v>
      </c>
      <c r="K930">
        <f t="shared" si="92"/>
        <v>-6.322444678609096E-3</v>
      </c>
      <c r="L930">
        <f t="shared" si="93"/>
        <v>7.4341233622845504E-3</v>
      </c>
      <c r="M930">
        <f t="shared" si="94"/>
        <v>-4.2761148442272967E-3</v>
      </c>
    </row>
    <row r="931" spans="1:13" x14ac:dyDescent="0.3">
      <c r="A931" s="3">
        <v>43350</v>
      </c>
      <c r="B931" s="8">
        <v>9.27</v>
      </c>
      <c r="C931" s="8">
        <v>137.32</v>
      </c>
      <c r="D931" s="8">
        <v>114.32</v>
      </c>
      <c r="E931">
        <v>8.0000000000000007E-5</v>
      </c>
      <c r="G931">
        <f t="shared" si="89"/>
        <v>100.06533757966891</v>
      </c>
      <c r="H931">
        <f t="shared" si="90"/>
        <v>-9.3086903159877998E-4</v>
      </c>
      <c r="I931">
        <f t="shared" si="91"/>
        <v>-1.01086903159878E-3</v>
      </c>
      <c r="K931">
        <f t="shared" si="92"/>
        <v>-1.6967126193001114E-2</v>
      </c>
      <c r="L931">
        <f t="shared" si="93"/>
        <v>3.2877913348432486E-3</v>
      </c>
      <c r="M931">
        <f t="shared" si="94"/>
        <v>1.9281332164766685E-3</v>
      </c>
    </row>
    <row r="932" spans="1:13" x14ac:dyDescent="0.3">
      <c r="A932" s="3">
        <v>43353</v>
      </c>
      <c r="B932" s="8">
        <v>9.3800000000000008</v>
      </c>
      <c r="C932" s="8">
        <v>137.21</v>
      </c>
      <c r="D932" s="8">
        <v>113.71</v>
      </c>
      <c r="E932">
        <v>8.0000000000000007E-5</v>
      </c>
      <c r="G932">
        <f t="shared" si="89"/>
        <v>99.882000147411816</v>
      </c>
      <c r="H932">
        <f t="shared" si="90"/>
        <v>-1.8321772223185429E-3</v>
      </c>
      <c r="I932">
        <f t="shared" si="91"/>
        <v>-1.9121772223185428E-3</v>
      </c>
      <c r="K932">
        <f t="shared" si="92"/>
        <v>1.1866235167206085E-2</v>
      </c>
      <c r="L932">
        <f t="shared" si="93"/>
        <v>-8.0104864549945809E-4</v>
      </c>
      <c r="M932">
        <f t="shared" si="94"/>
        <v>-5.3358992302309227E-3</v>
      </c>
    </row>
    <row r="933" spans="1:13" x14ac:dyDescent="0.3">
      <c r="A933" s="3">
        <v>43354</v>
      </c>
      <c r="B933" s="8">
        <v>9.31</v>
      </c>
      <c r="C933" s="8">
        <v>138.51</v>
      </c>
      <c r="D933" s="8">
        <v>114.43</v>
      </c>
      <c r="E933">
        <v>8.0000000000000007E-5</v>
      </c>
      <c r="G933">
        <f t="shared" si="89"/>
        <v>100.65168645426942</v>
      </c>
      <c r="H933">
        <f t="shared" si="90"/>
        <v>7.7059560853973696E-3</v>
      </c>
      <c r="I933">
        <f t="shared" si="91"/>
        <v>7.6259560853973694E-3</v>
      </c>
      <c r="K933">
        <f t="shared" si="92"/>
        <v>-7.4626865671642006E-3</v>
      </c>
      <c r="L933">
        <f t="shared" si="93"/>
        <v>9.4745280956196609E-3</v>
      </c>
      <c r="M933">
        <f t="shared" si="94"/>
        <v>6.3318969307890605E-3</v>
      </c>
    </row>
    <row r="934" spans="1:13" x14ac:dyDescent="0.3">
      <c r="A934" s="3">
        <v>43355</v>
      </c>
      <c r="B934" s="8">
        <v>9.34</v>
      </c>
      <c r="C934" s="8">
        <v>139.36000000000001</v>
      </c>
      <c r="D934" s="8">
        <v>113.08</v>
      </c>
      <c r="E934">
        <v>8.0000000000000007E-5</v>
      </c>
      <c r="G934">
        <f t="shared" si="89"/>
        <v>99.908242746100655</v>
      </c>
      <c r="H934">
        <f t="shared" si="90"/>
        <v>-7.3863015549824329E-3</v>
      </c>
      <c r="I934">
        <f t="shared" si="91"/>
        <v>-7.4663015549824331E-3</v>
      </c>
      <c r="K934">
        <f t="shared" si="92"/>
        <v>3.2223415682062218E-3</v>
      </c>
      <c r="L934">
        <f t="shared" si="93"/>
        <v>6.1367410295287694E-3</v>
      </c>
      <c r="M934">
        <f t="shared" si="94"/>
        <v>-1.1797605523027221E-2</v>
      </c>
    </row>
    <row r="935" spans="1:13" x14ac:dyDescent="0.3">
      <c r="A935" s="3">
        <v>43356</v>
      </c>
      <c r="B935" s="8">
        <v>9.3699999999999992</v>
      </c>
      <c r="C935" s="8">
        <v>139.88999999999999</v>
      </c>
      <c r="D935" s="8">
        <v>113.52</v>
      </c>
      <c r="E935">
        <v>8.0000000000000007E-5</v>
      </c>
      <c r="G935">
        <f t="shared" si="89"/>
        <v>100.37742470954798</v>
      </c>
      <c r="H935">
        <f t="shared" si="90"/>
        <v>4.696128673183253E-3</v>
      </c>
      <c r="I935">
        <f t="shared" si="91"/>
        <v>4.6161286731832528E-3</v>
      </c>
      <c r="K935">
        <f t="shared" si="92"/>
        <v>3.2119914346895317E-3</v>
      </c>
      <c r="L935">
        <f t="shared" si="93"/>
        <v>3.8030998851892317E-3</v>
      </c>
      <c r="M935">
        <f t="shared" si="94"/>
        <v>3.8910505836575737E-3</v>
      </c>
    </row>
    <row r="936" spans="1:13" x14ac:dyDescent="0.3">
      <c r="A936" s="3">
        <v>43357</v>
      </c>
      <c r="B936" s="8">
        <v>9.4499999999999993</v>
      </c>
      <c r="C936" s="8">
        <v>139.49</v>
      </c>
      <c r="D936" s="8">
        <v>113.5</v>
      </c>
      <c r="E936">
        <v>8.0000000000000007E-5</v>
      </c>
      <c r="G936">
        <f t="shared" si="89"/>
        <v>99.934479045135262</v>
      </c>
      <c r="H936">
        <f t="shared" si="90"/>
        <v>-4.4128016403531811E-3</v>
      </c>
      <c r="I936">
        <f t="shared" si="91"/>
        <v>-4.4928016403531813E-3</v>
      </c>
      <c r="K936">
        <f t="shared" si="92"/>
        <v>8.5378868729988344E-3</v>
      </c>
      <c r="L936">
        <f t="shared" si="93"/>
        <v>-2.8593895203372632E-3</v>
      </c>
      <c r="M936">
        <f t="shared" si="94"/>
        <v>-1.7618040873845775E-4</v>
      </c>
    </row>
    <row r="937" spans="1:13" x14ac:dyDescent="0.3">
      <c r="A937" s="3">
        <v>43360</v>
      </c>
      <c r="B937" s="8">
        <v>9.5500000000000007</v>
      </c>
      <c r="C937" s="8">
        <v>139.96</v>
      </c>
      <c r="D937" s="8">
        <v>113.84</v>
      </c>
      <c r="E937">
        <v>8.0000000000000007E-5</v>
      </c>
      <c r="G937">
        <f t="shared" si="89"/>
        <v>100.39846404652704</v>
      </c>
      <c r="H937">
        <f t="shared" si="90"/>
        <v>4.6428920811427687E-3</v>
      </c>
      <c r="I937">
        <f t="shared" si="91"/>
        <v>4.5628920811427685E-3</v>
      </c>
      <c r="K937">
        <f t="shared" si="92"/>
        <v>1.0582010582010692E-2</v>
      </c>
      <c r="L937">
        <f t="shared" si="93"/>
        <v>3.3694171625207048E-3</v>
      </c>
      <c r="M937">
        <f t="shared" si="94"/>
        <v>2.9955947136564021E-3</v>
      </c>
    </row>
    <row r="938" spans="1:13" x14ac:dyDescent="0.3">
      <c r="A938" s="3">
        <v>43361</v>
      </c>
      <c r="B938" s="8">
        <v>9.58</v>
      </c>
      <c r="C938" s="8">
        <v>140.54</v>
      </c>
      <c r="D938" s="8">
        <v>114.3</v>
      </c>
      <c r="E938">
        <v>8.0000000000000007E-5</v>
      </c>
      <c r="G938">
        <f t="shared" si="89"/>
        <v>100.40000918327389</v>
      </c>
      <c r="H938">
        <f t="shared" si="90"/>
        <v>1.5390043677676601E-5</v>
      </c>
      <c r="I938">
        <f t="shared" si="91"/>
        <v>-6.4609956322323405E-5</v>
      </c>
      <c r="K938">
        <f t="shared" si="92"/>
        <v>3.141361256544517E-3</v>
      </c>
      <c r="L938">
        <f t="shared" si="93"/>
        <v>4.1440411546154188E-3</v>
      </c>
      <c r="M938">
        <f t="shared" si="94"/>
        <v>4.0407589599438243E-3</v>
      </c>
    </row>
    <row r="939" spans="1:13" x14ac:dyDescent="0.3">
      <c r="A939" s="3">
        <v>43362</v>
      </c>
      <c r="B939" s="8">
        <v>9.7799999999999994</v>
      </c>
      <c r="C939" s="8">
        <v>140.46</v>
      </c>
      <c r="D939" s="8">
        <v>117.62</v>
      </c>
      <c r="E939">
        <v>8.0000000000000007E-5</v>
      </c>
      <c r="G939">
        <f t="shared" si="89"/>
        <v>101.28230173263563</v>
      </c>
      <c r="H939">
        <f t="shared" si="90"/>
        <v>8.7877735922430311E-3</v>
      </c>
      <c r="I939">
        <f t="shared" si="91"/>
        <v>8.7077735922430309E-3</v>
      </c>
      <c r="K939">
        <f t="shared" si="92"/>
        <v>2.0876826722338038E-2</v>
      </c>
      <c r="L939">
        <f t="shared" si="93"/>
        <v>-5.6923295858823941E-4</v>
      </c>
      <c r="M939">
        <f t="shared" si="94"/>
        <v>2.904636920384962E-2</v>
      </c>
    </row>
    <row r="940" spans="1:13" x14ac:dyDescent="0.3">
      <c r="A940" s="3">
        <v>43363</v>
      </c>
      <c r="B940" s="8">
        <v>9.81</v>
      </c>
      <c r="C940" s="8">
        <v>141.97999999999999</v>
      </c>
      <c r="D940" s="8">
        <v>118.63</v>
      </c>
      <c r="E940">
        <v>8.0000000000000007E-5</v>
      </c>
      <c r="G940">
        <f t="shared" si="89"/>
        <v>100.91680313827447</v>
      </c>
      <c r="H940">
        <f t="shared" si="90"/>
        <v>-3.6087113751225308E-3</v>
      </c>
      <c r="I940">
        <f t="shared" si="91"/>
        <v>-3.688711375122531E-3</v>
      </c>
      <c r="K940">
        <f t="shared" si="92"/>
        <v>3.0674846625768915E-3</v>
      </c>
      <c r="L940">
        <f t="shared" si="93"/>
        <v>1.0821586216716472E-2</v>
      </c>
      <c r="M940">
        <f t="shared" si="94"/>
        <v>8.5869750042508741E-3</v>
      </c>
    </row>
    <row r="941" spans="1:13" x14ac:dyDescent="0.3">
      <c r="A941" s="3">
        <v>43364</v>
      </c>
      <c r="B941" s="8">
        <v>9.85</v>
      </c>
      <c r="C941" s="8">
        <v>142.88</v>
      </c>
      <c r="D941" s="8">
        <v>117.85</v>
      </c>
      <c r="E941">
        <v>8.0000000000000007E-5</v>
      </c>
      <c r="G941">
        <f t="shared" si="89"/>
        <v>100.12422509557869</v>
      </c>
      <c r="H941">
        <f t="shared" si="90"/>
        <v>-7.8537767551931648E-3</v>
      </c>
      <c r="I941">
        <f t="shared" si="91"/>
        <v>-7.933776755193165E-3</v>
      </c>
      <c r="K941">
        <f t="shared" si="92"/>
        <v>4.0774719673801751E-3</v>
      </c>
      <c r="L941">
        <f t="shared" si="93"/>
        <v>6.3389209747852782E-3</v>
      </c>
      <c r="M941">
        <f t="shared" si="94"/>
        <v>-6.5750653291747341E-3</v>
      </c>
    </row>
    <row r="942" spans="1:13" x14ac:dyDescent="0.3">
      <c r="A942" s="3">
        <v>43367</v>
      </c>
      <c r="B942" s="8">
        <v>9.59</v>
      </c>
      <c r="C942" s="8">
        <v>140.47</v>
      </c>
      <c r="D942" s="8">
        <v>116.72</v>
      </c>
      <c r="E942">
        <v>8.0000000000000007E-5</v>
      </c>
      <c r="G942">
        <f t="shared" si="89"/>
        <v>98.487317775648222</v>
      </c>
      <c r="H942">
        <f t="shared" si="90"/>
        <v>-1.6348763931684607E-2</v>
      </c>
      <c r="I942">
        <f t="shared" si="91"/>
        <v>-1.6428763931684607E-2</v>
      </c>
      <c r="K942">
        <f t="shared" si="92"/>
        <v>-2.6395939086294451E-2</v>
      </c>
      <c r="L942">
        <f t="shared" si="93"/>
        <v>-1.6867301231802911E-2</v>
      </c>
      <c r="M942">
        <f t="shared" si="94"/>
        <v>-9.5884599066610177E-3</v>
      </c>
    </row>
    <row r="943" spans="1:13" x14ac:dyDescent="0.3">
      <c r="A943" s="3">
        <v>43368</v>
      </c>
      <c r="B943" s="8">
        <v>9.39</v>
      </c>
      <c r="C943" s="8">
        <v>138.63999999999999</v>
      </c>
      <c r="D943" s="8">
        <v>116.39</v>
      </c>
      <c r="E943">
        <v>8.0000000000000007E-5</v>
      </c>
      <c r="G943">
        <f t="shared" si="89"/>
        <v>98.999050117436838</v>
      </c>
      <c r="H943">
        <f t="shared" si="90"/>
        <v>5.195921194181885E-3</v>
      </c>
      <c r="I943">
        <f t="shared" si="91"/>
        <v>5.1159211941818848E-3</v>
      </c>
      <c r="K943">
        <f t="shared" si="92"/>
        <v>-2.0855057351407691E-2</v>
      </c>
      <c r="L943">
        <f t="shared" si="93"/>
        <v>-1.3027692745782082E-2</v>
      </c>
      <c r="M943">
        <f t="shared" si="94"/>
        <v>-2.8272789581905711E-3</v>
      </c>
    </row>
    <row r="944" spans="1:13" x14ac:dyDescent="0.3">
      <c r="A944" s="3">
        <v>43369</v>
      </c>
      <c r="B944" s="8">
        <v>9.27</v>
      </c>
      <c r="C944" s="8">
        <v>138.16</v>
      </c>
      <c r="D944" s="8">
        <v>115.02</v>
      </c>
      <c r="E944">
        <v>8.0000000000000007E-5</v>
      </c>
      <c r="G944">
        <f t="shared" si="89"/>
        <v>99.243471762973968</v>
      </c>
      <c r="H944">
        <f t="shared" si="90"/>
        <v>2.4689291992920914E-3</v>
      </c>
      <c r="I944">
        <f t="shared" si="91"/>
        <v>2.3889291992920912E-3</v>
      </c>
      <c r="K944">
        <f t="shared" si="92"/>
        <v>-1.2779552715655007E-2</v>
      </c>
      <c r="L944">
        <f t="shared" si="93"/>
        <v>-3.4622042700518385E-3</v>
      </c>
      <c r="M944">
        <f t="shared" si="94"/>
        <v>-1.1770770684766729E-2</v>
      </c>
    </row>
    <row r="945" spans="1:13" x14ac:dyDescent="0.3">
      <c r="A945" s="3">
        <v>43370</v>
      </c>
      <c r="B945" s="8">
        <v>9.23</v>
      </c>
      <c r="C945" s="8">
        <v>138.22</v>
      </c>
      <c r="D945" s="8">
        <v>114.52</v>
      </c>
      <c r="E945">
        <v>8.0000000000000007E-5</v>
      </c>
      <c r="G945">
        <f t="shared" si="89"/>
        <v>99.813727368530593</v>
      </c>
      <c r="H945">
        <f t="shared" si="90"/>
        <v>5.7460263675437329E-3</v>
      </c>
      <c r="I945">
        <f t="shared" si="91"/>
        <v>5.6660263675437327E-3</v>
      </c>
      <c r="K945">
        <f t="shared" si="92"/>
        <v>-4.3149946062566169E-3</v>
      </c>
      <c r="L945">
        <f t="shared" si="93"/>
        <v>4.3427909669957465E-4</v>
      </c>
      <c r="M945">
        <f t="shared" si="94"/>
        <v>-4.3470700747696434E-3</v>
      </c>
    </row>
    <row r="946" spans="1:13" x14ac:dyDescent="0.3">
      <c r="A946" s="3">
        <v>43371</v>
      </c>
      <c r="B946" s="8">
        <v>9.25</v>
      </c>
      <c r="C946" s="8">
        <v>138.16999999999999</v>
      </c>
      <c r="D946" s="8">
        <v>112.84</v>
      </c>
      <c r="E946">
        <v>8.0000000000000007E-5</v>
      </c>
      <c r="G946">
        <f t="shared" si="89"/>
        <v>99.451894393837634</v>
      </c>
      <c r="H946">
        <f t="shared" si="90"/>
        <v>-3.6250822830912188E-3</v>
      </c>
      <c r="I946">
        <f t="shared" si="91"/>
        <v>-3.705082283091219E-3</v>
      </c>
      <c r="K946">
        <f t="shared" si="92"/>
        <v>2.1668472372697867E-3</v>
      </c>
      <c r="L946">
        <f t="shared" si="93"/>
        <v>-3.6174215019546541E-4</v>
      </c>
      <c r="M946">
        <f t="shared" si="94"/>
        <v>-1.4669926650366705E-2</v>
      </c>
    </row>
    <row r="947" spans="1:13" x14ac:dyDescent="0.3">
      <c r="A947" s="3">
        <v>43374</v>
      </c>
      <c r="B947" s="8">
        <v>9.32</v>
      </c>
      <c r="C947" s="8">
        <v>139.69</v>
      </c>
      <c r="D947" s="8">
        <v>113.5</v>
      </c>
      <c r="E947">
        <v>8.0000000000000007E-5</v>
      </c>
      <c r="G947">
        <f t="shared" si="89"/>
        <v>100.87023835614799</v>
      </c>
      <c r="H947">
        <f t="shared" si="90"/>
        <v>1.426160829771228E-2</v>
      </c>
      <c r="I947">
        <f t="shared" si="91"/>
        <v>1.418160829771228E-2</v>
      </c>
      <c r="K947">
        <f t="shared" si="92"/>
        <v>7.5675675675674903E-3</v>
      </c>
      <c r="L947">
        <f t="shared" si="93"/>
        <v>1.1000940869942966E-2</v>
      </c>
      <c r="M947">
        <f t="shared" si="94"/>
        <v>5.8489897199573981E-3</v>
      </c>
    </row>
    <row r="948" spans="1:13" x14ac:dyDescent="0.3">
      <c r="A948" s="3">
        <v>43375</v>
      </c>
      <c r="B948" s="8">
        <v>9.1999999999999993</v>
      </c>
      <c r="C948" s="8">
        <v>140.47999999999999</v>
      </c>
      <c r="D948" s="8">
        <v>113.97</v>
      </c>
      <c r="E948">
        <v>8.0000000000000007E-5</v>
      </c>
      <c r="G948">
        <f t="shared" si="89"/>
        <v>100.31434086195274</v>
      </c>
      <c r="H948">
        <f t="shared" si="90"/>
        <v>-5.5110159671925008E-3</v>
      </c>
      <c r="I948">
        <f t="shared" si="91"/>
        <v>-5.591015967192501E-3</v>
      </c>
      <c r="K948">
        <f t="shared" si="92"/>
        <v>-1.2875536480686844E-2</v>
      </c>
      <c r="L948">
        <f t="shared" si="93"/>
        <v>5.6553797694895991E-3</v>
      </c>
      <c r="M948">
        <f t="shared" si="94"/>
        <v>4.1409691629956669E-3</v>
      </c>
    </row>
    <row r="949" spans="1:13" x14ac:dyDescent="0.3">
      <c r="A949" s="3">
        <v>43376</v>
      </c>
      <c r="B949" s="8">
        <v>9.1300000000000008</v>
      </c>
      <c r="C949" s="8">
        <v>139.03</v>
      </c>
      <c r="D949" s="8">
        <v>115.04</v>
      </c>
      <c r="E949">
        <v>8.0000000000000007E-5</v>
      </c>
      <c r="G949">
        <f t="shared" si="89"/>
        <v>99.737972641598517</v>
      </c>
      <c r="H949">
        <f t="shared" si="90"/>
        <v>-5.7456213678100942E-3</v>
      </c>
      <c r="I949">
        <f t="shared" si="91"/>
        <v>-5.8256213678100945E-3</v>
      </c>
      <c r="K949">
        <f t="shared" si="92"/>
        <v>-7.6086956521737026E-3</v>
      </c>
      <c r="L949">
        <f t="shared" si="93"/>
        <v>-1.0321753986332505E-2</v>
      </c>
      <c r="M949">
        <f t="shared" si="94"/>
        <v>9.3884355532158903E-3</v>
      </c>
    </row>
    <row r="950" spans="1:13" x14ac:dyDescent="0.3">
      <c r="A950" s="3">
        <v>43377</v>
      </c>
      <c r="B950" s="8">
        <v>9.15</v>
      </c>
      <c r="C950" s="8">
        <v>139.35</v>
      </c>
      <c r="D950" s="8">
        <v>115.27</v>
      </c>
      <c r="E950">
        <v>8.0000000000000007E-5</v>
      </c>
      <c r="G950">
        <f t="shared" si="89"/>
        <v>100.21762399673592</v>
      </c>
      <c r="H950">
        <f t="shared" si="90"/>
        <v>4.8091147477100638E-3</v>
      </c>
      <c r="I950">
        <f t="shared" si="91"/>
        <v>4.7291147477100635E-3</v>
      </c>
      <c r="K950">
        <f t="shared" si="92"/>
        <v>2.1905805038333614E-3</v>
      </c>
      <c r="L950">
        <f t="shared" si="93"/>
        <v>2.3016615119038075E-3</v>
      </c>
      <c r="M950">
        <f t="shared" si="94"/>
        <v>1.9993045897077621E-3</v>
      </c>
    </row>
    <row r="951" spans="1:13" x14ac:dyDescent="0.3">
      <c r="A951" s="3">
        <v>43378</v>
      </c>
      <c r="B951" s="8">
        <v>9.1199999999999992</v>
      </c>
      <c r="C951" s="8">
        <v>139.1</v>
      </c>
      <c r="D951" s="8">
        <v>114.62</v>
      </c>
      <c r="E951">
        <v>8.0000000000000007E-5</v>
      </c>
      <c r="G951">
        <f t="shared" si="89"/>
        <v>99.660349030527982</v>
      </c>
      <c r="H951">
        <f t="shared" si="90"/>
        <v>-5.5606483568807485E-3</v>
      </c>
      <c r="I951">
        <f t="shared" si="91"/>
        <v>-5.6406483568807488E-3</v>
      </c>
      <c r="K951">
        <f t="shared" si="92"/>
        <v>-3.2786885245902342E-3</v>
      </c>
      <c r="L951">
        <f t="shared" si="93"/>
        <v>-1.7940437746680749E-3</v>
      </c>
      <c r="M951">
        <f t="shared" si="94"/>
        <v>-5.6389346751105629E-3</v>
      </c>
    </row>
    <row r="952" spans="1:13" x14ac:dyDescent="0.3">
      <c r="A952" s="3">
        <v>43381</v>
      </c>
      <c r="B952" s="8">
        <v>9.26</v>
      </c>
      <c r="C952" s="8">
        <v>139.38999999999999</v>
      </c>
      <c r="D952" s="8">
        <v>115.32</v>
      </c>
      <c r="E952">
        <v>8.0000000000000007E-5</v>
      </c>
      <c r="G952">
        <f t="shared" si="89"/>
        <v>100.49887781003261</v>
      </c>
      <c r="H952">
        <f t="shared" si="90"/>
        <v>8.4138655710284116E-3</v>
      </c>
      <c r="I952">
        <f t="shared" si="91"/>
        <v>8.3338655710284114E-3</v>
      </c>
      <c r="K952">
        <f t="shared" si="92"/>
        <v>1.5350877192982448E-2</v>
      </c>
      <c r="L952">
        <f t="shared" si="93"/>
        <v>2.0848310567935791E-3</v>
      </c>
      <c r="M952">
        <f t="shared" si="94"/>
        <v>6.1071366253706572E-3</v>
      </c>
    </row>
    <row r="953" spans="1:13" x14ac:dyDescent="0.3">
      <c r="A953" s="3">
        <v>43382</v>
      </c>
      <c r="B953" s="8">
        <v>8.9499999999999993</v>
      </c>
      <c r="C953" s="8">
        <v>139.19999999999999</v>
      </c>
      <c r="D953" s="8">
        <v>114.52</v>
      </c>
      <c r="E953">
        <v>8.0000000000000007E-5</v>
      </c>
      <c r="G953">
        <f t="shared" si="89"/>
        <v>99.317366686831264</v>
      </c>
      <c r="H953">
        <f t="shared" si="90"/>
        <v>-1.175646085755E-2</v>
      </c>
      <c r="I953">
        <f t="shared" si="91"/>
        <v>-1.183646085755E-2</v>
      </c>
      <c r="K953">
        <f t="shared" si="92"/>
        <v>-3.347732181425489E-2</v>
      </c>
      <c r="L953">
        <f t="shared" si="93"/>
        <v>-1.3630820001434563E-3</v>
      </c>
      <c r="M953">
        <f t="shared" si="94"/>
        <v>-6.937218175511628E-3</v>
      </c>
    </row>
    <row r="954" spans="1:13" x14ac:dyDescent="0.3">
      <c r="A954" s="3">
        <v>43383</v>
      </c>
      <c r="B954" s="8">
        <v>8.82</v>
      </c>
      <c r="C954" s="8">
        <v>137.72999999999999</v>
      </c>
      <c r="D954" s="8">
        <v>111.47</v>
      </c>
      <c r="E954">
        <v>8.0000000000000007E-5</v>
      </c>
      <c r="G954">
        <f t="shared" si="89"/>
        <v>98.297586788301402</v>
      </c>
      <c r="H954">
        <f t="shared" si="90"/>
        <v>-1.0267891030029452E-2</v>
      </c>
      <c r="I954">
        <f t="shared" si="91"/>
        <v>-1.0347891030029453E-2</v>
      </c>
      <c r="K954">
        <f t="shared" si="92"/>
        <v>-1.4525139664804398E-2</v>
      </c>
      <c r="L954">
        <f t="shared" si="93"/>
        <v>-1.0560344827586166E-2</v>
      </c>
      <c r="M954">
        <f t="shared" si="94"/>
        <v>-2.6632902549772908E-2</v>
      </c>
    </row>
    <row r="955" spans="1:13" x14ac:dyDescent="0.3">
      <c r="A955" s="3">
        <v>43384</v>
      </c>
      <c r="B955" s="8">
        <v>8.81</v>
      </c>
      <c r="C955" s="8">
        <v>133.84</v>
      </c>
      <c r="D955" s="8">
        <v>108.13</v>
      </c>
      <c r="E955">
        <v>8.0000000000000007E-5</v>
      </c>
      <c r="G955">
        <f t="shared" si="89"/>
        <v>97.395042733582713</v>
      </c>
      <c r="H955">
        <f t="shared" si="90"/>
        <v>-9.1817519046775153E-3</v>
      </c>
      <c r="I955">
        <f t="shared" si="91"/>
        <v>-9.2617519046775156E-3</v>
      </c>
      <c r="K955">
        <f t="shared" si="92"/>
        <v>-1.1337868480725266E-3</v>
      </c>
      <c r="L955">
        <f t="shared" si="93"/>
        <v>-2.8243665141944319E-2</v>
      </c>
      <c r="M955">
        <f t="shared" si="94"/>
        <v>-2.9963218803265468E-2</v>
      </c>
    </row>
    <row r="956" spans="1:13" x14ac:dyDescent="0.3">
      <c r="A956" s="3">
        <v>43385</v>
      </c>
      <c r="B956" s="8">
        <v>8.64</v>
      </c>
      <c r="C956" s="8">
        <v>133.87</v>
      </c>
      <c r="D956" s="8">
        <v>106.95</v>
      </c>
      <c r="E956">
        <v>8.0000000000000007E-5</v>
      </c>
      <c r="G956">
        <f t="shared" si="89"/>
        <v>99.398742116409309</v>
      </c>
      <c r="H956">
        <f t="shared" si="90"/>
        <v>2.0572909324631405E-2</v>
      </c>
      <c r="I956">
        <f t="shared" si="91"/>
        <v>2.0492909324631405E-2</v>
      </c>
      <c r="K956">
        <f t="shared" si="92"/>
        <v>-1.9296254256526701E-2</v>
      </c>
      <c r="L956">
        <f t="shared" si="93"/>
        <v>2.2414823670047213E-4</v>
      </c>
      <c r="M956">
        <f t="shared" si="94"/>
        <v>-1.091279015999258E-2</v>
      </c>
    </row>
    <row r="957" spans="1:13" x14ac:dyDescent="0.3">
      <c r="A957" s="3">
        <v>43388</v>
      </c>
      <c r="B957" s="8">
        <v>8.81</v>
      </c>
      <c r="C957" s="8">
        <v>133.94999999999999</v>
      </c>
      <c r="D957" s="8">
        <v>106.34</v>
      </c>
      <c r="E957">
        <v>8.0000000000000007E-5</v>
      </c>
      <c r="G957">
        <f t="shared" si="89"/>
        <v>100.02258441805711</v>
      </c>
      <c r="H957">
        <f t="shared" si="90"/>
        <v>6.2761589167517062E-3</v>
      </c>
      <c r="I957">
        <f t="shared" si="91"/>
        <v>6.196158916751706E-3</v>
      </c>
      <c r="K957">
        <f t="shared" si="92"/>
        <v>1.9675925925925819E-2</v>
      </c>
      <c r="L957">
        <f t="shared" si="93"/>
        <v>5.9759468140718752E-4</v>
      </c>
      <c r="M957">
        <f t="shared" si="94"/>
        <v>-5.7035998129967291E-3</v>
      </c>
    </row>
    <row r="958" spans="1:13" x14ac:dyDescent="0.3">
      <c r="A958" s="3">
        <v>43389</v>
      </c>
      <c r="B958" s="8">
        <v>8.8000000000000007</v>
      </c>
      <c r="C958" s="8">
        <v>136.56</v>
      </c>
      <c r="D958" s="8">
        <v>108.62</v>
      </c>
      <c r="E958">
        <v>8.0000000000000007E-5</v>
      </c>
      <c r="G958">
        <f t="shared" si="89"/>
        <v>101.80598430551984</v>
      </c>
      <c r="H958">
        <f t="shared" si="90"/>
        <v>1.7829972079193457E-2</v>
      </c>
      <c r="I958">
        <f t="shared" si="91"/>
        <v>1.7749972079193457E-2</v>
      </c>
      <c r="K958">
        <f t="shared" si="92"/>
        <v>-1.1350737797957144E-3</v>
      </c>
      <c r="L958">
        <f t="shared" si="93"/>
        <v>1.9484882418813187E-2</v>
      </c>
      <c r="M958">
        <f t="shared" si="94"/>
        <v>2.1440662027459201E-2</v>
      </c>
    </row>
    <row r="959" spans="1:13" x14ac:dyDescent="0.3">
      <c r="A959" s="3">
        <v>43390</v>
      </c>
      <c r="B959" s="8">
        <v>8.76</v>
      </c>
      <c r="C959" s="8">
        <v>139.46</v>
      </c>
      <c r="D959" s="8">
        <v>109.83</v>
      </c>
      <c r="E959">
        <v>8.0000000000000007E-5</v>
      </c>
      <c r="G959">
        <f t="shared" si="89"/>
        <v>101.47347680498606</v>
      </c>
      <c r="H959">
        <f t="shared" si="90"/>
        <v>-3.2660899337304539E-3</v>
      </c>
      <c r="I959">
        <f t="shared" si="91"/>
        <v>-3.3460899337304541E-3</v>
      </c>
      <c r="K959">
        <f t="shared" si="92"/>
        <v>-4.5454545454546302E-3</v>
      </c>
      <c r="L959">
        <f t="shared" si="93"/>
        <v>2.1236086701816204E-2</v>
      </c>
      <c r="M959">
        <f t="shared" si="94"/>
        <v>1.1139753268274655E-2</v>
      </c>
    </row>
    <row r="960" spans="1:13" x14ac:dyDescent="0.3">
      <c r="A960" s="3">
        <v>43391</v>
      </c>
      <c r="B960" s="8">
        <v>8.51</v>
      </c>
      <c r="C960" s="8">
        <v>139.5</v>
      </c>
      <c r="D960" s="8">
        <v>108.09</v>
      </c>
      <c r="E960">
        <v>8.0000000000000007E-5</v>
      </c>
      <c r="G960">
        <f t="shared" si="89"/>
        <v>99.119613691036704</v>
      </c>
      <c r="H960">
        <f t="shared" si="90"/>
        <v>-2.3196831212091595E-2</v>
      </c>
      <c r="I960">
        <f t="shared" si="91"/>
        <v>-2.3276831212091596E-2</v>
      </c>
      <c r="K960">
        <f t="shared" si="92"/>
        <v>-2.8538812785388168E-2</v>
      </c>
      <c r="L960">
        <f t="shared" si="93"/>
        <v>2.8682059371853974E-4</v>
      </c>
      <c r="M960">
        <f t="shared" si="94"/>
        <v>-1.5842665938268219E-2</v>
      </c>
    </row>
    <row r="961" spans="1:13" x14ac:dyDescent="0.3">
      <c r="A961" s="3">
        <v>43392</v>
      </c>
      <c r="B961" s="8">
        <v>8.5</v>
      </c>
      <c r="C961" s="8">
        <v>139.05000000000001</v>
      </c>
      <c r="D961" s="8">
        <v>107.91</v>
      </c>
      <c r="E961">
        <v>8.0000000000000007E-5</v>
      </c>
      <c r="G961">
        <f t="shared" si="89"/>
        <v>99.75763560220814</v>
      </c>
      <c r="H961">
        <f t="shared" si="90"/>
        <v>6.4368885976513468E-3</v>
      </c>
      <c r="I961">
        <f t="shared" si="91"/>
        <v>6.3568885976513466E-3</v>
      </c>
      <c r="K961">
        <f t="shared" si="92"/>
        <v>-1.1750881316098249E-3</v>
      </c>
      <c r="L961">
        <f t="shared" si="93"/>
        <v>-3.225806451612856E-3</v>
      </c>
      <c r="M961">
        <f t="shared" si="94"/>
        <v>-1.6652789342215257E-3</v>
      </c>
    </row>
    <row r="962" spans="1:13" x14ac:dyDescent="0.3">
      <c r="A962" s="3">
        <v>43395</v>
      </c>
      <c r="B962" s="8">
        <v>8.41</v>
      </c>
      <c r="C962" s="8">
        <v>138.68</v>
      </c>
      <c r="D962" s="8">
        <v>106.36</v>
      </c>
      <c r="E962">
        <v>8.0000000000000007E-5</v>
      </c>
      <c r="G962">
        <f t="shared" si="89"/>
        <v>99.210436101997885</v>
      </c>
      <c r="H962">
        <f t="shared" si="90"/>
        <v>-5.4852893907014755E-3</v>
      </c>
      <c r="I962">
        <f t="shared" si="91"/>
        <v>-5.5652893907014757E-3</v>
      </c>
      <c r="K962">
        <f t="shared" si="92"/>
        <v>-1.0588235294117676E-2</v>
      </c>
      <c r="L962">
        <f t="shared" si="93"/>
        <v>-2.6609133405249841E-3</v>
      </c>
      <c r="M962">
        <f t="shared" si="94"/>
        <v>-1.4363821703271218E-2</v>
      </c>
    </row>
    <row r="963" spans="1:13" x14ac:dyDescent="0.3">
      <c r="A963" s="3">
        <v>43396</v>
      </c>
      <c r="B963" s="8">
        <v>8.59</v>
      </c>
      <c r="C963" s="8">
        <v>138.93</v>
      </c>
      <c r="D963" s="8">
        <v>105.25</v>
      </c>
      <c r="E963">
        <v>8.0000000000000007E-5</v>
      </c>
      <c r="G963">
        <f t="shared" si="89"/>
        <v>99.92512288577322</v>
      </c>
      <c r="H963">
        <f t="shared" si="90"/>
        <v>7.2037460155962574E-3</v>
      </c>
      <c r="I963">
        <f t="shared" si="91"/>
        <v>7.1237460155962572E-3</v>
      </c>
      <c r="K963">
        <f t="shared" si="92"/>
        <v>2.1403091557669507E-2</v>
      </c>
      <c r="L963">
        <f t="shared" si="93"/>
        <v>1.8027112777616594E-3</v>
      </c>
      <c r="M963">
        <f t="shared" si="94"/>
        <v>-1.0436254230913877E-2</v>
      </c>
    </row>
    <row r="964" spans="1:13" x14ac:dyDescent="0.3">
      <c r="A964" s="3">
        <v>43397</v>
      </c>
      <c r="B964" s="8">
        <v>8.18</v>
      </c>
      <c r="C964" s="8">
        <v>137.47</v>
      </c>
      <c r="D964" s="8">
        <v>103.29</v>
      </c>
      <c r="E964">
        <v>8.0000000000000007E-5</v>
      </c>
      <c r="G964">
        <f t="shared" si="89"/>
        <v>98.253709077536925</v>
      </c>
      <c r="H964">
        <f t="shared" si="90"/>
        <v>-1.6726662524567781E-2</v>
      </c>
      <c r="I964">
        <f t="shared" si="91"/>
        <v>-1.6806662524567782E-2</v>
      </c>
      <c r="K964">
        <f t="shared" si="92"/>
        <v>-4.7729918509895275E-2</v>
      </c>
      <c r="L964">
        <f t="shared" si="93"/>
        <v>-1.0508889368746943E-2</v>
      </c>
      <c r="M964">
        <f t="shared" si="94"/>
        <v>-1.8622327790973836E-2</v>
      </c>
    </row>
    <row r="965" spans="1:13" x14ac:dyDescent="0.3">
      <c r="A965" s="3">
        <v>43398</v>
      </c>
      <c r="B965" s="8">
        <v>8.99</v>
      </c>
      <c r="C965" s="8">
        <v>138.47</v>
      </c>
      <c r="D965" s="8">
        <v>104.86</v>
      </c>
      <c r="E965">
        <v>8.0000000000000007E-5</v>
      </c>
      <c r="G965">
        <f t="shared" ref="G965:G1028" si="95">$G$4*(B965*$P$8/B964 + C965*$Q$8/C964 + D965*$R$8/D964)</f>
        <v>101.98721722944151</v>
      </c>
      <c r="H965">
        <f t="shared" ref="H965:H1028" si="96">G965/G964-1</f>
        <v>3.7998648467899354E-2</v>
      </c>
      <c r="I965">
        <f t="shared" si="91"/>
        <v>3.7918648467899357E-2</v>
      </c>
      <c r="K965">
        <f t="shared" si="92"/>
        <v>9.9022004889975701E-2</v>
      </c>
      <c r="L965">
        <f t="shared" si="93"/>
        <v>7.274314395868231E-3</v>
      </c>
      <c r="M965">
        <f t="shared" si="94"/>
        <v>1.5199922548165379E-2</v>
      </c>
    </row>
    <row r="966" spans="1:13" x14ac:dyDescent="0.3">
      <c r="A966" s="3">
        <v>43399</v>
      </c>
      <c r="B966" s="8">
        <v>8.98</v>
      </c>
      <c r="C966" s="8">
        <v>136.97</v>
      </c>
      <c r="D966" s="8">
        <v>103.42</v>
      </c>
      <c r="E966">
        <v>8.0000000000000007E-5</v>
      </c>
      <c r="G966">
        <f t="shared" si="95"/>
        <v>98.90947699731116</v>
      </c>
      <c r="H966">
        <f t="shared" si="96"/>
        <v>-3.0177705753127171E-2</v>
      </c>
      <c r="I966">
        <f t="shared" ref="I966:I1029" si="97">H966-E966</f>
        <v>-3.0257705753127171E-2</v>
      </c>
      <c r="K966">
        <f t="shared" ref="K966:K1029" si="98">B966/B965-1</f>
        <v>-1.1123470522802492E-3</v>
      </c>
      <c r="L966">
        <f t="shared" ref="L966:L1029" si="99">C966/C965-1</f>
        <v>-1.0832671336751698E-2</v>
      </c>
      <c r="M966">
        <f t="shared" ref="M966:M1029" si="100">D966/D965-1</f>
        <v>-1.373259584207509E-2</v>
      </c>
    </row>
    <row r="967" spans="1:13" x14ac:dyDescent="0.3">
      <c r="A967" s="3">
        <v>43402</v>
      </c>
      <c r="B967" s="8">
        <v>9.2799999999999994</v>
      </c>
      <c r="C967" s="8">
        <v>137.55000000000001</v>
      </c>
      <c r="D967" s="8">
        <v>104.85</v>
      </c>
      <c r="E967">
        <v>8.0000000000000007E-5</v>
      </c>
      <c r="G967">
        <f t="shared" si="95"/>
        <v>101.09017057632906</v>
      </c>
      <c r="H967">
        <f t="shared" si="96"/>
        <v>2.2047367403198237E-2</v>
      </c>
      <c r="I967">
        <f t="shared" si="97"/>
        <v>2.1967367403198237E-2</v>
      </c>
      <c r="K967">
        <f t="shared" si="98"/>
        <v>3.3407572383073347E-2</v>
      </c>
      <c r="L967">
        <f t="shared" si="99"/>
        <v>4.2345039059648037E-3</v>
      </c>
      <c r="M967">
        <f t="shared" si="100"/>
        <v>1.382711274415005E-2</v>
      </c>
    </row>
    <row r="968" spans="1:13" x14ac:dyDescent="0.3">
      <c r="A968" s="3">
        <v>43403</v>
      </c>
      <c r="B968" s="8">
        <v>9.4600000000000009</v>
      </c>
      <c r="C968" s="8">
        <v>140.75</v>
      </c>
      <c r="D968" s="8">
        <v>106.7</v>
      </c>
      <c r="E968">
        <v>8.0000000000000007E-5</v>
      </c>
      <c r="G968">
        <f t="shared" si="95"/>
        <v>102.0744053357308</v>
      </c>
      <c r="H968">
        <f t="shared" si="96"/>
        <v>9.7362063372776753E-3</v>
      </c>
      <c r="I968">
        <f t="shared" si="97"/>
        <v>9.6562063372776751E-3</v>
      </c>
      <c r="K968">
        <f t="shared" si="98"/>
        <v>1.9396551724138122E-2</v>
      </c>
      <c r="L968">
        <f t="shared" si="99"/>
        <v>2.3264267539076622E-2</v>
      </c>
      <c r="M968">
        <f t="shared" si="100"/>
        <v>1.7644253695755951E-2</v>
      </c>
    </row>
    <row r="969" spans="1:13" x14ac:dyDescent="0.3">
      <c r="A969" s="3">
        <v>43404</v>
      </c>
      <c r="B969" s="8">
        <v>9.5500000000000007</v>
      </c>
      <c r="C969" s="8">
        <v>139.99</v>
      </c>
      <c r="D969" s="8">
        <v>109.02</v>
      </c>
      <c r="E969">
        <v>8.0000000000000007E-5</v>
      </c>
      <c r="G969">
        <f t="shared" si="95"/>
        <v>100.6377444381995</v>
      </c>
      <c r="H969">
        <f t="shared" si="96"/>
        <v>-1.4074643813069554E-2</v>
      </c>
      <c r="I969">
        <f t="shared" si="97"/>
        <v>-1.4154643813069554E-2</v>
      </c>
      <c r="K969">
        <f t="shared" si="98"/>
        <v>9.5137420718816035E-3</v>
      </c>
      <c r="L969">
        <f t="shared" si="99"/>
        <v>-5.3996447602130404E-3</v>
      </c>
      <c r="M969">
        <f t="shared" si="100"/>
        <v>2.1743205248359931E-2</v>
      </c>
    </row>
    <row r="970" spans="1:13" x14ac:dyDescent="0.3">
      <c r="A970" s="3">
        <v>43405</v>
      </c>
      <c r="B970" s="8">
        <v>9.2899999999999991</v>
      </c>
      <c r="C970" s="8">
        <v>140.82</v>
      </c>
      <c r="D970" s="8">
        <v>108.98</v>
      </c>
      <c r="E970">
        <v>8.0000000000000007E-5</v>
      </c>
      <c r="G970">
        <f t="shared" si="95"/>
        <v>100.00851542041408</v>
      </c>
      <c r="H970">
        <f t="shared" si="96"/>
        <v>-6.2524157441925521E-3</v>
      </c>
      <c r="I970">
        <f t="shared" si="97"/>
        <v>-6.3324157441925523E-3</v>
      </c>
      <c r="K970">
        <f t="shared" si="98"/>
        <v>-2.7225130890052518E-2</v>
      </c>
      <c r="L970">
        <f t="shared" si="99"/>
        <v>5.9289949282090859E-3</v>
      </c>
      <c r="M970">
        <f t="shared" si="100"/>
        <v>-3.6690515501736076E-4</v>
      </c>
    </row>
    <row r="971" spans="1:13" x14ac:dyDescent="0.3">
      <c r="A971" s="3">
        <v>43406</v>
      </c>
      <c r="B971" s="8">
        <v>9.3800000000000008</v>
      </c>
      <c r="C971" s="8">
        <v>140.68</v>
      </c>
      <c r="D971" s="8">
        <v>108.38</v>
      </c>
      <c r="E971">
        <v>8.0000000000000007E-5</v>
      </c>
      <c r="G971">
        <f t="shared" si="95"/>
        <v>99.842762922994211</v>
      </c>
      <c r="H971">
        <f t="shared" si="96"/>
        <v>-1.6573838409967845E-3</v>
      </c>
      <c r="I971">
        <f t="shared" si="97"/>
        <v>-1.7373838409967845E-3</v>
      </c>
      <c r="K971">
        <f t="shared" si="98"/>
        <v>9.6878363832080261E-3</v>
      </c>
      <c r="L971">
        <f t="shared" si="99"/>
        <v>-9.9417696349946016E-4</v>
      </c>
      <c r="M971">
        <f t="shared" si="100"/>
        <v>-5.5055973573133743E-3</v>
      </c>
    </row>
    <row r="972" spans="1:13" x14ac:dyDescent="0.3">
      <c r="A972" s="3">
        <v>43409</v>
      </c>
      <c r="B972" s="8">
        <v>9.5299999999999994</v>
      </c>
      <c r="C972" s="8">
        <v>142.19999999999999</v>
      </c>
      <c r="D972" s="8">
        <v>109.09</v>
      </c>
      <c r="E972">
        <v>8.0000000000000007E-5</v>
      </c>
      <c r="G972">
        <f t="shared" si="95"/>
        <v>100.97475648291739</v>
      </c>
      <c r="H972">
        <f t="shared" si="96"/>
        <v>1.1337762766002957E-2</v>
      </c>
      <c r="I972">
        <f t="shared" si="97"/>
        <v>1.1257762766002957E-2</v>
      </c>
      <c r="K972">
        <f t="shared" si="98"/>
        <v>1.5991471215351716E-2</v>
      </c>
      <c r="L972">
        <f t="shared" si="99"/>
        <v>1.0804663065112186E-2</v>
      </c>
      <c r="M972">
        <f t="shared" si="100"/>
        <v>6.551024174201947E-3</v>
      </c>
    </row>
    <row r="973" spans="1:13" x14ac:dyDescent="0.3">
      <c r="A973" s="3">
        <v>43410</v>
      </c>
      <c r="B973" s="8">
        <v>9.5399999999999991</v>
      </c>
      <c r="C973" s="8">
        <v>142.57</v>
      </c>
      <c r="D973" s="8">
        <v>109.6</v>
      </c>
      <c r="E973">
        <v>8.0000000000000007E-5</v>
      </c>
      <c r="G973">
        <f t="shared" si="95"/>
        <v>100.32193649957139</v>
      </c>
      <c r="H973">
        <f t="shared" si="96"/>
        <v>-6.4651800715799235E-3</v>
      </c>
      <c r="I973">
        <f t="shared" si="97"/>
        <v>-6.5451800715799237E-3</v>
      </c>
      <c r="K973">
        <f t="shared" si="98"/>
        <v>1.0493179433368471E-3</v>
      </c>
      <c r="L973">
        <f t="shared" si="99"/>
        <v>2.6019690576652987E-3</v>
      </c>
      <c r="M973">
        <f t="shared" si="100"/>
        <v>4.67503895865784E-3</v>
      </c>
    </row>
    <row r="974" spans="1:13" x14ac:dyDescent="0.3">
      <c r="A974" s="3">
        <v>43411</v>
      </c>
      <c r="B974" s="8">
        <v>9.6</v>
      </c>
      <c r="C974" s="8">
        <v>144.75</v>
      </c>
      <c r="D974" s="8">
        <v>111.48</v>
      </c>
      <c r="E974">
        <v>8.0000000000000007E-5</v>
      </c>
      <c r="G974">
        <f t="shared" si="95"/>
        <v>101.50482607430868</v>
      </c>
      <c r="H974">
        <f t="shared" si="96"/>
        <v>1.1790936419397546E-2</v>
      </c>
      <c r="I974">
        <f t="shared" si="97"/>
        <v>1.1710936419397546E-2</v>
      </c>
      <c r="K974">
        <f t="shared" si="98"/>
        <v>6.2893081761006275E-3</v>
      </c>
      <c r="L974">
        <f t="shared" si="99"/>
        <v>1.529073437609596E-2</v>
      </c>
      <c r="M974">
        <f t="shared" si="100"/>
        <v>1.7153284671532987E-2</v>
      </c>
    </row>
    <row r="975" spans="1:13" x14ac:dyDescent="0.3">
      <c r="A975" s="3">
        <v>43412</v>
      </c>
      <c r="B975" s="8">
        <v>9.4600000000000009</v>
      </c>
      <c r="C975" s="8">
        <v>145.30000000000001</v>
      </c>
      <c r="D975" s="8">
        <v>112.38</v>
      </c>
      <c r="E975">
        <v>8.0000000000000007E-5</v>
      </c>
      <c r="G975">
        <f t="shared" si="95"/>
        <v>100.34812524850987</v>
      </c>
      <c r="H975">
        <f t="shared" si="96"/>
        <v>-1.1395525420160979E-2</v>
      </c>
      <c r="I975">
        <f t="shared" si="97"/>
        <v>-1.1475525420160979E-2</v>
      </c>
      <c r="K975">
        <f t="shared" si="98"/>
        <v>-1.4583333333333171E-2</v>
      </c>
      <c r="L975">
        <f t="shared" si="99"/>
        <v>3.7996545768568257E-3</v>
      </c>
      <c r="M975">
        <f t="shared" si="100"/>
        <v>8.0731969860063924E-3</v>
      </c>
    </row>
    <row r="976" spans="1:13" x14ac:dyDescent="0.3">
      <c r="A976" s="3">
        <v>43413</v>
      </c>
      <c r="B976" s="8">
        <v>9.3800000000000008</v>
      </c>
      <c r="C976" s="8">
        <v>145.34</v>
      </c>
      <c r="D976" s="8">
        <v>111.29</v>
      </c>
      <c r="E976">
        <v>8.0000000000000007E-5</v>
      </c>
      <c r="G976">
        <f t="shared" si="95"/>
        <v>99.560664721993646</v>
      </c>
      <c r="H976">
        <f t="shared" si="96"/>
        <v>-7.8472868782162308E-3</v>
      </c>
      <c r="I976">
        <f t="shared" si="97"/>
        <v>-7.927286878216231E-3</v>
      </c>
      <c r="K976">
        <f t="shared" si="98"/>
        <v>-8.4566596194503019E-3</v>
      </c>
      <c r="L976">
        <f t="shared" si="99"/>
        <v>2.7529249827940028E-4</v>
      </c>
      <c r="M976">
        <f t="shared" si="100"/>
        <v>-9.6992347392773626E-3</v>
      </c>
    </row>
    <row r="977" spans="1:13" x14ac:dyDescent="0.3">
      <c r="A977" s="3">
        <v>43416</v>
      </c>
      <c r="B977" s="8">
        <v>9.49</v>
      </c>
      <c r="C977" s="8">
        <v>145.62</v>
      </c>
      <c r="D977" s="8">
        <v>108.95</v>
      </c>
      <c r="E977">
        <v>8.0000000000000007E-5</v>
      </c>
      <c r="G977">
        <f t="shared" si="95"/>
        <v>99.43163164794997</v>
      </c>
      <c r="H977">
        <f t="shared" si="96"/>
        <v>-1.2960246338650228E-3</v>
      </c>
      <c r="I977">
        <f t="shared" si="97"/>
        <v>-1.3760246338650228E-3</v>
      </c>
      <c r="K977">
        <f t="shared" si="98"/>
        <v>1.1727078891258014E-2</v>
      </c>
      <c r="L977">
        <f t="shared" si="99"/>
        <v>1.9265171322415675E-3</v>
      </c>
      <c r="M977">
        <f t="shared" si="100"/>
        <v>-2.1026147901877956E-2</v>
      </c>
    </row>
    <row r="978" spans="1:13" x14ac:dyDescent="0.3">
      <c r="A978" s="3">
        <v>43417</v>
      </c>
      <c r="B978" s="8">
        <v>9.5399999999999991</v>
      </c>
      <c r="C978" s="8">
        <v>144.68</v>
      </c>
      <c r="D978" s="8">
        <v>109.59</v>
      </c>
      <c r="E978">
        <v>8.0000000000000007E-5</v>
      </c>
      <c r="G978">
        <f t="shared" si="95"/>
        <v>99.941321401870752</v>
      </c>
      <c r="H978">
        <f t="shared" si="96"/>
        <v>5.1260322844284278E-3</v>
      </c>
      <c r="I978">
        <f t="shared" si="97"/>
        <v>5.0460322844284276E-3</v>
      </c>
      <c r="K978">
        <f t="shared" si="98"/>
        <v>5.2687038988408208E-3</v>
      </c>
      <c r="L978">
        <f t="shared" si="99"/>
        <v>-6.4551572586183381E-3</v>
      </c>
      <c r="M978">
        <f t="shared" si="100"/>
        <v>5.8742542450664903E-3</v>
      </c>
    </row>
    <row r="979" spans="1:13" x14ac:dyDescent="0.3">
      <c r="A979" s="3">
        <v>43418</v>
      </c>
      <c r="B979" s="8">
        <v>9.5399999999999991</v>
      </c>
      <c r="C979" s="8">
        <v>144.25</v>
      </c>
      <c r="D979" s="8">
        <v>107.33</v>
      </c>
      <c r="E979">
        <v>8.0000000000000007E-5</v>
      </c>
      <c r="G979">
        <f t="shared" si="95"/>
        <v>99.069743740380673</v>
      </c>
      <c r="H979">
        <f t="shared" si="96"/>
        <v>-8.7208939131934171E-3</v>
      </c>
      <c r="I979">
        <f t="shared" si="97"/>
        <v>-8.8008939131934173E-3</v>
      </c>
      <c r="K979">
        <f t="shared" si="98"/>
        <v>0</v>
      </c>
      <c r="L979">
        <f t="shared" si="99"/>
        <v>-2.9720763063312283E-3</v>
      </c>
      <c r="M979">
        <f t="shared" si="100"/>
        <v>-2.062231955470395E-2</v>
      </c>
    </row>
    <row r="980" spans="1:13" x14ac:dyDescent="0.3">
      <c r="A980" s="3">
        <v>43419</v>
      </c>
      <c r="B980" s="8">
        <v>9.31</v>
      </c>
      <c r="C980" s="8">
        <v>144.5</v>
      </c>
      <c r="D980" s="8">
        <v>110.07</v>
      </c>
      <c r="E980">
        <v>8.0000000000000007E-5</v>
      </c>
      <c r="G980">
        <f t="shared" si="95"/>
        <v>100.79793311605233</v>
      </c>
      <c r="H980">
        <f t="shared" si="96"/>
        <v>1.7444169232944562E-2</v>
      </c>
      <c r="I980">
        <f t="shared" si="97"/>
        <v>1.7364169232944562E-2</v>
      </c>
      <c r="K980">
        <f t="shared" si="98"/>
        <v>-2.4109014675052221E-2</v>
      </c>
      <c r="L980">
        <f t="shared" si="99"/>
        <v>1.7331022530329143E-3</v>
      </c>
      <c r="M980">
        <f t="shared" si="100"/>
        <v>2.5528743128668596E-2</v>
      </c>
    </row>
    <row r="981" spans="1:13" x14ac:dyDescent="0.3">
      <c r="A981" s="3">
        <v>43420</v>
      </c>
      <c r="B981" s="8">
        <v>9.0500000000000007</v>
      </c>
      <c r="C981" s="8">
        <v>145.99</v>
      </c>
      <c r="D981" s="8">
        <v>109.99</v>
      </c>
      <c r="E981">
        <v>8.0000000000000007E-5</v>
      </c>
      <c r="G981">
        <f t="shared" si="95"/>
        <v>100.21501496889962</v>
      </c>
      <c r="H981">
        <f t="shared" si="96"/>
        <v>-5.7830367065322408E-3</v>
      </c>
      <c r="I981">
        <f t="shared" si="97"/>
        <v>-5.863036706532241E-3</v>
      </c>
      <c r="K981">
        <f t="shared" si="98"/>
        <v>-2.7926960257787292E-2</v>
      </c>
      <c r="L981">
        <f t="shared" si="99"/>
        <v>1.0311418685121199E-2</v>
      </c>
      <c r="M981">
        <f t="shared" si="100"/>
        <v>-7.268102116834152E-4</v>
      </c>
    </row>
    <row r="982" spans="1:13" x14ac:dyDescent="0.3">
      <c r="A982" s="3">
        <v>43423</v>
      </c>
      <c r="B982" s="8">
        <v>9.25</v>
      </c>
      <c r="C982" s="8">
        <v>147.72999999999999</v>
      </c>
      <c r="D982" s="8">
        <v>110.83</v>
      </c>
      <c r="E982">
        <v>8.0000000000000007E-5</v>
      </c>
      <c r="G982">
        <f t="shared" si="95"/>
        <v>101.13744011529968</v>
      </c>
      <c r="H982">
        <f t="shared" si="96"/>
        <v>9.2044604961274423E-3</v>
      </c>
      <c r="I982">
        <f t="shared" si="97"/>
        <v>9.1244604961274421E-3</v>
      </c>
      <c r="K982">
        <f t="shared" si="98"/>
        <v>2.2099447513812098E-2</v>
      </c>
      <c r="L982">
        <f t="shared" si="99"/>
        <v>1.1918624563326041E-2</v>
      </c>
      <c r="M982">
        <f t="shared" si="100"/>
        <v>7.6370579143558714E-3</v>
      </c>
    </row>
    <row r="983" spans="1:13" x14ac:dyDescent="0.3">
      <c r="A983" s="3">
        <v>43424</v>
      </c>
      <c r="B983" s="8">
        <v>9.06</v>
      </c>
      <c r="C983" s="8">
        <v>146.44999999999999</v>
      </c>
      <c r="D983" s="8">
        <v>108.45</v>
      </c>
      <c r="E983">
        <v>8.0000000000000007E-5</v>
      </c>
      <c r="G983">
        <f t="shared" si="95"/>
        <v>98.527041669296736</v>
      </c>
      <c r="H983">
        <f t="shared" si="96"/>
        <v>-2.5810406542097764E-2</v>
      </c>
      <c r="I983">
        <f t="shared" si="97"/>
        <v>-2.5890406542097764E-2</v>
      </c>
      <c r="K983">
        <f t="shared" si="98"/>
        <v>-2.0540540540540442E-2</v>
      </c>
      <c r="L983">
        <f t="shared" si="99"/>
        <v>-8.6644554254382555E-3</v>
      </c>
      <c r="M983">
        <f t="shared" si="100"/>
        <v>-2.1474330055039181E-2</v>
      </c>
    </row>
    <row r="984" spans="1:13" x14ac:dyDescent="0.3">
      <c r="A984" s="3">
        <v>43425</v>
      </c>
      <c r="B984" s="8">
        <v>9.11</v>
      </c>
      <c r="C984" s="8">
        <v>141.99</v>
      </c>
      <c r="D984" s="8">
        <v>107.64</v>
      </c>
      <c r="E984">
        <v>8.0000000000000007E-5</v>
      </c>
      <c r="G984">
        <f t="shared" si="95"/>
        <v>98.196552306980806</v>
      </c>
      <c r="H984">
        <f t="shared" si="96"/>
        <v>-3.3543010803592788E-3</v>
      </c>
      <c r="I984">
        <f t="shared" si="97"/>
        <v>-3.434301080359279E-3</v>
      </c>
      <c r="K984">
        <f t="shared" si="98"/>
        <v>5.5187637969094094E-3</v>
      </c>
      <c r="L984">
        <f t="shared" si="99"/>
        <v>-3.0454079890747554E-2</v>
      </c>
      <c r="M984">
        <f t="shared" si="100"/>
        <v>-7.468879668049766E-3</v>
      </c>
    </row>
    <row r="985" spans="1:13" x14ac:dyDescent="0.3">
      <c r="A985" s="3">
        <v>43427</v>
      </c>
      <c r="B985" s="8">
        <v>9.1300000000000008</v>
      </c>
      <c r="C985" s="8">
        <v>142.22999999999999</v>
      </c>
      <c r="D985" s="8">
        <v>106.65</v>
      </c>
      <c r="E985">
        <v>8.0000000000000007E-5</v>
      </c>
      <c r="G985">
        <f t="shared" si="95"/>
        <v>99.764608950055674</v>
      </c>
      <c r="H985">
        <f t="shared" si="96"/>
        <v>1.5968550893445066E-2</v>
      </c>
      <c r="I985">
        <f t="shared" si="97"/>
        <v>1.5888550893445066E-2</v>
      </c>
      <c r="K985">
        <f t="shared" si="98"/>
        <v>2.195389681668658E-3</v>
      </c>
      <c r="L985">
        <f t="shared" si="99"/>
        <v>1.6902598774559685E-3</v>
      </c>
      <c r="M985">
        <f t="shared" si="100"/>
        <v>-9.1973244147156574E-3</v>
      </c>
    </row>
    <row r="986" spans="1:13" x14ac:dyDescent="0.3">
      <c r="A986" s="3">
        <v>43430</v>
      </c>
      <c r="B986" s="8">
        <v>9.4</v>
      </c>
      <c r="C986" s="8">
        <v>141.37</v>
      </c>
      <c r="D986" s="8">
        <v>109.26</v>
      </c>
      <c r="E986">
        <v>8.0000000000000007E-5</v>
      </c>
      <c r="G986">
        <f t="shared" si="95"/>
        <v>100.91711051940852</v>
      </c>
      <c r="H986">
        <f t="shared" si="96"/>
        <v>1.1552208558546218E-2</v>
      </c>
      <c r="I986">
        <f t="shared" si="97"/>
        <v>1.1472208558546217E-2</v>
      </c>
      <c r="K986">
        <f t="shared" si="98"/>
        <v>2.9572836801752489E-2</v>
      </c>
      <c r="L986">
        <f t="shared" si="99"/>
        <v>-6.0465443296068289E-3</v>
      </c>
      <c r="M986">
        <f t="shared" si="100"/>
        <v>2.4472573839662504E-2</v>
      </c>
    </row>
    <row r="987" spans="1:13" x14ac:dyDescent="0.3">
      <c r="A987" s="3">
        <v>43431</v>
      </c>
      <c r="B987" s="8">
        <v>9.2799999999999994</v>
      </c>
      <c r="C987" s="8">
        <v>143.22</v>
      </c>
      <c r="D987" s="8">
        <v>109.72</v>
      </c>
      <c r="E987">
        <v>8.0000000000000007E-5</v>
      </c>
      <c r="G987">
        <f t="shared" si="95"/>
        <v>100.70366966543925</v>
      </c>
      <c r="H987">
        <f t="shared" si="96"/>
        <v>-2.1150115463147712E-3</v>
      </c>
      <c r="I987">
        <f t="shared" si="97"/>
        <v>-2.1950115463147714E-3</v>
      </c>
      <c r="K987">
        <f t="shared" si="98"/>
        <v>-1.276595744680864E-2</v>
      </c>
      <c r="L987">
        <f t="shared" si="99"/>
        <v>1.3086227629624414E-2</v>
      </c>
      <c r="M987">
        <f t="shared" si="100"/>
        <v>4.2101409481969387E-3</v>
      </c>
    </row>
    <row r="988" spans="1:13" x14ac:dyDescent="0.3">
      <c r="A988" s="3">
        <v>43432</v>
      </c>
      <c r="B988" s="8">
        <v>9.41</v>
      </c>
      <c r="C988" s="8">
        <v>146.44</v>
      </c>
      <c r="D988" s="8">
        <v>110.94</v>
      </c>
      <c r="E988">
        <v>8.0000000000000007E-5</v>
      </c>
      <c r="G988">
        <f t="shared" si="95"/>
        <v>101.73185008535457</v>
      </c>
      <c r="H988">
        <f t="shared" si="96"/>
        <v>1.0209959809122759E-2</v>
      </c>
      <c r="I988">
        <f t="shared" si="97"/>
        <v>1.0129959809122759E-2</v>
      </c>
      <c r="K988">
        <f t="shared" si="98"/>
        <v>1.4008620689655249E-2</v>
      </c>
      <c r="L988">
        <f t="shared" si="99"/>
        <v>2.2482893450635366E-2</v>
      </c>
      <c r="M988">
        <f t="shared" si="100"/>
        <v>1.1119212541013557E-2</v>
      </c>
    </row>
    <row r="989" spans="1:13" x14ac:dyDescent="0.3">
      <c r="A989" s="3">
        <v>43433</v>
      </c>
      <c r="B989" s="8">
        <v>9.3699999999999992</v>
      </c>
      <c r="C989" s="8">
        <v>145.85</v>
      </c>
      <c r="D989" s="8">
        <v>110.06</v>
      </c>
      <c r="E989">
        <v>8.0000000000000007E-5</v>
      </c>
      <c r="G989">
        <f t="shared" si="95"/>
        <v>99.447895921703534</v>
      </c>
      <c r="H989">
        <f t="shared" si="96"/>
        <v>-2.2450728672827269E-2</v>
      </c>
      <c r="I989">
        <f t="shared" si="97"/>
        <v>-2.2530728672827269E-2</v>
      </c>
      <c r="K989">
        <f t="shared" si="98"/>
        <v>-4.2507970244421989E-3</v>
      </c>
      <c r="L989">
        <f t="shared" si="99"/>
        <v>-4.0289538377492606E-3</v>
      </c>
      <c r="M989">
        <f t="shared" si="100"/>
        <v>-7.9322156120424925E-3</v>
      </c>
    </row>
    <row r="990" spans="1:13" x14ac:dyDescent="0.3">
      <c r="A990" s="3">
        <v>43434</v>
      </c>
      <c r="B990" s="8">
        <v>9.41</v>
      </c>
      <c r="C990" s="8">
        <v>146.9</v>
      </c>
      <c r="D990" s="8">
        <v>111.19</v>
      </c>
      <c r="E990">
        <v>8.0000000000000007E-5</v>
      </c>
      <c r="G990">
        <f t="shared" si="95"/>
        <v>100.80465827762698</v>
      </c>
      <c r="H990">
        <f t="shared" si="96"/>
        <v>1.3642946825055402E-2</v>
      </c>
      <c r="I990">
        <f t="shared" si="97"/>
        <v>1.3562946825055402E-2</v>
      </c>
      <c r="K990">
        <f t="shared" si="98"/>
        <v>4.2689434364995282E-3</v>
      </c>
      <c r="L990">
        <f t="shared" si="99"/>
        <v>7.1991772368873441E-3</v>
      </c>
      <c r="M990">
        <f t="shared" si="100"/>
        <v>1.0267127021624578E-2</v>
      </c>
    </row>
    <row r="991" spans="1:13" x14ac:dyDescent="0.3">
      <c r="A991" s="3">
        <v>43437</v>
      </c>
      <c r="B991" s="8">
        <v>9.6</v>
      </c>
      <c r="C991" s="8">
        <v>146.21</v>
      </c>
      <c r="D991" s="8">
        <v>112.24</v>
      </c>
      <c r="E991">
        <v>1E-4</v>
      </c>
      <c r="G991">
        <f t="shared" si="95"/>
        <v>100.323244975419</v>
      </c>
      <c r="H991">
        <f t="shared" si="96"/>
        <v>-4.7757049171489596E-3</v>
      </c>
      <c r="I991">
        <f t="shared" si="97"/>
        <v>-4.8757049171489599E-3</v>
      </c>
      <c r="K991">
        <f t="shared" si="98"/>
        <v>2.0191285866099751E-2</v>
      </c>
      <c r="L991">
        <f t="shared" si="99"/>
        <v>-4.6970728386657168E-3</v>
      </c>
      <c r="M991">
        <f t="shared" si="100"/>
        <v>9.4432952603651366E-3</v>
      </c>
    </row>
    <row r="992" spans="1:13" x14ac:dyDescent="0.3">
      <c r="A992" s="3">
        <v>43438</v>
      </c>
      <c r="B992" s="8">
        <v>9.18</v>
      </c>
      <c r="C992" s="8">
        <v>146.03</v>
      </c>
      <c r="D992" s="8">
        <v>107.23</v>
      </c>
      <c r="E992">
        <v>1E-4</v>
      </c>
      <c r="G992">
        <f t="shared" si="95"/>
        <v>97.797892492601648</v>
      </c>
      <c r="H992">
        <f t="shared" si="96"/>
        <v>-2.5172157095158854E-2</v>
      </c>
      <c r="I992">
        <f t="shared" si="97"/>
        <v>-2.5272157095158853E-2</v>
      </c>
      <c r="K992">
        <f t="shared" si="98"/>
        <v>-4.3749999999999956E-2</v>
      </c>
      <c r="L992">
        <f t="shared" si="99"/>
        <v>-1.2311059435059502E-3</v>
      </c>
      <c r="M992">
        <f t="shared" si="100"/>
        <v>-4.4636493228795371E-2</v>
      </c>
    </row>
    <row r="993" spans="1:13" x14ac:dyDescent="0.3">
      <c r="A993" s="3">
        <v>43440</v>
      </c>
      <c r="B993" s="8">
        <v>9.02</v>
      </c>
      <c r="C993" s="8">
        <v>145.91</v>
      </c>
      <c r="D993" s="8">
        <v>105.19</v>
      </c>
      <c r="E993">
        <v>1E-4</v>
      </c>
      <c r="G993">
        <f t="shared" si="95"/>
        <v>99.058786116603898</v>
      </c>
      <c r="H993">
        <f t="shared" si="96"/>
        <v>1.2892850672601597E-2</v>
      </c>
      <c r="I993">
        <f t="shared" si="97"/>
        <v>1.2792850672601597E-2</v>
      </c>
      <c r="K993">
        <f t="shared" si="98"/>
        <v>-1.7429193899782147E-2</v>
      </c>
      <c r="L993">
        <f t="shared" si="99"/>
        <v>-8.2174895569409045E-4</v>
      </c>
      <c r="M993">
        <f t="shared" si="100"/>
        <v>-1.9024526718269152E-2</v>
      </c>
    </row>
    <row r="994" spans="1:13" x14ac:dyDescent="0.3">
      <c r="A994" s="3">
        <v>43441</v>
      </c>
      <c r="B994" s="8">
        <v>8.82</v>
      </c>
      <c r="C994" s="8">
        <v>145.43</v>
      </c>
      <c r="D994" s="8">
        <v>103.29</v>
      </c>
      <c r="E994">
        <v>1E-4</v>
      </c>
      <c r="G994">
        <f t="shared" si="95"/>
        <v>98.917211656853823</v>
      </c>
      <c r="H994">
        <f t="shared" si="96"/>
        <v>-1.4291963923667161E-3</v>
      </c>
      <c r="I994">
        <f t="shared" si="97"/>
        <v>-1.5291963923667162E-3</v>
      </c>
      <c r="K994">
        <f t="shared" si="98"/>
        <v>-2.2172949002217224E-2</v>
      </c>
      <c r="L994">
        <f t="shared" si="99"/>
        <v>-3.2896991296004208E-3</v>
      </c>
      <c r="M994">
        <f t="shared" si="100"/>
        <v>-1.8062553474664789E-2</v>
      </c>
    </row>
    <row r="995" spans="1:13" x14ac:dyDescent="0.3">
      <c r="A995" s="3">
        <v>43444</v>
      </c>
      <c r="B995" s="8">
        <v>8.52</v>
      </c>
      <c r="C995" s="8">
        <v>145.26</v>
      </c>
      <c r="D995" s="8">
        <v>101.36</v>
      </c>
      <c r="E995">
        <v>1E-4</v>
      </c>
      <c r="G995">
        <f t="shared" si="95"/>
        <v>98.879729091929704</v>
      </c>
      <c r="H995">
        <f t="shared" si="96"/>
        <v>-3.7892864443189733E-4</v>
      </c>
      <c r="I995">
        <f t="shared" si="97"/>
        <v>-4.7892864443189732E-4</v>
      </c>
      <c r="K995">
        <f t="shared" si="98"/>
        <v>-3.4013605442176909E-2</v>
      </c>
      <c r="L995">
        <f t="shared" si="99"/>
        <v>-1.1689472598501727E-3</v>
      </c>
      <c r="M995">
        <f t="shared" si="100"/>
        <v>-1.8685255106980381E-2</v>
      </c>
    </row>
    <row r="996" spans="1:13" x14ac:dyDescent="0.3">
      <c r="A996" s="3">
        <v>43445</v>
      </c>
      <c r="B996" s="8">
        <v>8.5399999999999991</v>
      </c>
      <c r="C996" s="8">
        <v>146.5</v>
      </c>
      <c r="D996" s="8">
        <v>100.37</v>
      </c>
      <c r="E996">
        <v>1E-4</v>
      </c>
      <c r="G996">
        <f t="shared" si="95"/>
        <v>100.09999703839622</v>
      </c>
      <c r="H996">
        <f t="shared" si="96"/>
        <v>1.2340931328119087E-2</v>
      </c>
      <c r="I996">
        <f t="shared" si="97"/>
        <v>1.2240931328119087E-2</v>
      </c>
      <c r="K996">
        <f t="shared" si="98"/>
        <v>2.3474178403755097E-3</v>
      </c>
      <c r="L996">
        <f t="shared" si="99"/>
        <v>8.5364174583506536E-3</v>
      </c>
      <c r="M996">
        <f t="shared" si="100"/>
        <v>-9.7671665351223291E-3</v>
      </c>
    </row>
    <row r="997" spans="1:13" x14ac:dyDescent="0.3">
      <c r="A997" s="3">
        <v>43446</v>
      </c>
      <c r="B997" s="8">
        <v>8.64</v>
      </c>
      <c r="C997" s="8">
        <v>147.1</v>
      </c>
      <c r="D997" s="8">
        <v>101.02</v>
      </c>
      <c r="E997">
        <v>1E-4</v>
      </c>
      <c r="G997">
        <f t="shared" si="95"/>
        <v>100.57893292930247</v>
      </c>
      <c r="H997">
        <f t="shared" si="96"/>
        <v>4.7845744762862186E-3</v>
      </c>
      <c r="I997">
        <f t="shared" si="97"/>
        <v>4.6845744762862183E-3</v>
      </c>
      <c r="K997">
        <f t="shared" si="98"/>
        <v>1.1709601873536535E-2</v>
      </c>
      <c r="L997">
        <f t="shared" si="99"/>
        <v>4.0955631399317571E-3</v>
      </c>
      <c r="M997">
        <f t="shared" si="100"/>
        <v>6.4760386569691075E-3</v>
      </c>
    </row>
    <row r="998" spans="1:13" x14ac:dyDescent="0.3">
      <c r="A998" s="3">
        <v>43447</v>
      </c>
      <c r="B998" s="8">
        <v>8.5</v>
      </c>
      <c r="C998" s="8">
        <v>147.84</v>
      </c>
      <c r="D998" s="8">
        <v>101.12</v>
      </c>
      <c r="E998">
        <v>1E-4</v>
      </c>
      <c r="G998">
        <f t="shared" si="95"/>
        <v>100.1284635762631</v>
      </c>
      <c r="H998">
        <f t="shared" si="96"/>
        <v>-4.4787644879470401E-3</v>
      </c>
      <c r="I998">
        <f t="shared" si="97"/>
        <v>-4.5787644879470403E-3</v>
      </c>
      <c r="K998">
        <f t="shared" si="98"/>
        <v>-1.620370370370372E-2</v>
      </c>
      <c r="L998">
        <f t="shared" si="99"/>
        <v>5.0305914343984348E-3</v>
      </c>
      <c r="M998">
        <f t="shared" si="100"/>
        <v>9.8990298950707434E-4</v>
      </c>
    </row>
    <row r="999" spans="1:13" x14ac:dyDescent="0.3">
      <c r="A999" s="3">
        <v>43448</v>
      </c>
      <c r="B999" s="8">
        <v>8.52</v>
      </c>
      <c r="C999" s="8">
        <v>133</v>
      </c>
      <c r="D999" s="8">
        <v>100.29</v>
      </c>
      <c r="E999">
        <v>1E-4</v>
      </c>
      <c r="G999">
        <f t="shared" si="95"/>
        <v>94.507251794836094</v>
      </c>
      <c r="H999">
        <f t="shared" si="96"/>
        <v>-5.6139998364656774E-2</v>
      </c>
      <c r="I999">
        <f t="shared" si="97"/>
        <v>-5.6239998364656776E-2</v>
      </c>
      <c r="K999">
        <f t="shared" si="98"/>
        <v>2.3529411764704466E-3</v>
      </c>
      <c r="L999">
        <f t="shared" si="99"/>
        <v>-0.10037878787878785</v>
      </c>
      <c r="M999">
        <f t="shared" si="100"/>
        <v>-8.2080696202531112E-3</v>
      </c>
    </row>
    <row r="1000" spans="1:13" x14ac:dyDescent="0.3">
      <c r="A1000" s="3">
        <v>43451</v>
      </c>
      <c r="B1000" s="8">
        <v>8.5</v>
      </c>
      <c r="C1000" s="8">
        <v>129.13999999999999</v>
      </c>
      <c r="D1000" s="8">
        <v>99.01</v>
      </c>
      <c r="E1000">
        <v>1E-4</v>
      </c>
      <c r="G1000">
        <f t="shared" si="95"/>
        <v>97.98917018314522</v>
      </c>
      <c r="H1000">
        <f t="shared" si="96"/>
        <v>3.6842869961640101E-2</v>
      </c>
      <c r="I1000">
        <f t="shared" si="97"/>
        <v>3.6742869961640098E-2</v>
      </c>
      <c r="K1000">
        <f t="shared" si="98"/>
        <v>-2.3474178403755097E-3</v>
      </c>
      <c r="L1000">
        <f t="shared" si="99"/>
        <v>-2.9022556390977505E-2</v>
      </c>
      <c r="M1000">
        <f t="shared" si="100"/>
        <v>-1.2762987336723541E-2</v>
      </c>
    </row>
    <row r="1001" spans="1:13" x14ac:dyDescent="0.3">
      <c r="A1001" s="3">
        <v>43452</v>
      </c>
      <c r="B1001" s="8">
        <v>8.4700000000000006</v>
      </c>
      <c r="C1001" s="8">
        <v>130.41999999999999</v>
      </c>
      <c r="D1001" s="8">
        <v>98.54</v>
      </c>
      <c r="E1001">
        <v>1E-4</v>
      </c>
      <c r="G1001">
        <f t="shared" si="95"/>
        <v>100.29868359208993</v>
      </c>
      <c r="H1001">
        <f t="shared" si="96"/>
        <v>2.3569067935039545E-2</v>
      </c>
      <c r="I1001">
        <f t="shared" si="97"/>
        <v>2.3469067935039545E-2</v>
      </c>
      <c r="K1001">
        <f t="shared" si="98"/>
        <v>-3.529411764705781E-3</v>
      </c>
      <c r="L1001">
        <f t="shared" si="99"/>
        <v>9.9117237107015921E-3</v>
      </c>
      <c r="M1001">
        <f t="shared" si="100"/>
        <v>-4.7469952530047044E-3</v>
      </c>
    </row>
    <row r="1002" spans="1:13" x14ac:dyDescent="0.3">
      <c r="A1002" s="3">
        <v>43453</v>
      </c>
      <c r="B1002" s="8">
        <v>8.32</v>
      </c>
      <c r="C1002" s="8">
        <v>127.61</v>
      </c>
      <c r="D1002" s="8">
        <v>97.29</v>
      </c>
      <c r="E1002">
        <v>1E-4</v>
      </c>
      <c r="G1002">
        <f t="shared" si="95"/>
        <v>98.21905921525547</v>
      </c>
      <c r="H1002">
        <f t="shared" si="96"/>
        <v>-2.0734313775165769E-2</v>
      </c>
      <c r="I1002">
        <f t="shared" si="97"/>
        <v>-2.0834313775165769E-2</v>
      </c>
      <c r="K1002">
        <f t="shared" si="98"/>
        <v>-1.7709563164108655E-2</v>
      </c>
      <c r="L1002">
        <f t="shared" si="99"/>
        <v>-2.1545775187854499E-2</v>
      </c>
      <c r="M1002">
        <f t="shared" si="100"/>
        <v>-1.2685203978079929E-2</v>
      </c>
    </row>
    <row r="1003" spans="1:13" x14ac:dyDescent="0.3">
      <c r="A1003" s="3">
        <v>43454</v>
      </c>
      <c r="B1003" s="8">
        <v>8.26</v>
      </c>
      <c r="C1003" s="8">
        <v>128.27000000000001</v>
      </c>
      <c r="D1003" s="8">
        <v>96.45</v>
      </c>
      <c r="E1003">
        <v>1E-4</v>
      </c>
      <c r="G1003">
        <f t="shared" si="95"/>
        <v>99.867884926822541</v>
      </c>
      <c r="H1003">
        <f t="shared" si="96"/>
        <v>1.6787227700415297E-2</v>
      </c>
      <c r="I1003">
        <f t="shared" si="97"/>
        <v>1.6687227700415298E-2</v>
      </c>
      <c r="K1003">
        <f t="shared" si="98"/>
        <v>-7.2115384615385469E-3</v>
      </c>
      <c r="L1003">
        <f t="shared" si="99"/>
        <v>5.1720084632866925E-3</v>
      </c>
      <c r="M1003">
        <f t="shared" si="100"/>
        <v>-8.6339808818994834E-3</v>
      </c>
    </row>
    <row r="1004" spans="1:13" x14ac:dyDescent="0.3">
      <c r="A1004" s="3">
        <v>43455</v>
      </c>
      <c r="B1004" s="8">
        <v>8.0500000000000007</v>
      </c>
      <c r="C1004" s="8">
        <v>128.09</v>
      </c>
      <c r="D1004" s="8">
        <v>94.17</v>
      </c>
      <c r="E1004">
        <v>1E-4</v>
      </c>
      <c r="G1004">
        <f t="shared" si="95"/>
        <v>98.771171564679847</v>
      </c>
      <c r="H1004">
        <f t="shared" si="96"/>
        <v>-1.0981642025825411E-2</v>
      </c>
      <c r="I1004">
        <f t="shared" si="97"/>
        <v>-1.108164202582541E-2</v>
      </c>
      <c r="K1004">
        <f t="shared" si="98"/>
        <v>-2.5423728813559254E-2</v>
      </c>
      <c r="L1004">
        <f t="shared" si="99"/>
        <v>-1.4032899352928174E-3</v>
      </c>
      <c r="M1004">
        <f t="shared" si="100"/>
        <v>-2.3639191290824257E-2</v>
      </c>
    </row>
    <row r="1005" spans="1:13" x14ac:dyDescent="0.3">
      <c r="A1005" s="3">
        <v>43458</v>
      </c>
      <c r="B1005" s="8">
        <v>7.63</v>
      </c>
      <c r="C1005" s="8">
        <v>122.84</v>
      </c>
      <c r="D1005" s="8">
        <v>92.14</v>
      </c>
      <c r="E1005">
        <v>1E-4</v>
      </c>
      <c r="G1005">
        <f t="shared" si="95"/>
        <v>96.515248425594109</v>
      </c>
      <c r="H1005">
        <f t="shared" si="96"/>
        <v>-2.2839894509183334E-2</v>
      </c>
      <c r="I1005">
        <f t="shared" si="97"/>
        <v>-2.2939894509183333E-2</v>
      </c>
      <c r="K1005">
        <f t="shared" si="98"/>
        <v>-5.2173913043478404E-2</v>
      </c>
      <c r="L1005">
        <f t="shared" si="99"/>
        <v>-4.0986806151924404E-2</v>
      </c>
      <c r="M1005">
        <f t="shared" si="100"/>
        <v>-2.1556759052776875E-2</v>
      </c>
    </row>
    <row r="1006" spans="1:13" x14ac:dyDescent="0.3">
      <c r="A1006" s="3">
        <v>43460</v>
      </c>
      <c r="B1006" s="8">
        <v>7.85</v>
      </c>
      <c r="C1006" s="8">
        <v>126.71</v>
      </c>
      <c r="D1006" s="8">
        <v>95.96</v>
      </c>
      <c r="E1006">
        <v>1E-4</v>
      </c>
      <c r="G1006">
        <f t="shared" si="95"/>
        <v>103.49703727008604</v>
      </c>
      <c r="H1006">
        <f t="shared" si="96"/>
        <v>7.2338712880942957E-2</v>
      </c>
      <c r="I1006">
        <f t="shared" si="97"/>
        <v>7.2238712880942954E-2</v>
      </c>
      <c r="K1006">
        <f t="shared" si="98"/>
        <v>2.8833551769331445E-2</v>
      </c>
      <c r="L1006">
        <f t="shared" si="99"/>
        <v>3.1504395962227205E-2</v>
      </c>
      <c r="M1006">
        <f t="shared" si="100"/>
        <v>4.1458649880616427E-2</v>
      </c>
    </row>
    <row r="1007" spans="1:13" x14ac:dyDescent="0.3">
      <c r="A1007" s="3">
        <v>43461</v>
      </c>
      <c r="B1007" s="8">
        <v>7.85</v>
      </c>
      <c r="C1007" s="8">
        <v>127.41</v>
      </c>
      <c r="D1007" s="8">
        <v>97.04</v>
      </c>
      <c r="E1007">
        <v>1E-4</v>
      </c>
      <c r="G1007">
        <f t="shared" si="95"/>
        <v>100.71018099292483</v>
      </c>
      <c r="H1007">
        <f t="shared" si="96"/>
        <v>-2.6926918399496014E-2</v>
      </c>
      <c r="I1007">
        <f t="shared" si="97"/>
        <v>-2.7026918399496013E-2</v>
      </c>
      <c r="K1007">
        <f t="shared" si="98"/>
        <v>0</v>
      </c>
      <c r="L1007">
        <f t="shared" si="99"/>
        <v>5.5244258543130087E-3</v>
      </c>
      <c r="M1007">
        <f t="shared" si="100"/>
        <v>1.125468945393937E-2</v>
      </c>
    </row>
    <row r="1008" spans="1:13" x14ac:dyDescent="0.3">
      <c r="A1008" s="3">
        <v>43462</v>
      </c>
      <c r="B1008" s="8">
        <v>7.81</v>
      </c>
      <c r="C1008" s="8">
        <v>127.27</v>
      </c>
      <c r="D1008" s="8">
        <v>96.83</v>
      </c>
      <c r="E1008">
        <v>1E-4</v>
      </c>
      <c r="G1008">
        <f t="shared" si="95"/>
        <v>99.808145779886729</v>
      </c>
      <c r="H1008">
        <f t="shared" si="96"/>
        <v>-8.9567430436995332E-3</v>
      </c>
      <c r="I1008">
        <f t="shared" si="97"/>
        <v>-9.0567430436995326E-3</v>
      </c>
      <c r="K1008">
        <f t="shared" si="98"/>
        <v>-5.0955414012738842E-3</v>
      </c>
      <c r="L1008">
        <f t="shared" si="99"/>
        <v>-1.0988148496978711E-3</v>
      </c>
      <c r="M1008">
        <f t="shared" si="100"/>
        <v>-2.1640560593571001E-3</v>
      </c>
    </row>
    <row r="1009" spans="1:13" x14ac:dyDescent="0.3">
      <c r="A1009" s="3">
        <v>43465</v>
      </c>
      <c r="B1009" s="8">
        <v>7.65</v>
      </c>
      <c r="C1009" s="8">
        <v>129.05000000000001</v>
      </c>
      <c r="D1009" s="8">
        <v>97.62</v>
      </c>
      <c r="E1009">
        <v>1E-4</v>
      </c>
      <c r="G1009">
        <f t="shared" si="95"/>
        <v>100.81803041253829</v>
      </c>
      <c r="H1009">
        <f t="shared" si="96"/>
        <v>1.0118258632704435E-2</v>
      </c>
      <c r="I1009">
        <f t="shared" si="97"/>
        <v>1.0018258632704436E-2</v>
      </c>
      <c r="K1009">
        <f t="shared" si="98"/>
        <v>-2.0486555697823206E-2</v>
      </c>
      <c r="L1009">
        <f t="shared" si="99"/>
        <v>1.3986013986014179E-2</v>
      </c>
      <c r="M1009">
        <f t="shared" si="100"/>
        <v>8.1586285242176704E-3</v>
      </c>
    </row>
    <row r="1010" spans="1:13" x14ac:dyDescent="0.3">
      <c r="A1010" s="3">
        <v>43467</v>
      </c>
      <c r="B1010" s="8">
        <v>7.9</v>
      </c>
      <c r="C1010" s="8">
        <v>127.75</v>
      </c>
      <c r="D1010" s="8">
        <v>99.31</v>
      </c>
      <c r="E1010">
        <v>1E-4</v>
      </c>
      <c r="G1010">
        <f t="shared" si="95"/>
        <v>100.47125320598862</v>
      </c>
      <c r="H1010">
        <f t="shared" si="96"/>
        <v>-3.4396348066977334E-3</v>
      </c>
      <c r="I1010">
        <f t="shared" si="97"/>
        <v>-3.5396348066977332E-3</v>
      </c>
      <c r="K1010">
        <f t="shared" si="98"/>
        <v>3.2679738562091609E-2</v>
      </c>
      <c r="L1010">
        <f t="shared" si="99"/>
        <v>-1.0073614877954329E-2</v>
      </c>
      <c r="M1010">
        <f t="shared" si="100"/>
        <v>1.7312026224134414E-2</v>
      </c>
    </row>
    <row r="1011" spans="1:13" x14ac:dyDescent="0.3">
      <c r="A1011" s="3">
        <v>43468</v>
      </c>
      <c r="B1011" s="8">
        <v>7.78</v>
      </c>
      <c r="C1011" s="8">
        <v>125.72</v>
      </c>
      <c r="D1011" s="8">
        <v>97.11</v>
      </c>
      <c r="E1011">
        <v>1E-4</v>
      </c>
      <c r="G1011">
        <f t="shared" si="95"/>
        <v>98.182638546938037</v>
      </c>
      <c r="H1011">
        <f t="shared" si="96"/>
        <v>-2.2778800761630857E-2</v>
      </c>
      <c r="I1011">
        <f t="shared" si="97"/>
        <v>-2.2878800761630857E-2</v>
      </c>
      <c r="K1011">
        <f t="shared" si="98"/>
        <v>-1.5189873417721489E-2</v>
      </c>
      <c r="L1011">
        <f t="shared" si="99"/>
        <v>-1.5890410958904089E-2</v>
      </c>
      <c r="M1011">
        <f t="shared" si="100"/>
        <v>-2.2152854697412128E-2</v>
      </c>
    </row>
    <row r="1012" spans="1:13" x14ac:dyDescent="0.3">
      <c r="A1012" s="3">
        <v>43469</v>
      </c>
      <c r="B1012" s="8">
        <v>8.08</v>
      </c>
      <c r="C1012" s="8">
        <v>127.83</v>
      </c>
      <c r="D1012" s="8">
        <v>100.69</v>
      </c>
      <c r="E1012">
        <v>1E-4</v>
      </c>
      <c r="G1012">
        <f t="shared" si="95"/>
        <v>102.66227094880232</v>
      </c>
      <c r="H1012">
        <f t="shared" si="96"/>
        <v>4.5625504347417856E-2</v>
      </c>
      <c r="I1012">
        <f t="shared" si="97"/>
        <v>4.5525504347417853E-2</v>
      </c>
      <c r="K1012">
        <f t="shared" si="98"/>
        <v>3.8560411311054033E-2</v>
      </c>
      <c r="L1012">
        <f t="shared" si="99"/>
        <v>1.6783328030544054E-2</v>
      </c>
      <c r="M1012">
        <f t="shared" si="100"/>
        <v>3.6865410359386175E-2</v>
      </c>
    </row>
    <row r="1013" spans="1:13" x14ac:dyDescent="0.3">
      <c r="A1013" s="3">
        <v>43472</v>
      </c>
      <c r="B1013" s="8">
        <v>8.2899999999999991</v>
      </c>
      <c r="C1013" s="8">
        <v>127.01</v>
      </c>
      <c r="D1013" s="8">
        <v>100.76</v>
      </c>
      <c r="E1013">
        <v>1E-4</v>
      </c>
      <c r="G1013">
        <f t="shared" si="95"/>
        <v>99.965689106209354</v>
      </c>
      <c r="H1013">
        <f t="shared" si="96"/>
        <v>-2.6266532170691526E-2</v>
      </c>
      <c r="I1013">
        <f t="shared" si="97"/>
        <v>-2.6366532170691525E-2</v>
      </c>
      <c r="K1013">
        <f t="shared" si="98"/>
        <v>2.5990099009900902E-2</v>
      </c>
      <c r="L1013">
        <f t="shared" si="99"/>
        <v>-6.4147696158960432E-3</v>
      </c>
      <c r="M1013">
        <f t="shared" si="100"/>
        <v>6.9520309861959007E-4</v>
      </c>
    </row>
    <row r="1014" spans="1:13" x14ac:dyDescent="0.3">
      <c r="A1014" s="3">
        <v>43473</v>
      </c>
      <c r="B1014" s="8">
        <v>8.3699999999999992</v>
      </c>
      <c r="C1014" s="8">
        <v>129.96</v>
      </c>
      <c r="D1014" s="8">
        <v>100.57</v>
      </c>
      <c r="E1014">
        <v>1E-4</v>
      </c>
      <c r="G1014">
        <f t="shared" si="95"/>
        <v>101.2353713822322</v>
      </c>
      <c r="H1014">
        <f t="shared" si="96"/>
        <v>1.2701180648831079E-2</v>
      </c>
      <c r="I1014">
        <f t="shared" si="97"/>
        <v>1.2601180648831079E-2</v>
      </c>
      <c r="K1014">
        <f t="shared" si="98"/>
        <v>9.6501809408926498E-3</v>
      </c>
      <c r="L1014">
        <f t="shared" si="99"/>
        <v>2.3226517597039642E-2</v>
      </c>
      <c r="M1014">
        <f t="shared" si="100"/>
        <v>-1.8856689162367601E-3</v>
      </c>
    </row>
    <row r="1015" spans="1:13" x14ac:dyDescent="0.3">
      <c r="A1015" s="3">
        <v>43474</v>
      </c>
      <c r="B1015" s="8">
        <v>8.7200000000000006</v>
      </c>
      <c r="C1015" s="8">
        <v>128.93</v>
      </c>
      <c r="D1015" s="8">
        <v>100.4</v>
      </c>
      <c r="E1015">
        <v>1E-4</v>
      </c>
      <c r="G1015">
        <f t="shared" si="95"/>
        <v>99.96338624297023</v>
      </c>
      <c r="H1015">
        <f t="shared" si="96"/>
        <v>-1.2564631530410098E-2</v>
      </c>
      <c r="I1015">
        <f t="shared" si="97"/>
        <v>-1.2664631530410097E-2</v>
      </c>
      <c r="K1015">
        <f t="shared" si="98"/>
        <v>4.1816009557945177E-2</v>
      </c>
      <c r="L1015">
        <f t="shared" si="99"/>
        <v>-7.9255155432440549E-3</v>
      </c>
      <c r="M1015">
        <f t="shared" si="100"/>
        <v>-1.690364919956111E-3</v>
      </c>
    </row>
    <row r="1016" spans="1:13" x14ac:dyDescent="0.3">
      <c r="A1016" s="3">
        <v>43475</v>
      </c>
      <c r="B1016" s="8">
        <v>8.67</v>
      </c>
      <c r="C1016" s="8">
        <v>129.71</v>
      </c>
      <c r="D1016" s="8">
        <v>100.39</v>
      </c>
      <c r="E1016">
        <v>1E-4</v>
      </c>
      <c r="G1016">
        <f t="shared" si="95"/>
        <v>100.25007507267323</v>
      </c>
      <c r="H1016">
        <f t="shared" si="96"/>
        <v>2.8679383570118233E-3</v>
      </c>
      <c r="I1016">
        <f t="shared" si="97"/>
        <v>2.7679383570118235E-3</v>
      </c>
      <c r="K1016">
        <f t="shared" si="98"/>
        <v>-5.7339449541284893E-3</v>
      </c>
      <c r="L1016">
        <f t="shared" si="99"/>
        <v>6.0497944621111799E-3</v>
      </c>
      <c r="M1016">
        <f t="shared" si="100"/>
        <v>-9.9601593625542328E-5</v>
      </c>
    </row>
    <row r="1017" spans="1:13" x14ac:dyDescent="0.3">
      <c r="A1017" s="3">
        <v>43476</v>
      </c>
      <c r="B1017" s="8">
        <v>8.82</v>
      </c>
      <c r="C1017" s="8">
        <v>129.75</v>
      </c>
      <c r="D1017" s="8">
        <v>99.91</v>
      </c>
      <c r="E1017">
        <v>1E-4</v>
      </c>
      <c r="G1017">
        <f t="shared" si="95"/>
        <v>100.01739316716053</v>
      </c>
      <c r="H1017">
        <f t="shared" si="96"/>
        <v>-2.3210147757397603E-3</v>
      </c>
      <c r="I1017">
        <f t="shared" si="97"/>
        <v>-2.4210147757397602E-3</v>
      </c>
      <c r="K1017">
        <f t="shared" si="98"/>
        <v>1.730103806228378E-2</v>
      </c>
      <c r="L1017">
        <f t="shared" si="99"/>
        <v>3.0838023282697691E-4</v>
      </c>
      <c r="M1017">
        <f t="shared" si="100"/>
        <v>-4.7813527243749654E-3</v>
      </c>
    </row>
    <row r="1018" spans="1:13" x14ac:dyDescent="0.3">
      <c r="A1018" s="3">
        <v>43479</v>
      </c>
      <c r="B1018" s="8">
        <v>8.99</v>
      </c>
      <c r="C1018" s="8">
        <v>128.28</v>
      </c>
      <c r="D1018" s="8">
        <v>100.94</v>
      </c>
      <c r="E1018">
        <v>1E-4</v>
      </c>
      <c r="G1018">
        <f t="shared" si="95"/>
        <v>100.00207609442651</v>
      </c>
      <c r="H1018">
        <f t="shared" si="96"/>
        <v>-1.5314409073252655E-4</v>
      </c>
      <c r="I1018">
        <f t="shared" si="97"/>
        <v>-2.5314409073252654E-4</v>
      </c>
      <c r="K1018">
        <f t="shared" si="98"/>
        <v>1.9274376417233618E-2</v>
      </c>
      <c r="L1018">
        <f t="shared" si="99"/>
        <v>-1.1329479768786066E-2</v>
      </c>
      <c r="M1018">
        <f t="shared" si="100"/>
        <v>1.0309278350515427E-2</v>
      </c>
    </row>
    <row r="1019" spans="1:13" x14ac:dyDescent="0.3">
      <c r="A1019" s="3">
        <v>43480</v>
      </c>
      <c r="B1019" s="8">
        <v>8.84</v>
      </c>
      <c r="C1019" s="8">
        <v>129.36000000000001</v>
      </c>
      <c r="D1019" s="8">
        <v>101.68</v>
      </c>
      <c r="E1019">
        <v>1E-4</v>
      </c>
      <c r="G1019">
        <f t="shared" si="95"/>
        <v>100.53786717677657</v>
      </c>
      <c r="H1019">
        <f t="shared" si="96"/>
        <v>5.3577995905218501E-3</v>
      </c>
      <c r="I1019">
        <f t="shared" si="97"/>
        <v>5.2577995905218498E-3</v>
      </c>
      <c r="K1019">
        <f t="shared" si="98"/>
        <v>-1.6685205784204737E-2</v>
      </c>
      <c r="L1019">
        <f t="shared" si="99"/>
        <v>8.4190832553789896E-3</v>
      </c>
      <c r="M1019">
        <f t="shared" si="100"/>
        <v>7.3310877749159786E-3</v>
      </c>
    </row>
    <row r="1020" spans="1:13" x14ac:dyDescent="0.3">
      <c r="A1020" s="3">
        <v>43481</v>
      </c>
      <c r="B1020" s="8">
        <v>8.2899999999999991</v>
      </c>
      <c r="C1020" s="8">
        <v>128.04</v>
      </c>
      <c r="D1020" s="8">
        <v>102.5</v>
      </c>
      <c r="E1020">
        <v>1E-4</v>
      </c>
      <c r="G1020">
        <f t="shared" si="95"/>
        <v>99.121948346915616</v>
      </c>
      <c r="H1020">
        <f t="shared" si="96"/>
        <v>-1.4083438107666768E-2</v>
      </c>
      <c r="I1020">
        <f t="shared" si="97"/>
        <v>-1.4183438107666767E-2</v>
      </c>
      <c r="K1020">
        <f t="shared" si="98"/>
        <v>-6.2217194570135859E-2</v>
      </c>
      <c r="L1020">
        <f t="shared" si="99"/>
        <v>-1.0204081632653184E-2</v>
      </c>
      <c r="M1020">
        <f t="shared" si="100"/>
        <v>8.0645161290322509E-3</v>
      </c>
    </row>
    <row r="1021" spans="1:13" x14ac:dyDescent="0.3">
      <c r="A1021" s="3">
        <v>43482</v>
      </c>
      <c r="B1021" s="8">
        <v>8.36</v>
      </c>
      <c r="C1021" s="8">
        <v>129.09</v>
      </c>
      <c r="D1021" s="8">
        <v>102.92</v>
      </c>
      <c r="E1021">
        <v>1E-4</v>
      </c>
      <c r="G1021">
        <f t="shared" si="95"/>
        <v>100.66820642423926</v>
      </c>
      <c r="H1021">
        <f t="shared" si="96"/>
        <v>1.5599552905396052E-2</v>
      </c>
      <c r="I1021">
        <f t="shared" si="97"/>
        <v>1.5499552905396053E-2</v>
      </c>
      <c r="K1021">
        <f t="shared" si="98"/>
        <v>8.443908323281013E-3</v>
      </c>
      <c r="L1021">
        <f t="shared" si="99"/>
        <v>8.2005623242737968E-3</v>
      </c>
      <c r="M1021">
        <f t="shared" si="100"/>
        <v>4.0975609756097597E-3</v>
      </c>
    </row>
    <row r="1022" spans="1:13" x14ac:dyDescent="0.3">
      <c r="A1022" s="3">
        <v>43483</v>
      </c>
      <c r="B1022" s="8">
        <v>8.58</v>
      </c>
      <c r="C1022" s="8">
        <v>130.69</v>
      </c>
      <c r="D1022" s="8">
        <v>104.59</v>
      </c>
      <c r="E1022">
        <v>1E-4</v>
      </c>
      <c r="G1022">
        <f t="shared" si="95"/>
        <v>101.52953652617694</v>
      </c>
      <c r="H1022">
        <f t="shared" si="96"/>
        <v>8.5561284196107312E-3</v>
      </c>
      <c r="I1022">
        <f t="shared" si="97"/>
        <v>8.4561284196107318E-3</v>
      </c>
      <c r="K1022">
        <f t="shared" si="98"/>
        <v>2.6315789473684292E-2</v>
      </c>
      <c r="L1022">
        <f t="shared" si="99"/>
        <v>1.2394453482066803E-2</v>
      </c>
      <c r="M1022">
        <f t="shared" si="100"/>
        <v>1.6226195102992724E-2</v>
      </c>
    </row>
    <row r="1023" spans="1:13" x14ac:dyDescent="0.3">
      <c r="A1023" s="3">
        <v>43487</v>
      </c>
      <c r="B1023" s="8">
        <v>8.5</v>
      </c>
      <c r="C1023" s="8">
        <v>128.80000000000001</v>
      </c>
      <c r="D1023" s="8">
        <v>102.94</v>
      </c>
      <c r="E1023">
        <v>1E-4</v>
      </c>
      <c r="G1023">
        <f t="shared" si="95"/>
        <v>98.558219828400865</v>
      </c>
      <c r="H1023">
        <f t="shared" si="96"/>
        <v>-2.9265539856079159E-2</v>
      </c>
      <c r="I1023">
        <f t="shared" si="97"/>
        <v>-2.9365539856079158E-2</v>
      </c>
      <c r="K1023">
        <f t="shared" si="98"/>
        <v>-9.3240093240093413E-3</v>
      </c>
      <c r="L1023">
        <f t="shared" si="99"/>
        <v>-1.4461703267273585E-2</v>
      </c>
      <c r="M1023">
        <f t="shared" si="100"/>
        <v>-1.5775886796060901E-2</v>
      </c>
    </row>
    <row r="1024" spans="1:13" x14ac:dyDescent="0.3">
      <c r="A1024" s="3">
        <v>43488</v>
      </c>
      <c r="B1024" s="8">
        <v>8.34</v>
      </c>
      <c r="C1024" s="8">
        <v>128.80000000000001</v>
      </c>
      <c r="D1024" s="8">
        <v>102.68</v>
      </c>
      <c r="E1024">
        <v>1E-4</v>
      </c>
      <c r="G1024">
        <f t="shared" si="95"/>
        <v>99.707678754831392</v>
      </c>
      <c r="H1024">
        <f t="shared" si="96"/>
        <v>1.1662740342021527E-2</v>
      </c>
      <c r="I1024">
        <f t="shared" si="97"/>
        <v>1.1562740342021528E-2</v>
      </c>
      <c r="K1024">
        <f t="shared" si="98"/>
        <v>-1.8823529411764683E-2</v>
      </c>
      <c r="L1024">
        <f t="shared" si="99"/>
        <v>0</v>
      </c>
      <c r="M1024">
        <f t="shared" si="100"/>
        <v>-2.5257431513502349E-3</v>
      </c>
    </row>
    <row r="1025" spans="1:13" x14ac:dyDescent="0.3">
      <c r="A1025" s="3">
        <v>43489</v>
      </c>
      <c r="B1025" s="8">
        <v>8.6</v>
      </c>
      <c r="C1025" s="8">
        <v>127.03</v>
      </c>
      <c r="D1025" s="8">
        <v>102.74</v>
      </c>
      <c r="E1025">
        <v>1E-4</v>
      </c>
      <c r="G1025">
        <f t="shared" si="95"/>
        <v>99.635643744672819</v>
      </c>
      <c r="H1025">
        <f t="shared" si="96"/>
        <v>-7.2246201153369771E-4</v>
      </c>
      <c r="I1025">
        <f t="shared" si="97"/>
        <v>-8.2246201153369776E-4</v>
      </c>
      <c r="K1025">
        <f t="shared" si="98"/>
        <v>3.1175059952038398E-2</v>
      </c>
      <c r="L1025">
        <f t="shared" si="99"/>
        <v>-1.3742236024844812E-2</v>
      </c>
      <c r="M1025">
        <f t="shared" si="100"/>
        <v>5.8433969614313241E-4</v>
      </c>
    </row>
    <row r="1026" spans="1:13" x14ac:dyDescent="0.3">
      <c r="A1026" s="3">
        <v>43490</v>
      </c>
      <c r="B1026" s="8">
        <v>8.86</v>
      </c>
      <c r="C1026" s="8">
        <v>128.22999999999999</v>
      </c>
      <c r="D1026" s="8">
        <v>103.39</v>
      </c>
      <c r="E1026">
        <v>1E-4</v>
      </c>
      <c r="G1026">
        <f t="shared" si="95"/>
        <v>101.04509409408509</v>
      </c>
      <c r="H1026">
        <f t="shared" si="96"/>
        <v>1.4146045495768034E-2</v>
      </c>
      <c r="I1026">
        <f t="shared" si="97"/>
        <v>1.4046045495768034E-2</v>
      </c>
      <c r="K1026">
        <f t="shared" si="98"/>
        <v>3.0232558139534849E-2</v>
      </c>
      <c r="L1026">
        <f t="shared" si="99"/>
        <v>9.4465874202942501E-3</v>
      </c>
      <c r="M1026">
        <f t="shared" si="100"/>
        <v>6.3266497956004919E-3</v>
      </c>
    </row>
    <row r="1027" spans="1:13" x14ac:dyDescent="0.3">
      <c r="A1027" s="3">
        <v>43493</v>
      </c>
      <c r="B1027" s="8">
        <v>8.66</v>
      </c>
      <c r="C1027" s="8">
        <v>128.99</v>
      </c>
      <c r="D1027" s="8">
        <v>103.88</v>
      </c>
      <c r="E1027">
        <v>1E-4</v>
      </c>
      <c r="G1027">
        <f t="shared" si="95"/>
        <v>100.24930882145529</v>
      </c>
      <c r="H1027">
        <f t="shared" si="96"/>
        <v>-7.8755458616212026E-3</v>
      </c>
      <c r="I1027">
        <f t="shared" si="97"/>
        <v>-7.975545861621202E-3</v>
      </c>
      <c r="K1027">
        <f t="shared" si="98"/>
        <v>-2.2573363431151128E-2</v>
      </c>
      <c r="L1027">
        <f t="shared" si="99"/>
        <v>5.9268501910629823E-3</v>
      </c>
      <c r="M1027">
        <f t="shared" si="100"/>
        <v>4.7393364928909332E-3</v>
      </c>
    </row>
    <row r="1028" spans="1:13" x14ac:dyDescent="0.3">
      <c r="A1028" s="3">
        <v>43494</v>
      </c>
      <c r="B1028" s="8">
        <v>8.76</v>
      </c>
      <c r="C1028" s="8">
        <v>130.33000000000001</v>
      </c>
      <c r="D1028" s="8">
        <v>104.17</v>
      </c>
      <c r="E1028">
        <v>1E-4</v>
      </c>
      <c r="G1028">
        <f t="shared" si="95"/>
        <v>100.76511388792477</v>
      </c>
      <c r="H1028">
        <f t="shared" si="96"/>
        <v>5.1452231694497641E-3</v>
      </c>
      <c r="I1028">
        <f t="shared" si="97"/>
        <v>5.0452231694497638E-3</v>
      </c>
      <c r="K1028">
        <f t="shared" si="98"/>
        <v>1.1547344110854452E-2</v>
      </c>
      <c r="L1028">
        <f t="shared" si="99"/>
        <v>1.0388402201721103E-2</v>
      </c>
      <c r="M1028">
        <f t="shared" si="100"/>
        <v>2.7916827108203091E-3</v>
      </c>
    </row>
    <row r="1029" spans="1:13" x14ac:dyDescent="0.3">
      <c r="A1029" s="3">
        <v>43495</v>
      </c>
      <c r="B1029" s="8">
        <v>8.7100000000000009</v>
      </c>
      <c r="C1029" s="8">
        <v>131.63999999999999</v>
      </c>
      <c r="D1029" s="8">
        <v>104.41</v>
      </c>
      <c r="E1029">
        <v>1E-4</v>
      </c>
      <c r="G1029">
        <f t="shared" ref="G1029:G1092" si="101">$G$4*(B1029*$P$8/B1028 + C1029*$Q$8/C1028 + D1029*$R$8/D1028)</f>
        <v>100.54843538914157</v>
      </c>
      <c r="H1029">
        <f t="shared" ref="H1029:H1092" si="102">G1029/G1028-1</f>
        <v>-2.1503324952740765E-3</v>
      </c>
      <c r="I1029">
        <f t="shared" si="97"/>
        <v>-2.2503324952740764E-3</v>
      </c>
      <c r="K1029">
        <f t="shared" si="98"/>
        <v>-5.7077625570775004E-3</v>
      </c>
      <c r="L1029">
        <f t="shared" si="99"/>
        <v>1.0051407964397852E-2</v>
      </c>
      <c r="M1029">
        <f t="shared" si="100"/>
        <v>2.3039262743591582E-3</v>
      </c>
    </row>
    <row r="1030" spans="1:13" x14ac:dyDescent="0.3">
      <c r="A1030" s="3">
        <v>43496</v>
      </c>
      <c r="B1030" s="8">
        <v>8.8000000000000007</v>
      </c>
      <c r="C1030" s="8">
        <v>133.08000000000001</v>
      </c>
      <c r="D1030" s="8">
        <v>103.5</v>
      </c>
      <c r="E1030">
        <v>1E-4</v>
      </c>
      <c r="G1030">
        <f t="shared" si="101"/>
        <v>100.34792035209202</v>
      </c>
      <c r="H1030">
        <f t="shared" si="102"/>
        <v>-1.9942133984832688E-3</v>
      </c>
      <c r="I1030">
        <f t="shared" ref="I1030:I1093" si="103">H1030-E1030</f>
        <v>-2.0942133984832687E-3</v>
      </c>
      <c r="K1030">
        <f t="shared" ref="K1030:K1093" si="104">B1030/B1029-1</f>
        <v>1.0332950631458004E-2</v>
      </c>
      <c r="L1030">
        <f t="shared" ref="L1030:L1093" si="105">C1030/C1029-1</f>
        <v>1.0938924339106926E-2</v>
      </c>
      <c r="M1030">
        <f t="shared" ref="M1030:M1093" si="106">D1030/D1029-1</f>
        <v>-8.7156402643424613E-3</v>
      </c>
    </row>
    <row r="1031" spans="1:13" x14ac:dyDescent="0.3">
      <c r="A1031" s="3">
        <v>43497</v>
      </c>
      <c r="B1031" s="8">
        <v>8.7200000000000006</v>
      </c>
      <c r="C1031" s="8">
        <v>134.19999999999999</v>
      </c>
      <c r="D1031" s="8">
        <v>103.88</v>
      </c>
      <c r="E1031">
        <v>1E-4</v>
      </c>
      <c r="G1031">
        <f t="shared" si="101"/>
        <v>100.47958256501424</v>
      </c>
      <c r="H1031">
        <f t="shared" si="102"/>
        <v>1.312057215139717E-3</v>
      </c>
      <c r="I1031">
        <f t="shared" si="103"/>
        <v>1.2120572151397169E-3</v>
      </c>
      <c r="K1031">
        <f t="shared" si="104"/>
        <v>-9.0909090909091494E-3</v>
      </c>
      <c r="L1031">
        <f t="shared" si="105"/>
        <v>8.4159903817251358E-3</v>
      </c>
      <c r="M1031">
        <f t="shared" si="106"/>
        <v>3.6714975845411058E-3</v>
      </c>
    </row>
    <row r="1032" spans="1:13" x14ac:dyDescent="0.3">
      <c r="A1032" s="3">
        <v>43500</v>
      </c>
      <c r="B1032" s="8">
        <v>8.6999999999999993</v>
      </c>
      <c r="C1032" s="8">
        <v>132.88</v>
      </c>
      <c r="D1032" s="8">
        <v>104.25</v>
      </c>
      <c r="E1032">
        <v>1E-4</v>
      </c>
      <c r="G1032">
        <f t="shared" si="101"/>
        <v>99.599615902224883</v>
      </c>
      <c r="H1032">
        <f t="shared" si="102"/>
        <v>-8.7576663868003113E-3</v>
      </c>
      <c r="I1032">
        <f t="shared" si="103"/>
        <v>-8.8576663868003107E-3</v>
      </c>
      <c r="K1032">
        <f t="shared" si="104"/>
        <v>-2.2935779816515289E-3</v>
      </c>
      <c r="L1032">
        <f t="shared" si="105"/>
        <v>-9.8360655737704805E-3</v>
      </c>
      <c r="M1032">
        <f t="shared" si="106"/>
        <v>3.5618020793224403E-3</v>
      </c>
    </row>
    <row r="1033" spans="1:13" x14ac:dyDescent="0.3">
      <c r="A1033" s="3">
        <v>43501</v>
      </c>
      <c r="B1033" s="8">
        <v>8.75</v>
      </c>
      <c r="C1033" s="8">
        <v>132.88</v>
      </c>
      <c r="D1033" s="8">
        <v>103.79</v>
      </c>
      <c r="E1033">
        <v>1E-4</v>
      </c>
      <c r="G1033">
        <f t="shared" si="101"/>
        <v>99.894185464186407</v>
      </c>
      <c r="H1033">
        <f t="shared" si="102"/>
        <v>2.9575371279613183E-3</v>
      </c>
      <c r="I1033">
        <f t="shared" si="103"/>
        <v>2.8575371279613185E-3</v>
      </c>
      <c r="K1033">
        <f t="shared" si="104"/>
        <v>5.7471264367816577E-3</v>
      </c>
      <c r="L1033">
        <f t="shared" si="105"/>
        <v>0</v>
      </c>
      <c r="M1033">
        <f t="shared" si="106"/>
        <v>-4.412470023980708E-3</v>
      </c>
    </row>
    <row r="1034" spans="1:13" x14ac:dyDescent="0.3">
      <c r="A1034" s="3">
        <v>43502</v>
      </c>
      <c r="B1034" s="8">
        <v>8.7200000000000006</v>
      </c>
      <c r="C1034" s="8">
        <v>133</v>
      </c>
      <c r="D1034" s="8">
        <v>103.74</v>
      </c>
      <c r="E1034">
        <v>1E-4</v>
      </c>
      <c r="G1034">
        <f t="shared" si="101"/>
        <v>99.992798527734053</v>
      </c>
      <c r="H1034">
        <f t="shared" si="102"/>
        <v>9.8717521034297206E-4</v>
      </c>
      <c r="I1034">
        <f t="shared" si="103"/>
        <v>8.8717521034297202E-4</v>
      </c>
      <c r="K1034">
        <f t="shared" si="104"/>
        <v>-3.4285714285713365E-3</v>
      </c>
      <c r="L1034">
        <f t="shared" si="105"/>
        <v>9.0307043949433563E-4</v>
      </c>
      <c r="M1034">
        <f t="shared" si="106"/>
        <v>-4.8174197899619742E-4</v>
      </c>
    </row>
    <row r="1035" spans="1:13" x14ac:dyDescent="0.3">
      <c r="A1035" s="3">
        <v>43503</v>
      </c>
      <c r="B1035" s="8">
        <v>8.31</v>
      </c>
      <c r="C1035" s="8">
        <v>132.05000000000001</v>
      </c>
      <c r="D1035" s="8">
        <v>102.38</v>
      </c>
      <c r="E1035">
        <v>1E-4</v>
      </c>
      <c r="G1035">
        <f t="shared" si="101"/>
        <v>98.643271603575798</v>
      </c>
      <c r="H1035">
        <f t="shared" si="102"/>
        <v>-1.3496241169647316E-2</v>
      </c>
      <c r="I1035">
        <f t="shared" si="103"/>
        <v>-1.3596241169647316E-2</v>
      </c>
      <c r="K1035">
        <f t="shared" si="104"/>
        <v>-4.7018348623853234E-2</v>
      </c>
      <c r="L1035">
        <f t="shared" si="105"/>
        <v>-7.1428571428570065E-3</v>
      </c>
      <c r="M1035">
        <f t="shared" si="106"/>
        <v>-1.3109697320223601E-2</v>
      </c>
    </row>
    <row r="1036" spans="1:13" x14ac:dyDescent="0.3">
      <c r="A1036" s="3">
        <v>43504</v>
      </c>
      <c r="B1036" s="8">
        <v>8.39</v>
      </c>
      <c r="C1036" s="8">
        <v>132.4</v>
      </c>
      <c r="D1036" s="8">
        <v>101.36</v>
      </c>
      <c r="E1036">
        <v>1E-4</v>
      </c>
      <c r="G1036">
        <f t="shared" si="101"/>
        <v>99.863510952994716</v>
      </c>
      <c r="H1036">
        <f t="shared" si="102"/>
        <v>1.2370223833641392E-2</v>
      </c>
      <c r="I1036">
        <f t="shared" si="103"/>
        <v>1.2270223833641392E-2</v>
      </c>
      <c r="K1036">
        <f t="shared" si="104"/>
        <v>9.6269554753309894E-3</v>
      </c>
      <c r="L1036">
        <f t="shared" si="105"/>
        <v>2.6505111700112494E-3</v>
      </c>
      <c r="M1036">
        <f t="shared" si="106"/>
        <v>-9.9628833756593149E-3</v>
      </c>
    </row>
    <row r="1037" spans="1:13" x14ac:dyDescent="0.3">
      <c r="A1037" s="3">
        <v>43507</v>
      </c>
      <c r="B1037" s="8">
        <v>8.33</v>
      </c>
      <c r="C1037" s="8">
        <v>132</v>
      </c>
      <c r="D1037" s="8">
        <v>100.88</v>
      </c>
      <c r="E1037">
        <v>1E-4</v>
      </c>
      <c r="G1037">
        <f t="shared" si="101"/>
        <v>99.590083082056168</v>
      </c>
      <c r="H1037">
        <f t="shared" si="102"/>
        <v>-2.738015801059146E-3</v>
      </c>
      <c r="I1037">
        <f t="shared" si="103"/>
        <v>-2.8380158010591458E-3</v>
      </c>
      <c r="K1037">
        <f t="shared" si="104"/>
        <v>-7.15137067938032E-3</v>
      </c>
      <c r="L1037">
        <f t="shared" si="105"/>
        <v>-3.0211480362538623E-3</v>
      </c>
      <c r="M1037">
        <f t="shared" si="106"/>
        <v>-4.7355958958169575E-3</v>
      </c>
    </row>
    <row r="1038" spans="1:13" x14ac:dyDescent="0.3">
      <c r="A1038" s="3">
        <v>43508</v>
      </c>
      <c r="B1038" s="8">
        <v>8.4600000000000009</v>
      </c>
      <c r="C1038" s="8">
        <v>134.16</v>
      </c>
      <c r="D1038" s="8">
        <v>102.6</v>
      </c>
      <c r="E1038">
        <v>1E-4</v>
      </c>
      <c r="G1038">
        <f t="shared" si="101"/>
        <v>101.65425304552113</v>
      </c>
      <c r="H1038">
        <f t="shared" si="102"/>
        <v>2.0726661727596074E-2</v>
      </c>
      <c r="I1038">
        <f t="shared" si="103"/>
        <v>2.0626661727596075E-2</v>
      </c>
      <c r="K1038">
        <f t="shared" si="104"/>
        <v>1.5606242496998934E-2</v>
      </c>
      <c r="L1038">
        <f t="shared" si="105"/>
        <v>1.6363636363636358E-2</v>
      </c>
      <c r="M1038">
        <f t="shared" si="106"/>
        <v>1.7049960348929361E-2</v>
      </c>
    </row>
    <row r="1039" spans="1:13" x14ac:dyDescent="0.3">
      <c r="A1039" s="3">
        <v>43509</v>
      </c>
      <c r="B1039" s="8">
        <v>8.41</v>
      </c>
      <c r="C1039" s="8">
        <v>134.44999999999999</v>
      </c>
      <c r="D1039" s="8">
        <v>103.09</v>
      </c>
      <c r="E1039">
        <v>1E-4</v>
      </c>
      <c r="G1039">
        <f t="shared" si="101"/>
        <v>100.22994201439369</v>
      </c>
      <c r="H1039">
        <f t="shared" si="102"/>
        <v>-1.4011327499397708E-2</v>
      </c>
      <c r="I1039">
        <f t="shared" si="103"/>
        <v>-1.4111327499397707E-2</v>
      </c>
      <c r="K1039">
        <f t="shared" si="104"/>
        <v>-5.9101654846336338E-3</v>
      </c>
      <c r="L1039">
        <f t="shared" si="105"/>
        <v>2.1615980918305855E-3</v>
      </c>
      <c r="M1039">
        <f t="shared" si="106"/>
        <v>4.7758284600389889E-3</v>
      </c>
    </row>
    <row r="1040" spans="1:13" x14ac:dyDescent="0.3">
      <c r="A1040" s="3">
        <v>43510</v>
      </c>
      <c r="B1040" s="8">
        <v>8.42</v>
      </c>
      <c r="C1040" s="8">
        <v>134.31</v>
      </c>
      <c r="D1040" s="8">
        <v>102.42</v>
      </c>
      <c r="E1040">
        <v>1E-4</v>
      </c>
      <c r="G1040">
        <f t="shared" si="101"/>
        <v>99.71386034359513</v>
      </c>
      <c r="H1040">
        <f t="shared" si="102"/>
        <v>-5.1489770464443474E-3</v>
      </c>
      <c r="I1040">
        <f t="shared" si="103"/>
        <v>-5.2489770464443477E-3</v>
      </c>
      <c r="K1040">
        <f t="shared" si="104"/>
        <v>1.1890606420927874E-3</v>
      </c>
      <c r="L1040">
        <f t="shared" si="105"/>
        <v>-1.041279285979857E-3</v>
      </c>
      <c r="M1040">
        <f t="shared" si="106"/>
        <v>-6.4991754777379285E-3</v>
      </c>
    </row>
    <row r="1041" spans="1:13" x14ac:dyDescent="0.3">
      <c r="A1041" s="3">
        <v>43511</v>
      </c>
      <c r="B1041" s="8">
        <v>8.5399999999999991</v>
      </c>
      <c r="C1041" s="8">
        <v>136.38</v>
      </c>
      <c r="D1041" s="8">
        <v>105.55</v>
      </c>
      <c r="E1041">
        <v>1E-4</v>
      </c>
      <c r="G1041">
        <f t="shared" si="101"/>
        <v>102.09909732701065</v>
      </c>
      <c r="H1041">
        <f t="shared" si="102"/>
        <v>2.3920816777090348E-2</v>
      </c>
      <c r="I1041">
        <f t="shared" si="103"/>
        <v>2.3820816777090349E-2</v>
      </c>
      <c r="K1041">
        <f t="shared" si="104"/>
        <v>1.4251781472683911E-2</v>
      </c>
      <c r="L1041">
        <f t="shared" si="105"/>
        <v>1.5412106321197161E-2</v>
      </c>
      <c r="M1041">
        <f t="shared" si="106"/>
        <v>3.0560437414567376E-2</v>
      </c>
    </row>
    <row r="1042" spans="1:13" x14ac:dyDescent="0.3">
      <c r="A1042" s="3">
        <v>43515</v>
      </c>
      <c r="B1042" s="8">
        <v>8.83</v>
      </c>
      <c r="C1042" s="8">
        <v>135.69</v>
      </c>
      <c r="D1042" s="8">
        <v>105.18</v>
      </c>
      <c r="E1042">
        <v>1E-4</v>
      </c>
      <c r="G1042">
        <f t="shared" si="101"/>
        <v>99.961446958955378</v>
      </c>
      <c r="H1042">
        <f t="shared" si="102"/>
        <v>-2.0937015350964816E-2</v>
      </c>
      <c r="I1042">
        <f t="shared" si="103"/>
        <v>-2.1037015350964815E-2</v>
      </c>
      <c r="K1042">
        <f t="shared" si="104"/>
        <v>3.3957845433255418E-2</v>
      </c>
      <c r="L1042">
        <f t="shared" si="105"/>
        <v>-5.0593928728552839E-3</v>
      </c>
      <c r="M1042">
        <f t="shared" si="106"/>
        <v>-3.5054476551396041E-3</v>
      </c>
    </row>
    <row r="1043" spans="1:13" x14ac:dyDescent="0.3">
      <c r="A1043" s="3">
        <v>43516</v>
      </c>
      <c r="B1043" s="8">
        <v>8.94</v>
      </c>
      <c r="C1043" s="8">
        <v>136.35</v>
      </c>
      <c r="D1043" s="8">
        <v>105.69</v>
      </c>
      <c r="E1043">
        <v>1E-4</v>
      </c>
      <c r="G1043">
        <f t="shared" si="101"/>
        <v>100.56541259394214</v>
      </c>
      <c r="H1043">
        <f t="shared" si="102"/>
        <v>6.0419857191018611E-3</v>
      </c>
      <c r="I1043">
        <f t="shared" si="103"/>
        <v>5.9419857191018608E-3</v>
      </c>
      <c r="K1043">
        <f t="shared" si="104"/>
        <v>1.2457531143827749E-2</v>
      </c>
      <c r="L1043">
        <f t="shared" si="105"/>
        <v>4.8640282998009265E-3</v>
      </c>
      <c r="M1043">
        <f t="shared" si="106"/>
        <v>4.8488305761551498E-3</v>
      </c>
    </row>
    <row r="1044" spans="1:13" x14ac:dyDescent="0.3">
      <c r="A1044" s="3">
        <v>43517</v>
      </c>
      <c r="B1044" s="8">
        <v>8.7100000000000009</v>
      </c>
      <c r="C1044" s="8">
        <v>135.41999999999999</v>
      </c>
      <c r="D1044" s="8">
        <v>105.47</v>
      </c>
      <c r="E1044">
        <v>1E-4</v>
      </c>
      <c r="G1044">
        <f t="shared" si="101"/>
        <v>99.298126502477118</v>
      </c>
      <c r="H1044">
        <f t="shared" si="102"/>
        <v>-1.2601609825656501E-2</v>
      </c>
      <c r="I1044">
        <f t="shared" si="103"/>
        <v>-1.2701609825656501E-2</v>
      </c>
      <c r="K1044">
        <f t="shared" si="104"/>
        <v>-2.5727069351230258E-2</v>
      </c>
      <c r="L1044">
        <f t="shared" si="105"/>
        <v>-6.8206820682068514E-3</v>
      </c>
      <c r="M1044">
        <f t="shared" si="106"/>
        <v>-2.081559277131273E-3</v>
      </c>
    </row>
    <row r="1045" spans="1:13" x14ac:dyDescent="0.3">
      <c r="A1045" s="3">
        <v>43518</v>
      </c>
      <c r="B1045" s="8">
        <v>8.7100000000000009</v>
      </c>
      <c r="C1045" s="8">
        <v>136.6</v>
      </c>
      <c r="D1045" s="8">
        <v>105</v>
      </c>
      <c r="E1045">
        <v>1E-4</v>
      </c>
      <c r="G1045">
        <f t="shared" si="101"/>
        <v>100.28444643638149</v>
      </c>
      <c r="H1045">
        <f t="shared" si="102"/>
        <v>9.9329158428760334E-3</v>
      </c>
      <c r="I1045">
        <f t="shared" si="103"/>
        <v>9.832915842876034E-3</v>
      </c>
      <c r="K1045">
        <f t="shared" si="104"/>
        <v>0</v>
      </c>
      <c r="L1045">
        <f t="shared" si="105"/>
        <v>8.7136316644513823E-3</v>
      </c>
      <c r="M1045">
        <f t="shared" si="106"/>
        <v>-4.4562434815587082E-3</v>
      </c>
    </row>
    <row r="1046" spans="1:13" x14ac:dyDescent="0.3">
      <c r="A1046" s="3">
        <v>43521</v>
      </c>
      <c r="B1046" s="8">
        <v>8.76</v>
      </c>
      <c r="C1046" s="8">
        <v>136.19999999999999</v>
      </c>
      <c r="D1046" s="8">
        <v>106.1</v>
      </c>
      <c r="E1046">
        <v>1E-4</v>
      </c>
      <c r="G1046">
        <f t="shared" si="101"/>
        <v>100.30244818866821</v>
      </c>
      <c r="H1046">
        <f t="shared" si="102"/>
        <v>1.7950692182511219E-4</v>
      </c>
      <c r="I1046">
        <f t="shared" si="103"/>
        <v>7.9506921825112182E-5</v>
      </c>
      <c r="K1046">
        <f t="shared" si="104"/>
        <v>5.7405281285876075E-3</v>
      </c>
      <c r="L1046">
        <f t="shared" si="105"/>
        <v>-2.9282576866764831E-3</v>
      </c>
      <c r="M1046">
        <f t="shared" si="106"/>
        <v>1.0476190476190528E-2</v>
      </c>
    </row>
    <row r="1047" spans="1:13" x14ac:dyDescent="0.3">
      <c r="A1047" s="3">
        <v>43522</v>
      </c>
      <c r="B1047" s="8">
        <v>8.8800000000000008</v>
      </c>
      <c r="C1047" s="8">
        <v>136.11000000000001</v>
      </c>
      <c r="D1047" s="8">
        <v>105.29</v>
      </c>
      <c r="E1047">
        <v>1E-4</v>
      </c>
      <c r="G1047">
        <f t="shared" si="101"/>
        <v>99.821990322479877</v>
      </c>
      <c r="H1047">
        <f t="shared" si="102"/>
        <v>-4.7900911180611683E-3</v>
      </c>
      <c r="I1047">
        <f t="shared" si="103"/>
        <v>-4.8900911180611685E-3</v>
      </c>
      <c r="K1047">
        <f t="shared" si="104"/>
        <v>1.3698630136986356E-2</v>
      </c>
      <c r="L1047">
        <f t="shared" si="105"/>
        <v>-6.6079295154164441E-4</v>
      </c>
      <c r="M1047">
        <f t="shared" si="106"/>
        <v>-7.6343072573042958E-3</v>
      </c>
    </row>
    <row r="1048" spans="1:13" x14ac:dyDescent="0.3">
      <c r="A1048" s="3">
        <v>43523</v>
      </c>
      <c r="B1048" s="8">
        <v>8.7799999999999994</v>
      </c>
      <c r="C1048" s="8">
        <v>135.87</v>
      </c>
      <c r="D1048" s="8">
        <v>105.16</v>
      </c>
      <c r="E1048">
        <v>1E-4</v>
      </c>
      <c r="G1048">
        <f t="shared" si="101"/>
        <v>99.74402253429821</v>
      </c>
      <c r="H1048">
        <f t="shared" si="102"/>
        <v>-7.8106825890555953E-4</v>
      </c>
      <c r="I1048">
        <f t="shared" si="103"/>
        <v>-8.8106825890555958E-4</v>
      </c>
      <c r="K1048">
        <f t="shared" si="104"/>
        <v>-1.1261261261261368E-2</v>
      </c>
      <c r="L1048">
        <f t="shared" si="105"/>
        <v>-1.7632797002424816E-3</v>
      </c>
      <c r="M1048">
        <f t="shared" si="106"/>
        <v>-1.2346851552854643E-3</v>
      </c>
    </row>
    <row r="1049" spans="1:13" x14ac:dyDescent="0.3">
      <c r="A1049" s="3">
        <v>43524</v>
      </c>
      <c r="B1049" s="8">
        <v>8.77</v>
      </c>
      <c r="C1049" s="8">
        <v>136.63999999999999</v>
      </c>
      <c r="D1049" s="8">
        <v>104.36</v>
      </c>
      <c r="E1049">
        <v>1E-4</v>
      </c>
      <c r="G1049">
        <f t="shared" si="101"/>
        <v>99.995850171786273</v>
      </c>
      <c r="H1049">
        <f t="shared" si="102"/>
        <v>2.5247391381419959E-3</v>
      </c>
      <c r="I1049">
        <f t="shared" si="103"/>
        <v>2.4247391381419961E-3</v>
      </c>
      <c r="K1049">
        <f t="shared" si="104"/>
        <v>-1.138952164009055E-3</v>
      </c>
      <c r="L1049">
        <f t="shared" si="105"/>
        <v>5.6671818650178007E-3</v>
      </c>
      <c r="M1049">
        <f t="shared" si="106"/>
        <v>-7.607455306199995E-3</v>
      </c>
    </row>
    <row r="1050" spans="1:13" x14ac:dyDescent="0.3">
      <c r="A1050" s="3">
        <v>43525</v>
      </c>
      <c r="B1050" s="8">
        <v>8.7899999999999991</v>
      </c>
      <c r="C1050" s="8">
        <v>138.35</v>
      </c>
      <c r="D1050" s="8">
        <v>104.43</v>
      </c>
      <c r="E1050">
        <v>8.9999999999999992E-5</v>
      </c>
      <c r="G1050">
        <f t="shared" si="101"/>
        <v>100.6985102187659</v>
      </c>
      <c r="H1050">
        <f t="shared" si="102"/>
        <v>7.0268920737461826E-3</v>
      </c>
      <c r="I1050">
        <f t="shared" si="103"/>
        <v>6.9368920737461828E-3</v>
      </c>
      <c r="K1050">
        <f t="shared" si="104"/>
        <v>2.2805017103761926E-3</v>
      </c>
      <c r="L1050">
        <f t="shared" si="105"/>
        <v>1.25146370023419E-2</v>
      </c>
      <c r="M1050">
        <f t="shared" si="106"/>
        <v>6.7075507857428107E-4</v>
      </c>
    </row>
    <row r="1051" spans="1:13" x14ac:dyDescent="0.3">
      <c r="A1051" s="3">
        <v>43528</v>
      </c>
      <c r="B1051" s="8">
        <v>8.81</v>
      </c>
      <c r="C1051" s="8">
        <v>138.47999999999999</v>
      </c>
      <c r="D1051" s="8">
        <v>104.19</v>
      </c>
      <c r="E1051">
        <v>8.9999999999999992E-5</v>
      </c>
      <c r="G1051">
        <f t="shared" si="101"/>
        <v>99.986119607493634</v>
      </c>
      <c r="H1051">
        <f t="shared" si="102"/>
        <v>-7.0744900766119834E-3</v>
      </c>
      <c r="I1051">
        <f t="shared" si="103"/>
        <v>-7.1644900766119832E-3</v>
      </c>
      <c r="K1051">
        <f t="shared" si="104"/>
        <v>2.2753128555177415E-3</v>
      </c>
      <c r="L1051">
        <f t="shared" si="105"/>
        <v>9.3964582580419176E-4</v>
      </c>
      <c r="M1051">
        <f t="shared" si="106"/>
        <v>-2.2981901752371359E-3</v>
      </c>
    </row>
    <row r="1052" spans="1:13" x14ac:dyDescent="0.3">
      <c r="A1052" s="3">
        <v>43529</v>
      </c>
      <c r="B1052" s="8">
        <v>8.77</v>
      </c>
      <c r="C1052" s="8">
        <v>138.77000000000001</v>
      </c>
      <c r="D1052" s="8">
        <v>104.11</v>
      </c>
      <c r="E1052">
        <v>8.9999999999999992E-5</v>
      </c>
      <c r="G1052">
        <f t="shared" si="101"/>
        <v>100.0321861123104</v>
      </c>
      <c r="H1052">
        <f t="shared" si="102"/>
        <v>4.6072899916116405E-4</v>
      </c>
      <c r="I1052">
        <f t="shared" si="103"/>
        <v>3.7072899916116404E-4</v>
      </c>
      <c r="K1052">
        <f t="shared" si="104"/>
        <v>-4.5402951191828578E-3</v>
      </c>
      <c r="L1052">
        <f t="shared" si="105"/>
        <v>2.094165222414901E-3</v>
      </c>
      <c r="M1052">
        <f t="shared" si="106"/>
        <v>-7.678280065265275E-4</v>
      </c>
    </row>
    <row r="1053" spans="1:13" x14ac:dyDescent="0.3">
      <c r="A1053" s="3">
        <v>43530</v>
      </c>
      <c r="B1053" s="8">
        <v>8.58</v>
      </c>
      <c r="C1053" s="8">
        <v>139.09</v>
      </c>
      <c r="D1053" s="8">
        <v>103.72</v>
      </c>
      <c r="E1053">
        <v>8.9999999999999992E-5</v>
      </c>
      <c r="G1053">
        <f t="shared" si="101"/>
        <v>99.751635095877205</v>
      </c>
      <c r="H1053">
        <f t="shared" si="102"/>
        <v>-2.8046074702217094E-3</v>
      </c>
      <c r="I1053">
        <f t="shared" si="103"/>
        <v>-2.8946074702217092E-3</v>
      </c>
      <c r="K1053">
        <f t="shared" si="104"/>
        <v>-2.1664766248574607E-2</v>
      </c>
      <c r="L1053">
        <f t="shared" si="105"/>
        <v>2.3059739136701563E-3</v>
      </c>
      <c r="M1053">
        <f t="shared" si="106"/>
        <v>-3.7460378445874909E-3</v>
      </c>
    </row>
    <row r="1054" spans="1:13" x14ac:dyDescent="0.3">
      <c r="A1054" s="3">
        <v>43531</v>
      </c>
      <c r="B1054" s="8">
        <v>8.48</v>
      </c>
      <c r="C1054" s="8">
        <v>138.24</v>
      </c>
      <c r="D1054" s="8">
        <v>102.97</v>
      </c>
      <c r="E1054">
        <v>8.9999999999999992E-5</v>
      </c>
      <c r="G1054">
        <f t="shared" si="101"/>
        <v>99.288642644466179</v>
      </c>
      <c r="H1054">
        <f t="shared" si="102"/>
        <v>-4.6414522525471957E-3</v>
      </c>
      <c r="I1054">
        <f t="shared" si="103"/>
        <v>-4.7314522525471955E-3</v>
      </c>
      <c r="K1054">
        <f t="shared" si="104"/>
        <v>-1.1655011655011593E-2</v>
      </c>
      <c r="L1054">
        <f t="shared" si="105"/>
        <v>-6.1111510532748659E-3</v>
      </c>
      <c r="M1054">
        <f t="shared" si="106"/>
        <v>-7.2310065561126402E-3</v>
      </c>
    </row>
    <row r="1055" spans="1:13" x14ac:dyDescent="0.3">
      <c r="A1055" s="3">
        <v>43532</v>
      </c>
      <c r="B1055" s="8">
        <v>8.42</v>
      </c>
      <c r="C1055" s="8">
        <v>138.06</v>
      </c>
      <c r="D1055" s="8">
        <v>103.01</v>
      </c>
      <c r="E1055">
        <v>8.9999999999999992E-5</v>
      </c>
      <c r="G1055">
        <f t="shared" si="101"/>
        <v>99.872902190498834</v>
      </c>
      <c r="H1055">
        <f t="shared" si="102"/>
        <v>5.88445496354284E-3</v>
      </c>
      <c r="I1055">
        <f t="shared" si="103"/>
        <v>5.7944549635428402E-3</v>
      </c>
      <c r="K1055">
        <f t="shared" si="104"/>
        <v>-7.0754716981132892E-3</v>
      </c>
      <c r="L1055">
        <f t="shared" si="105"/>
        <v>-1.3020833333333703E-3</v>
      </c>
      <c r="M1055">
        <f t="shared" si="106"/>
        <v>3.8846265902692245E-4</v>
      </c>
    </row>
    <row r="1056" spans="1:13" x14ac:dyDescent="0.3">
      <c r="A1056" s="3">
        <v>43535</v>
      </c>
      <c r="B1056" s="8">
        <v>8.61</v>
      </c>
      <c r="C1056" s="8">
        <v>138.56</v>
      </c>
      <c r="D1056" s="8">
        <v>104.35</v>
      </c>
      <c r="E1056">
        <v>8.9999999999999992E-5</v>
      </c>
      <c r="G1056">
        <f t="shared" si="101"/>
        <v>100.91393189138711</v>
      </c>
      <c r="H1056">
        <f t="shared" si="102"/>
        <v>1.0423545106385212E-2</v>
      </c>
      <c r="I1056">
        <f t="shared" si="103"/>
        <v>1.0333545106385213E-2</v>
      </c>
      <c r="K1056">
        <f t="shared" si="104"/>
        <v>2.25653206650831E-2</v>
      </c>
      <c r="L1056">
        <f t="shared" si="105"/>
        <v>3.6216137911053714E-3</v>
      </c>
      <c r="M1056">
        <f t="shared" si="106"/>
        <v>1.3008445781962807E-2</v>
      </c>
    </row>
    <row r="1057" spans="1:13" x14ac:dyDescent="0.3">
      <c r="A1057" s="3">
        <v>43536</v>
      </c>
      <c r="B1057" s="8">
        <v>8.57</v>
      </c>
      <c r="C1057" s="8">
        <v>139.18</v>
      </c>
      <c r="D1057" s="8">
        <v>104.04</v>
      </c>
      <c r="E1057">
        <v>8.9999999999999992E-5</v>
      </c>
      <c r="G1057">
        <f t="shared" si="101"/>
        <v>100.0716993593453</v>
      </c>
      <c r="H1057">
        <f t="shared" si="102"/>
        <v>-8.3460481249337803E-3</v>
      </c>
      <c r="I1057">
        <f t="shared" si="103"/>
        <v>-8.4360481249337801E-3</v>
      </c>
      <c r="K1057">
        <f t="shared" si="104"/>
        <v>-4.6457607433215697E-3</v>
      </c>
      <c r="L1057">
        <f t="shared" si="105"/>
        <v>4.474595842956175E-3</v>
      </c>
      <c r="M1057">
        <f t="shared" si="106"/>
        <v>-2.9707714422615439E-3</v>
      </c>
    </row>
    <row r="1058" spans="1:13" x14ac:dyDescent="0.3">
      <c r="A1058" s="3">
        <v>43537</v>
      </c>
      <c r="B1058" s="8">
        <v>8.5299999999999994</v>
      </c>
      <c r="C1058" s="8">
        <v>139.41</v>
      </c>
      <c r="D1058" s="8">
        <v>104.39</v>
      </c>
      <c r="E1058">
        <v>8.9999999999999992E-5</v>
      </c>
      <c r="G1058">
        <f t="shared" si="101"/>
        <v>100.16342630593769</v>
      </c>
      <c r="H1058">
        <f t="shared" si="102"/>
        <v>9.1661226080530511E-4</v>
      </c>
      <c r="I1058">
        <f t="shared" si="103"/>
        <v>8.2661226080530509E-4</v>
      </c>
      <c r="K1058">
        <f t="shared" si="104"/>
        <v>-4.667444574095736E-3</v>
      </c>
      <c r="L1058">
        <f t="shared" si="105"/>
        <v>1.6525362839487912E-3</v>
      </c>
      <c r="M1058">
        <f t="shared" si="106"/>
        <v>3.3640907343328585E-3</v>
      </c>
    </row>
    <row r="1059" spans="1:13" x14ac:dyDescent="0.3">
      <c r="A1059" s="3">
        <v>43538</v>
      </c>
      <c r="B1059" s="8">
        <v>8.41</v>
      </c>
      <c r="C1059" s="8">
        <v>138.02000000000001</v>
      </c>
      <c r="D1059" s="8">
        <v>105.34</v>
      </c>
      <c r="E1059">
        <v>8.9999999999999992E-5</v>
      </c>
      <c r="G1059">
        <f t="shared" si="101"/>
        <v>99.677663385716812</v>
      </c>
      <c r="H1059">
        <f t="shared" si="102"/>
        <v>-4.8497035109119624E-3</v>
      </c>
      <c r="I1059">
        <f t="shared" si="103"/>
        <v>-4.9397035109119622E-3</v>
      </c>
      <c r="K1059">
        <f t="shared" si="104"/>
        <v>-1.4067995310668158E-2</v>
      </c>
      <c r="L1059">
        <f t="shared" si="105"/>
        <v>-9.970590345025343E-3</v>
      </c>
      <c r="M1059">
        <f t="shared" si="106"/>
        <v>9.1004885525434176E-3</v>
      </c>
    </row>
    <row r="1060" spans="1:13" x14ac:dyDescent="0.3">
      <c r="A1060" s="3">
        <v>43539</v>
      </c>
      <c r="B1060" s="8">
        <v>8.43</v>
      </c>
      <c r="C1060" s="8">
        <v>137.6</v>
      </c>
      <c r="D1060" s="8">
        <v>106.55</v>
      </c>
      <c r="E1060">
        <v>8.9999999999999992E-5</v>
      </c>
      <c r="G1060">
        <f t="shared" si="101"/>
        <v>100.29927691639264</v>
      </c>
      <c r="H1060">
        <f t="shared" si="102"/>
        <v>6.2362369819044527E-3</v>
      </c>
      <c r="I1060">
        <f t="shared" si="103"/>
        <v>6.1462369819044529E-3</v>
      </c>
      <c r="K1060">
        <f t="shared" si="104"/>
        <v>2.3781212841853527E-3</v>
      </c>
      <c r="L1060">
        <f t="shared" si="105"/>
        <v>-3.0430372409796513E-3</v>
      </c>
      <c r="M1060">
        <f t="shared" si="106"/>
        <v>1.148661477121693E-2</v>
      </c>
    </row>
    <row r="1061" spans="1:13" x14ac:dyDescent="0.3">
      <c r="A1061" s="3">
        <v>43542</v>
      </c>
      <c r="B1061" s="8">
        <v>8.57</v>
      </c>
      <c r="C1061" s="8">
        <v>137.16999999999999</v>
      </c>
      <c r="D1061" s="8">
        <v>107.19</v>
      </c>
      <c r="E1061">
        <v>8.9999999999999992E-5</v>
      </c>
      <c r="G1061">
        <f t="shared" si="101"/>
        <v>100.23792994291884</v>
      </c>
      <c r="H1061">
        <f t="shared" si="102"/>
        <v>-6.1163923968210465E-4</v>
      </c>
      <c r="I1061">
        <f t="shared" si="103"/>
        <v>-7.0163923968210467E-4</v>
      </c>
      <c r="K1061">
        <f t="shared" si="104"/>
        <v>1.6607354685646669E-2</v>
      </c>
      <c r="L1061">
        <f t="shared" si="105"/>
        <v>-3.1250000000000444E-3</v>
      </c>
      <c r="M1061">
        <f t="shared" si="106"/>
        <v>6.0065696855935435E-3</v>
      </c>
    </row>
    <row r="1062" spans="1:13" x14ac:dyDescent="0.3">
      <c r="A1062" s="3">
        <v>43543</v>
      </c>
      <c r="B1062" s="8">
        <v>8.6999999999999993</v>
      </c>
      <c r="C1062" s="8">
        <v>138.44</v>
      </c>
      <c r="D1062" s="8">
        <v>106.8</v>
      </c>
      <c r="E1062">
        <v>8.9999999999999992E-5</v>
      </c>
      <c r="G1062">
        <f t="shared" si="101"/>
        <v>100.5024763398265</v>
      </c>
      <c r="H1062">
        <f t="shared" si="102"/>
        <v>2.6391845587623308E-3</v>
      </c>
      <c r="I1062">
        <f t="shared" si="103"/>
        <v>2.549184558762331E-3</v>
      </c>
      <c r="K1062">
        <f t="shared" si="104"/>
        <v>1.5169194865810809E-2</v>
      </c>
      <c r="L1062">
        <f t="shared" si="105"/>
        <v>9.2585842385362049E-3</v>
      </c>
      <c r="M1062">
        <f t="shared" si="106"/>
        <v>-3.6383991043941188E-3</v>
      </c>
    </row>
    <row r="1063" spans="1:13" x14ac:dyDescent="0.3">
      <c r="A1063" s="3">
        <v>43544</v>
      </c>
      <c r="B1063" s="8">
        <v>8.51</v>
      </c>
      <c r="C1063" s="8">
        <v>137.29</v>
      </c>
      <c r="D1063" s="8">
        <v>104.52</v>
      </c>
      <c r="E1063">
        <v>8.9999999999999992E-5</v>
      </c>
      <c r="G1063">
        <f t="shared" si="101"/>
        <v>98.536730575123372</v>
      </c>
      <c r="H1063">
        <f t="shared" si="102"/>
        <v>-1.9559177408289941E-2</v>
      </c>
      <c r="I1063">
        <f t="shared" si="103"/>
        <v>-1.964917740828994E-2</v>
      </c>
      <c r="K1063">
        <f t="shared" si="104"/>
        <v>-2.1839080459770011E-2</v>
      </c>
      <c r="L1063">
        <f t="shared" si="105"/>
        <v>-8.3068477318694045E-3</v>
      </c>
      <c r="M1063">
        <f t="shared" si="106"/>
        <v>-2.1348314606741581E-2</v>
      </c>
    </row>
    <row r="1064" spans="1:13" x14ac:dyDescent="0.3">
      <c r="A1064" s="3">
        <v>43545</v>
      </c>
      <c r="B1064" s="8">
        <v>8.69</v>
      </c>
      <c r="C1064" s="8">
        <v>138.1</v>
      </c>
      <c r="D1064" s="8">
        <v>102.87</v>
      </c>
      <c r="E1064">
        <v>8.9999999999999992E-5</v>
      </c>
      <c r="G1064">
        <f t="shared" si="101"/>
        <v>99.933752654824374</v>
      </c>
      <c r="H1064">
        <f t="shared" si="102"/>
        <v>1.4177678430642882E-2</v>
      </c>
      <c r="I1064">
        <f t="shared" si="103"/>
        <v>1.4087678430642882E-2</v>
      </c>
      <c r="K1064">
        <f t="shared" si="104"/>
        <v>2.1151586368977737E-2</v>
      </c>
      <c r="L1064">
        <f t="shared" si="105"/>
        <v>5.8999198776312767E-3</v>
      </c>
      <c r="M1064">
        <f t="shared" si="106"/>
        <v>-1.578645235361642E-2</v>
      </c>
    </row>
    <row r="1065" spans="1:13" x14ac:dyDescent="0.3">
      <c r="A1065" s="3">
        <v>43546</v>
      </c>
      <c r="B1065" s="8">
        <v>8.5399999999999991</v>
      </c>
      <c r="C1065" s="8">
        <v>136.91</v>
      </c>
      <c r="D1065" s="8">
        <v>99.76</v>
      </c>
      <c r="E1065">
        <v>8.9999999999999992E-5</v>
      </c>
      <c r="G1065">
        <f t="shared" si="101"/>
        <v>98.234302447202793</v>
      </c>
      <c r="H1065">
        <f t="shared" si="102"/>
        <v>-1.7005767946006722E-2</v>
      </c>
      <c r="I1065">
        <f t="shared" si="103"/>
        <v>-1.7095767946006722E-2</v>
      </c>
      <c r="K1065">
        <f t="shared" si="104"/>
        <v>-1.7261219792865434E-2</v>
      </c>
      <c r="L1065">
        <f t="shared" si="105"/>
        <v>-8.6169442433019494E-3</v>
      </c>
      <c r="M1065">
        <f t="shared" si="106"/>
        <v>-3.0232332069602408E-2</v>
      </c>
    </row>
    <row r="1066" spans="1:13" x14ac:dyDescent="0.3">
      <c r="A1066" s="3">
        <v>43549</v>
      </c>
      <c r="B1066" s="8">
        <v>8.51</v>
      </c>
      <c r="C1066" s="8">
        <v>136.61000000000001</v>
      </c>
      <c r="D1066" s="8">
        <v>98.93</v>
      </c>
      <c r="E1066">
        <v>8.9999999999999992E-5</v>
      </c>
      <c r="G1066">
        <f t="shared" si="101"/>
        <v>99.536395621613309</v>
      </c>
      <c r="H1066">
        <f t="shared" si="102"/>
        <v>1.3254974504556039E-2</v>
      </c>
      <c r="I1066">
        <f t="shared" si="103"/>
        <v>1.3164974504556039E-2</v>
      </c>
      <c r="K1066">
        <f t="shared" si="104"/>
        <v>-3.5128805620607828E-3</v>
      </c>
      <c r="L1066">
        <f t="shared" si="105"/>
        <v>-2.191220509823899E-3</v>
      </c>
      <c r="M1066">
        <f t="shared" si="106"/>
        <v>-8.319967923015259E-3</v>
      </c>
    </row>
    <row r="1067" spans="1:13" x14ac:dyDescent="0.3">
      <c r="A1067" s="3">
        <v>43550</v>
      </c>
      <c r="B1067" s="8">
        <v>8.76</v>
      </c>
      <c r="C1067" s="8">
        <v>138.57</v>
      </c>
      <c r="D1067" s="8">
        <v>99.92</v>
      </c>
      <c r="E1067">
        <v>8.9999999999999992E-5</v>
      </c>
      <c r="G1067">
        <f t="shared" si="101"/>
        <v>101.42892562718622</v>
      </c>
      <c r="H1067">
        <f t="shared" si="102"/>
        <v>1.9013447229567548E-2</v>
      </c>
      <c r="I1067">
        <f t="shared" si="103"/>
        <v>1.8923447229567548E-2</v>
      </c>
      <c r="K1067">
        <f t="shared" si="104"/>
        <v>2.9377203290246845E-2</v>
      </c>
      <c r="L1067">
        <f t="shared" si="105"/>
        <v>1.4347412341702448E-2</v>
      </c>
      <c r="M1067">
        <f t="shared" si="106"/>
        <v>1.0007075710098068E-2</v>
      </c>
    </row>
    <row r="1068" spans="1:13" x14ac:dyDescent="0.3">
      <c r="A1068" s="3">
        <v>43551</v>
      </c>
      <c r="B1068" s="8">
        <v>8.6199999999999992</v>
      </c>
      <c r="C1068" s="8">
        <v>138.69999999999999</v>
      </c>
      <c r="D1068" s="8">
        <v>99.58</v>
      </c>
      <c r="E1068">
        <v>8.9999999999999992E-5</v>
      </c>
      <c r="G1068">
        <f t="shared" si="101"/>
        <v>99.753139436614802</v>
      </c>
      <c r="H1068">
        <f t="shared" si="102"/>
        <v>-1.6521777986005293E-2</v>
      </c>
      <c r="I1068">
        <f t="shared" si="103"/>
        <v>-1.6611777986005292E-2</v>
      </c>
      <c r="K1068">
        <f t="shared" si="104"/>
        <v>-1.5981735159817378E-2</v>
      </c>
      <c r="L1068">
        <f t="shared" si="105"/>
        <v>9.3815400158758777E-4</v>
      </c>
      <c r="M1068">
        <f t="shared" si="106"/>
        <v>-3.402722177742179E-3</v>
      </c>
    </row>
    <row r="1069" spans="1:13" x14ac:dyDescent="0.3">
      <c r="A1069" s="3">
        <v>43552</v>
      </c>
      <c r="B1069" s="8">
        <v>8.77</v>
      </c>
      <c r="C1069" s="8">
        <v>138.88</v>
      </c>
      <c r="D1069" s="8">
        <v>100.71</v>
      </c>
      <c r="E1069">
        <v>8.9999999999999992E-5</v>
      </c>
      <c r="G1069">
        <f t="shared" si="101"/>
        <v>100.67673406067676</v>
      </c>
      <c r="H1069">
        <f t="shared" si="102"/>
        <v>9.2588025728135293E-3</v>
      </c>
      <c r="I1069">
        <f t="shared" si="103"/>
        <v>9.1688025728135295E-3</v>
      </c>
      <c r="K1069">
        <f t="shared" si="104"/>
        <v>1.740139211136893E-2</v>
      </c>
      <c r="L1069">
        <f t="shared" si="105"/>
        <v>1.2977649603460595E-3</v>
      </c>
      <c r="M1069">
        <f t="shared" si="106"/>
        <v>1.1347660172725371E-2</v>
      </c>
    </row>
    <row r="1070" spans="1:13" x14ac:dyDescent="0.3">
      <c r="A1070" s="3">
        <v>43553</v>
      </c>
      <c r="B1070" s="8">
        <v>8.7799999999999994</v>
      </c>
      <c r="C1070" s="8">
        <v>139.79</v>
      </c>
      <c r="D1070" s="8">
        <v>101.23</v>
      </c>
      <c r="E1070">
        <v>8.9999999999999992E-5</v>
      </c>
      <c r="G1070">
        <f t="shared" si="101"/>
        <v>100.54624869124025</v>
      </c>
      <c r="H1070">
        <f t="shared" si="102"/>
        <v>-1.2960826615400212E-3</v>
      </c>
      <c r="I1070">
        <f t="shared" si="103"/>
        <v>-1.3860826615400212E-3</v>
      </c>
      <c r="K1070">
        <f t="shared" si="104"/>
        <v>1.1402508551880963E-3</v>
      </c>
      <c r="L1070">
        <f t="shared" si="105"/>
        <v>6.5524193548387455E-3</v>
      </c>
      <c r="M1070">
        <f t="shared" si="106"/>
        <v>5.1633402839839082E-3</v>
      </c>
    </row>
    <row r="1071" spans="1:13" x14ac:dyDescent="0.3">
      <c r="A1071" s="3">
        <v>43556</v>
      </c>
      <c r="B1071" s="8">
        <v>8.98</v>
      </c>
      <c r="C1071" s="8">
        <v>138.97999999999999</v>
      </c>
      <c r="D1071" s="8">
        <v>104.64</v>
      </c>
      <c r="E1071">
        <v>1E-4</v>
      </c>
      <c r="G1071">
        <f t="shared" si="101"/>
        <v>101.20569121380858</v>
      </c>
      <c r="H1071">
        <f t="shared" si="102"/>
        <v>6.5585989646750331E-3</v>
      </c>
      <c r="I1071">
        <f t="shared" si="103"/>
        <v>6.4585989646750329E-3</v>
      </c>
      <c r="K1071">
        <f t="shared" si="104"/>
        <v>2.2779043280182432E-2</v>
      </c>
      <c r="L1071">
        <f t="shared" si="105"/>
        <v>-5.7944058945561538E-3</v>
      </c>
      <c r="M1071">
        <f t="shared" si="106"/>
        <v>3.3685666304455131E-2</v>
      </c>
    </row>
    <row r="1072" spans="1:13" x14ac:dyDescent="0.3">
      <c r="A1072" s="3">
        <v>43557</v>
      </c>
      <c r="B1072" s="8">
        <v>9.01</v>
      </c>
      <c r="C1072" s="8">
        <v>137.71</v>
      </c>
      <c r="D1072" s="8">
        <v>105.14</v>
      </c>
      <c r="E1072">
        <v>1E-4</v>
      </c>
      <c r="G1072">
        <f t="shared" si="101"/>
        <v>99.740664092671722</v>
      </c>
      <c r="H1072">
        <f t="shared" si="102"/>
        <v>-1.4475738504090785E-2</v>
      </c>
      <c r="I1072">
        <f t="shared" si="103"/>
        <v>-1.4575738504090784E-2</v>
      </c>
      <c r="K1072">
        <f t="shared" si="104"/>
        <v>3.3407572383072903E-3</v>
      </c>
      <c r="L1072">
        <f t="shared" si="105"/>
        <v>-9.1380054684125911E-3</v>
      </c>
      <c r="M1072">
        <f t="shared" si="106"/>
        <v>4.778287461773667E-3</v>
      </c>
    </row>
    <row r="1073" spans="1:13" x14ac:dyDescent="0.3">
      <c r="A1073" s="3">
        <v>43558</v>
      </c>
      <c r="B1073" s="8">
        <v>9.1300000000000008</v>
      </c>
      <c r="C1073" s="8">
        <v>137.16999999999999</v>
      </c>
      <c r="D1073" s="8">
        <v>105.35</v>
      </c>
      <c r="E1073">
        <v>1E-4</v>
      </c>
      <c r="G1073">
        <f t="shared" si="101"/>
        <v>100.01127265380536</v>
      </c>
      <c r="H1073">
        <f t="shared" si="102"/>
        <v>2.713121710140376E-3</v>
      </c>
      <c r="I1073">
        <f t="shared" si="103"/>
        <v>2.6131217101403761E-3</v>
      </c>
      <c r="K1073">
        <f t="shared" si="104"/>
        <v>1.3318534961154427E-2</v>
      </c>
      <c r="L1073">
        <f t="shared" si="105"/>
        <v>-3.9212838573815523E-3</v>
      </c>
      <c r="M1073">
        <f t="shared" si="106"/>
        <v>1.997336884154377E-3</v>
      </c>
    </row>
    <row r="1074" spans="1:13" x14ac:dyDescent="0.3">
      <c r="A1074" s="3">
        <v>43559</v>
      </c>
      <c r="B1074" s="8">
        <v>9.24</v>
      </c>
      <c r="C1074" s="8">
        <v>135.57</v>
      </c>
      <c r="D1074" s="8">
        <v>105.56</v>
      </c>
      <c r="E1074">
        <v>1E-4</v>
      </c>
      <c r="G1074">
        <f t="shared" si="101"/>
        <v>99.596030928514807</v>
      </c>
      <c r="H1074">
        <f t="shared" si="102"/>
        <v>-4.1519492180440709E-3</v>
      </c>
      <c r="I1074">
        <f t="shared" si="103"/>
        <v>-4.2519492180440712E-3</v>
      </c>
      <c r="K1074">
        <f t="shared" si="104"/>
        <v>1.2048192771084265E-2</v>
      </c>
      <c r="L1074">
        <f t="shared" si="105"/>
        <v>-1.166435809579347E-2</v>
      </c>
      <c r="M1074">
        <f t="shared" si="106"/>
        <v>1.9933554817277432E-3</v>
      </c>
    </row>
    <row r="1075" spans="1:13" x14ac:dyDescent="0.3">
      <c r="A1075" s="3">
        <v>43560</v>
      </c>
      <c r="B1075" s="8">
        <v>9.25</v>
      </c>
      <c r="C1075" s="8">
        <v>136.18</v>
      </c>
      <c r="D1075" s="8">
        <v>105.31</v>
      </c>
      <c r="E1075">
        <v>1E-4</v>
      </c>
      <c r="G1075">
        <f t="shared" si="101"/>
        <v>100.15569437515317</v>
      </c>
      <c r="H1075">
        <f t="shared" si="102"/>
        <v>5.6193348411652799E-3</v>
      </c>
      <c r="I1075">
        <f t="shared" si="103"/>
        <v>5.5193348411652797E-3</v>
      </c>
      <c r="K1075">
        <f t="shared" si="104"/>
        <v>1.0822510822510178E-3</v>
      </c>
      <c r="L1075">
        <f t="shared" si="105"/>
        <v>4.4995205428930429E-3</v>
      </c>
      <c r="M1075">
        <f t="shared" si="106"/>
        <v>-2.3683213338385745E-3</v>
      </c>
    </row>
    <row r="1076" spans="1:13" x14ac:dyDescent="0.3">
      <c r="A1076" s="3">
        <v>43563</v>
      </c>
      <c r="B1076" s="8">
        <v>9.3000000000000007</v>
      </c>
      <c r="C1076" s="8">
        <v>136.13999999999999</v>
      </c>
      <c r="D1076" s="8">
        <v>105.65</v>
      </c>
      <c r="E1076">
        <v>1E-4</v>
      </c>
      <c r="G1076">
        <f t="shared" si="101"/>
        <v>100.16290281105785</v>
      </c>
      <c r="H1076">
        <f t="shared" si="102"/>
        <v>7.1972302220446593E-5</v>
      </c>
      <c r="I1076">
        <f t="shared" si="103"/>
        <v>-2.8027697779553411E-5</v>
      </c>
      <c r="K1076">
        <f t="shared" si="104"/>
        <v>5.4054054054055722E-3</v>
      </c>
      <c r="L1076">
        <f t="shared" si="105"/>
        <v>-2.9372888823631094E-4</v>
      </c>
      <c r="M1076">
        <f t="shared" si="106"/>
        <v>3.2285632893362948E-3</v>
      </c>
    </row>
    <row r="1077" spans="1:13" x14ac:dyDescent="0.3">
      <c r="A1077" s="3">
        <v>43564</v>
      </c>
      <c r="B1077" s="8">
        <v>9.2100000000000009</v>
      </c>
      <c r="C1077" s="8">
        <v>135.57</v>
      </c>
      <c r="D1077" s="8">
        <v>104.87</v>
      </c>
      <c r="E1077">
        <v>1E-4</v>
      </c>
      <c r="G1077">
        <f t="shared" si="101"/>
        <v>99.403502286861027</v>
      </c>
      <c r="H1077">
        <f t="shared" si="102"/>
        <v>-7.5816545136407898E-3</v>
      </c>
      <c r="I1077">
        <f t="shared" si="103"/>
        <v>-7.6816545136407901E-3</v>
      </c>
      <c r="K1077">
        <f t="shared" si="104"/>
        <v>-9.6774193548386789E-3</v>
      </c>
      <c r="L1077">
        <f t="shared" si="105"/>
        <v>-4.1868664609959749E-3</v>
      </c>
      <c r="M1077">
        <f t="shared" si="106"/>
        <v>-7.38286796024612E-3</v>
      </c>
    </row>
    <row r="1078" spans="1:13" x14ac:dyDescent="0.3">
      <c r="A1078" s="3">
        <v>43565</v>
      </c>
      <c r="B1078" s="8">
        <v>9.33</v>
      </c>
      <c r="C1078" s="8">
        <v>135.58000000000001</v>
      </c>
      <c r="D1078" s="8">
        <v>105.34</v>
      </c>
      <c r="E1078">
        <v>1E-4</v>
      </c>
      <c r="G1078">
        <f t="shared" si="101"/>
        <v>100.30903012813069</v>
      </c>
      <c r="H1078">
        <f t="shared" si="102"/>
        <v>9.1096170701960855E-3</v>
      </c>
      <c r="I1078">
        <f t="shared" si="103"/>
        <v>9.0096170701960861E-3</v>
      </c>
      <c r="K1078">
        <f t="shared" si="104"/>
        <v>1.3029315960912058E-2</v>
      </c>
      <c r="L1078">
        <f t="shared" si="105"/>
        <v>7.3762631850771143E-5</v>
      </c>
      <c r="M1078">
        <f t="shared" si="106"/>
        <v>4.4817392962714919E-3</v>
      </c>
    </row>
    <row r="1079" spans="1:13" x14ac:dyDescent="0.3">
      <c r="A1079" s="3">
        <v>43566</v>
      </c>
      <c r="B1079" s="8">
        <v>9.39</v>
      </c>
      <c r="C1079" s="8">
        <v>135.21</v>
      </c>
      <c r="D1079" s="8">
        <v>106.23</v>
      </c>
      <c r="E1079">
        <v>1E-4</v>
      </c>
      <c r="G1079">
        <f t="shared" si="101"/>
        <v>100.24372995315629</v>
      </c>
      <c r="H1079">
        <f t="shared" si="102"/>
        <v>-6.5098999452972706E-4</v>
      </c>
      <c r="I1079">
        <f t="shared" si="103"/>
        <v>-7.509899945297271E-4</v>
      </c>
      <c r="K1079">
        <f t="shared" si="104"/>
        <v>6.4308681672027301E-3</v>
      </c>
      <c r="L1079">
        <f t="shared" si="105"/>
        <v>-2.7290160790677254E-3</v>
      </c>
      <c r="M1079">
        <f t="shared" si="106"/>
        <v>8.4488323523828068E-3</v>
      </c>
    </row>
    <row r="1080" spans="1:13" x14ac:dyDescent="0.3">
      <c r="A1080" s="3">
        <v>43567</v>
      </c>
      <c r="B1080" s="8">
        <v>9.4499999999999993</v>
      </c>
      <c r="C1080" s="8">
        <v>135.97999999999999</v>
      </c>
      <c r="D1080" s="8">
        <v>111.21</v>
      </c>
      <c r="E1080">
        <v>1E-4</v>
      </c>
      <c r="G1080">
        <f t="shared" si="101"/>
        <v>102.12658488013831</v>
      </c>
      <c r="H1080">
        <f t="shared" si="102"/>
        <v>1.8782770033216822E-2</v>
      </c>
      <c r="I1080">
        <f t="shared" si="103"/>
        <v>1.8682770033216823E-2</v>
      </c>
      <c r="K1080">
        <f t="shared" si="104"/>
        <v>6.389776357827337E-3</v>
      </c>
      <c r="L1080">
        <f t="shared" si="105"/>
        <v>5.6948450558389485E-3</v>
      </c>
      <c r="M1080">
        <f t="shared" si="106"/>
        <v>4.6879412595312031E-2</v>
      </c>
    </row>
    <row r="1081" spans="1:13" x14ac:dyDescent="0.3">
      <c r="A1081" s="3">
        <v>43570</v>
      </c>
      <c r="B1081" s="8">
        <v>9.33</v>
      </c>
      <c r="C1081" s="8">
        <v>136.52000000000001</v>
      </c>
      <c r="D1081" s="8">
        <v>109.94</v>
      </c>
      <c r="E1081">
        <v>1E-4</v>
      </c>
      <c r="G1081">
        <f t="shared" si="101"/>
        <v>99.64323673962889</v>
      </c>
      <c r="H1081">
        <f t="shared" si="102"/>
        <v>-2.4316373091531673E-2</v>
      </c>
      <c r="I1081">
        <f t="shared" si="103"/>
        <v>-2.4416373091531673E-2</v>
      </c>
      <c r="K1081">
        <f t="shared" si="104"/>
        <v>-1.2698412698412653E-2</v>
      </c>
      <c r="L1081">
        <f t="shared" si="105"/>
        <v>3.9711722312105735E-3</v>
      </c>
      <c r="M1081">
        <f t="shared" si="106"/>
        <v>-1.1419836345652357E-2</v>
      </c>
    </row>
    <row r="1082" spans="1:13" x14ac:dyDescent="0.3">
      <c r="A1082" s="3">
        <v>43571</v>
      </c>
      <c r="B1082" s="8">
        <v>9.36</v>
      </c>
      <c r="C1082" s="8">
        <v>138.02000000000001</v>
      </c>
      <c r="D1082" s="8">
        <v>111.1</v>
      </c>
      <c r="E1082">
        <v>1E-4</v>
      </c>
      <c r="G1082">
        <f t="shared" si="101"/>
        <v>101.00087376907949</v>
      </c>
      <c r="H1082">
        <f t="shared" si="102"/>
        <v>1.3624979214576838E-2</v>
      </c>
      <c r="I1082">
        <f t="shared" si="103"/>
        <v>1.3524979214576838E-2</v>
      </c>
      <c r="K1082">
        <f t="shared" si="104"/>
        <v>3.215434083601254E-3</v>
      </c>
      <c r="L1082">
        <f t="shared" si="105"/>
        <v>1.0987401113389916E-2</v>
      </c>
      <c r="M1082">
        <f t="shared" si="106"/>
        <v>1.0551209750773172E-2</v>
      </c>
    </row>
    <row r="1083" spans="1:13" x14ac:dyDescent="0.3">
      <c r="A1083" s="3">
        <v>43572</v>
      </c>
      <c r="B1083" s="8">
        <v>9.5</v>
      </c>
      <c r="C1083" s="8">
        <v>138.52000000000001</v>
      </c>
      <c r="D1083" s="8">
        <v>114.3</v>
      </c>
      <c r="E1083">
        <v>1E-4</v>
      </c>
      <c r="G1083">
        <f t="shared" si="101"/>
        <v>101.42861286559307</v>
      </c>
      <c r="H1083">
        <f t="shared" si="102"/>
        <v>4.2350039217633473E-3</v>
      </c>
      <c r="I1083">
        <f t="shared" si="103"/>
        <v>4.135003921763347E-3</v>
      </c>
      <c r="K1083">
        <f t="shared" si="104"/>
        <v>1.4957264957265126E-2</v>
      </c>
      <c r="L1083">
        <f t="shared" si="105"/>
        <v>3.622663382118585E-3</v>
      </c>
      <c r="M1083">
        <f t="shared" si="106"/>
        <v>2.8802880288028909E-2</v>
      </c>
    </row>
    <row r="1084" spans="1:13" x14ac:dyDescent="0.3">
      <c r="A1084" s="3">
        <v>43573</v>
      </c>
      <c r="B1084" s="8">
        <v>9.5500000000000007</v>
      </c>
      <c r="C1084" s="8">
        <v>137.52000000000001</v>
      </c>
      <c r="D1084" s="8">
        <v>113.46</v>
      </c>
      <c r="E1084">
        <v>1E-4</v>
      </c>
      <c r="G1084">
        <f t="shared" si="101"/>
        <v>99.404011778043056</v>
      </c>
      <c r="H1084">
        <f t="shared" si="102"/>
        <v>-1.9960847638061385E-2</v>
      </c>
      <c r="I1084">
        <f t="shared" si="103"/>
        <v>-2.0060847638061385E-2</v>
      </c>
      <c r="K1084">
        <f t="shared" si="104"/>
        <v>5.2631578947368585E-3</v>
      </c>
      <c r="L1084">
        <f t="shared" si="105"/>
        <v>-7.219174126479877E-3</v>
      </c>
      <c r="M1084">
        <f t="shared" si="106"/>
        <v>-7.3490813648294795E-3</v>
      </c>
    </row>
    <row r="1085" spans="1:13" x14ac:dyDescent="0.3">
      <c r="A1085" s="3">
        <v>43577</v>
      </c>
      <c r="B1085" s="8">
        <v>9.5</v>
      </c>
      <c r="C1085" s="8">
        <v>137.83000000000001</v>
      </c>
      <c r="D1085" s="8">
        <v>113.6</v>
      </c>
      <c r="E1085">
        <v>1E-4</v>
      </c>
      <c r="G1085">
        <f t="shared" si="101"/>
        <v>100.10853168458426</v>
      </c>
      <c r="H1085">
        <f t="shared" si="102"/>
        <v>7.0874393692914595E-3</v>
      </c>
      <c r="I1085">
        <f t="shared" si="103"/>
        <v>6.9874393692914592E-3</v>
      </c>
      <c r="K1085">
        <f t="shared" si="104"/>
        <v>-5.2356020942408987E-3</v>
      </c>
      <c r="L1085">
        <f t="shared" si="105"/>
        <v>2.2542175683537558E-3</v>
      </c>
      <c r="M1085">
        <f t="shared" si="106"/>
        <v>1.2339150361360129E-3</v>
      </c>
    </row>
    <row r="1086" spans="1:13" x14ac:dyDescent="0.3">
      <c r="A1086" s="3">
        <v>43578</v>
      </c>
      <c r="B1086" s="8">
        <v>9.5</v>
      </c>
      <c r="C1086" s="8">
        <v>139.9</v>
      </c>
      <c r="D1086" s="8">
        <v>113.74</v>
      </c>
      <c r="E1086">
        <v>1E-4</v>
      </c>
      <c r="G1086">
        <f t="shared" si="101"/>
        <v>100.82566746049065</v>
      </c>
      <c r="H1086">
        <f t="shared" si="102"/>
        <v>7.163583001755347E-3</v>
      </c>
      <c r="I1086">
        <f t="shared" si="103"/>
        <v>7.0635830017553468E-3</v>
      </c>
      <c r="K1086">
        <f t="shared" si="104"/>
        <v>0</v>
      </c>
      <c r="L1086">
        <f t="shared" si="105"/>
        <v>1.5018501052020516E-2</v>
      </c>
      <c r="M1086">
        <f t="shared" si="106"/>
        <v>1.2323943661971537E-3</v>
      </c>
    </row>
    <row r="1087" spans="1:13" x14ac:dyDescent="0.3">
      <c r="A1087" s="3">
        <v>43579</v>
      </c>
      <c r="B1087" s="8">
        <v>9.57</v>
      </c>
      <c r="C1087" s="8">
        <v>139.19999999999999</v>
      </c>
      <c r="D1087" s="8">
        <v>113.55</v>
      </c>
      <c r="E1087">
        <v>1E-4</v>
      </c>
      <c r="G1087">
        <f t="shared" si="101"/>
        <v>99.754731838355909</v>
      </c>
      <c r="H1087">
        <f t="shared" si="102"/>
        <v>-1.0621656658552747E-2</v>
      </c>
      <c r="I1087">
        <f t="shared" si="103"/>
        <v>-1.0721656658552747E-2</v>
      </c>
      <c r="K1087">
        <f t="shared" si="104"/>
        <v>7.3684210526316907E-3</v>
      </c>
      <c r="L1087">
        <f t="shared" si="105"/>
        <v>-5.0035739814153768E-3</v>
      </c>
      <c r="M1087">
        <f t="shared" si="106"/>
        <v>-1.6704765254088594E-3</v>
      </c>
    </row>
    <row r="1088" spans="1:13" x14ac:dyDescent="0.3">
      <c r="A1088" s="3">
        <v>43580</v>
      </c>
      <c r="B1088" s="8">
        <v>9.4</v>
      </c>
      <c r="C1088" s="8">
        <v>139.65</v>
      </c>
      <c r="D1088" s="8">
        <v>113.61</v>
      </c>
      <c r="E1088">
        <v>1E-4</v>
      </c>
      <c r="G1088">
        <f t="shared" si="101"/>
        <v>100.00145886899125</v>
      </c>
      <c r="H1088">
        <f t="shared" si="102"/>
        <v>2.4733366135969437E-3</v>
      </c>
      <c r="I1088">
        <f t="shared" si="103"/>
        <v>2.3733366135969438E-3</v>
      </c>
      <c r="K1088">
        <f t="shared" si="104"/>
        <v>-1.7763845350052265E-2</v>
      </c>
      <c r="L1088">
        <f t="shared" si="105"/>
        <v>3.2327586206897241E-3</v>
      </c>
      <c r="M1088">
        <f t="shared" si="106"/>
        <v>5.2840158520472968E-4</v>
      </c>
    </row>
    <row r="1089" spans="1:13" x14ac:dyDescent="0.3">
      <c r="A1089" s="3">
        <v>43581</v>
      </c>
      <c r="B1089" s="8">
        <v>10.41</v>
      </c>
      <c r="C1089" s="8">
        <v>140.38999999999999</v>
      </c>
      <c r="D1089" s="8">
        <v>114.47</v>
      </c>
      <c r="E1089">
        <v>1E-4</v>
      </c>
      <c r="G1089">
        <f t="shared" si="101"/>
        <v>101.68588159511947</v>
      </c>
      <c r="H1089">
        <f t="shared" si="102"/>
        <v>1.6843981529658825E-2</v>
      </c>
      <c r="I1089">
        <f t="shared" si="103"/>
        <v>1.6743981529658825E-2</v>
      </c>
      <c r="K1089">
        <f t="shared" si="104"/>
        <v>0.10744680851063837</v>
      </c>
      <c r="L1089">
        <f t="shared" si="105"/>
        <v>5.2989616899390413E-3</v>
      </c>
      <c r="M1089">
        <f t="shared" si="106"/>
        <v>7.5697561834344729E-3</v>
      </c>
    </row>
    <row r="1090" spans="1:13" x14ac:dyDescent="0.3">
      <c r="A1090" s="3">
        <v>43584</v>
      </c>
      <c r="B1090" s="8">
        <v>10.32</v>
      </c>
      <c r="C1090" s="8">
        <v>139.84</v>
      </c>
      <c r="D1090" s="8">
        <v>116.12</v>
      </c>
      <c r="E1090">
        <v>1E-4</v>
      </c>
      <c r="G1090">
        <f t="shared" si="101"/>
        <v>100.24853365720783</v>
      </c>
      <c r="H1090">
        <f t="shared" si="102"/>
        <v>-1.4135177031111335E-2</v>
      </c>
      <c r="I1090">
        <f t="shared" si="103"/>
        <v>-1.4235177031111334E-2</v>
      </c>
      <c r="K1090">
        <f t="shared" si="104"/>
        <v>-8.6455331412104153E-3</v>
      </c>
      <c r="L1090">
        <f t="shared" si="105"/>
        <v>-3.917657952845488E-3</v>
      </c>
      <c r="M1090">
        <f t="shared" si="106"/>
        <v>1.441425701057053E-2</v>
      </c>
    </row>
    <row r="1091" spans="1:13" x14ac:dyDescent="0.3">
      <c r="A1091" s="3">
        <v>43585</v>
      </c>
      <c r="B1091" s="8">
        <v>10.45</v>
      </c>
      <c r="C1091" s="8">
        <v>141.19999999999999</v>
      </c>
      <c r="D1091" s="8">
        <v>116.05</v>
      </c>
      <c r="E1091">
        <v>1E-4</v>
      </c>
      <c r="G1091">
        <f t="shared" si="101"/>
        <v>100.61397236007178</v>
      </c>
      <c r="H1091">
        <f t="shared" si="102"/>
        <v>3.645327163722456E-3</v>
      </c>
      <c r="I1091">
        <f t="shared" si="103"/>
        <v>3.5453271637224562E-3</v>
      </c>
      <c r="K1091">
        <f t="shared" si="104"/>
        <v>1.2596899224806002E-2</v>
      </c>
      <c r="L1091">
        <f t="shared" si="105"/>
        <v>9.7254004576659003E-3</v>
      </c>
      <c r="M1091">
        <f t="shared" si="106"/>
        <v>-6.0282466414063318E-4</v>
      </c>
    </row>
    <row r="1092" spans="1:13" x14ac:dyDescent="0.3">
      <c r="A1092" s="3">
        <v>43586</v>
      </c>
      <c r="B1092" s="8">
        <v>10.3</v>
      </c>
      <c r="C1092" s="8">
        <v>141.94999999999999</v>
      </c>
      <c r="D1092" s="8">
        <v>115.16</v>
      </c>
      <c r="E1092">
        <v>8.9999999999999992E-5</v>
      </c>
      <c r="G1092">
        <f t="shared" si="101"/>
        <v>99.836582713177108</v>
      </c>
      <c r="H1092">
        <f t="shared" si="102"/>
        <v>-7.7264581514840946E-3</v>
      </c>
      <c r="I1092">
        <f t="shared" si="103"/>
        <v>-7.8164581514840945E-3</v>
      </c>
      <c r="K1092">
        <f t="shared" si="104"/>
        <v>-1.4354066985645786E-2</v>
      </c>
      <c r="L1092">
        <f t="shared" si="105"/>
        <v>5.3116147308782669E-3</v>
      </c>
      <c r="M1092">
        <f t="shared" si="106"/>
        <v>-7.6691081430417807E-3</v>
      </c>
    </row>
    <row r="1093" spans="1:13" x14ac:dyDescent="0.3">
      <c r="A1093" s="3">
        <v>43587</v>
      </c>
      <c r="B1093" s="8">
        <v>10.34</v>
      </c>
      <c r="C1093" s="8">
        <v>141.28</v>
      </c>
      <c r="D1093" s="8">
        <v>115.41</v>
      </c>
      <c r="E1093">
        <v>8.9999999999999992E-5</v>
      </c>
      <c r="G1093">
        <f t="shared" ref="G1093:G1156" si="107">$G$4*(B1093*$P$8/B1092 + C1093*$Q$8/C1092 + D1093*$R$8/D1092)</f>
        <v>99.877479413474362</v>
      </c>
      <c r="H1093">
        <f t="shared" ref="H1093:H1156" si="108">G1093/G1092-1</f>
        <v>4.0963641969549158E-4</v>
      </c>
      <c r="I1093">
        <f t="shared" si="103"/>
        <v>3.1963641969549156E-4</v>
      </c>
      <c r="K1093">
        <f t="shared" si="104"/>
        <v>3.8834951456310218E-3</v>
      </c>
      <c r="L1093">
        <f t="shared" si="105"/>
        <v>-4.719971821063651E-3</v>
      </c>
      <c r="M1093">
        <f t="shared" si="106"/>
        <v>2.1708926710664045E-3</v>
      </c>
    </row>
    <row r="1094" spans="1:13" x14ac:dyDescent="0.3">
      <c r="A1094" s="3">
        <v>43588</v>
      </c>
      <c r="B1094" s="8">
        <v>10.41</v>
      </c>
      <c r="C1094" s="8">
        <v>142.01</v>
      </c>
      <c r="D1094" s="8">
        <v>116.12</v>
      </c>
      <c r="E1094">
        <v>8.9999999999999992E-5</v>
      </c>
      <c r="G1094">
        <f t="shared" si="107"/>
        <v>100.57056607832857</v>
      </c>
      <c r="H1094">
        <f t="shared" si="108"/>
        <v>6.9393688039018908E-3</v>
      </c>
      <c r="I1094">
        <f t="shared" ref="I1094:I1157" si="109">H1094-E1094</f>
        <v>6.849368803901891E-3</v>
      </c>
      <c r="K1094">
        <f t="shared" ref="K1094:K1157" si="110">B1094/B1093-1</f>
        <v>6.7698259187620735E-3</v>
      </c>
      <c r="L1094">
        <f t="shared" ref="L1094:L1157" si="111">C1094/C1093-1</f>
        <v>5.1670441676103795E-3</v>
      </c>
      <c r="M1094">
        <f t="shared" ref="M1094:M1157" si="112">D1094/D1093-1</f>
        <v>6.1519798977558438E-3</v>
      </c>
    </row>
    <row r="1095" spans="1:13" x14ac:dyDescent="0.3">
      <c r="A1095" s="3">
        <v>43591</v>
      </c>
      <c r="B1095" s="8">
        <v>10.37</v>
      </c>
      <c r="C1095" s="8">
        <v>142.09</v>
      </c>
      <c r="D1095" s="8">
        <v>115.09</v>
      </c>
      <c r="E1095">
        <v>8.9999999999999992E-5</v>
      </c>
      <c r="G1095">
        <f t="shared" si="107"/>
        <v>99.655168962278893</v>
      </c>
      <c r="H1095">
        <f t="shared" si="108"/>
        <v>-9.1020380191230155E-3</v>
      </c>
      <c r="I1095">
        <f t="shared" si="109"/>
        <v>-9.1920380191230153E-3</v>
      </c>
      <c r="K1095">
        <f t="shared" si="110"/>
        <v>-3.842459173871382E-3</v>
      </c>
      <c r="L1095">
        <f t="shared" si="111"/>
        <v>5.6334060981622081E-4</v>
      </c>
      <c r="M1095">
        <f t="shared" si="112"/>
        <v>-8.8701343437822544E-3</v>
      </c>
    </row>
    <row r="1096" spans="1:13" x14ac:dyDescent="0.3">
      <c r="A1096" s="3">
        <v>43592</v>
      </c>
      <c r="B1096" s="8">
        <v>10.38</v>
      </c>
      <c r="C1096" s="8">
        <v>139.97</v>
      </c>
      <c r="D1096" s="8">
        <v>113.21</v>
      </c>
      <c r="E1096">
        <v>8.9999999999999992E-5</v>
      </c>
      <c r="G1096">
        <f t="shared" si="107"/>
        <v>98.621215594960859</v>
      </c>
      <c r="H1096">
        <f t="shared" si="108"/>
        <v>-1.0375310965650031E-2</v>
      </c>
      <c r="I1096">
        <f t="shared" si="109"/>
        <v>-1.0465310965650031E-2</v>
      </c>
      <c r="K1096">
        <f t="shared" si="110"/>
        <v>9.6432015429126494E-4</v>
      </c>
      <c r="L1096">
        <f t="shared" si="111"/>
        <v>-1.4920121050038704E-2</v>
      </c>
      <c r="M1096">
        <f t="shared" si="112"/>
        <v>-1.6335042140933287E-2</v>
      </c>
    </row>
    <row r="1097" spans="1:13" x14ac:dyDescent="0.3">
      <c r="A1097" s="3">
        <v>43593</v>
      </c>
      <c r="B1097" s="8">
        <v>10.34</v>
      </c>
      <c r="C1097" s="8">
        <v>139.79</v>
      </c>
      <c r="D1097" s="8">
        <v>112.61</v>
      </c>
      <c r="E1097">
        <v>8.9999999999999992E-5</v>
      </c>
      <c r="G1097">
        <f t="shared" si="107"/>
        <v>99.693445257028273</v>
      </c>
      <c r="H1097">
        <f t="shared" si="108"/>
        <v>1.0872200830205569E-2</v>
      </c>
      <c r="I1097">
        <f t="shared" si="109"/>
        <v>1.078220083020557E-2</v>
      </c>
      <c r="K1097">
        <f t="shared" si="110"/>
        <v>-3.8535645472062008E-3</v>
      </c>
      <c r="L1097">
        <f t="shared" si="111"/>
        <v>-1.2859898549689719E-3</v>
      </c>
      <c r="M1097">
        <f t="shared" si="112"/>
        <v>-5.2998851691545834E-3</v>
      </c>
    </row>
    <row r="1098" spans="1:13" x14ac:dyDescent="0.3">
      <c r="A1098" s="3">
        <v>43594</v>
      </c>
      <c r="B1098" s="8">
        <v>10.199999999999999</v>
      </c>
      <c r="C1098" s="8">
        <v>138.72999999999999</v>
      </c>
      <c r="D1098" s="8">
        <v>112.52</v>
      </c>
      <c r="E1098">
        <v>8.9999999999999992E-5</v>
      </c>
      <c r="G1098">
        <f t="shared" si="107"/>
        <v>99.434563765584528</v>
      </c>
      <c r="H1098">
        <f t="shared" si="108"/>
        <v>-2.5967754527521647E-3</v>
      </c>
      <c r="I1098">
        <f t="shared" si="109"/>
        <v>-2.6867754527521645E-3</v>
      </c>
      <c r="K1098">
        <f t="shared" si="110"/>
        <v>-1.3539651837524258E-2</v>
      </c>
      <c r="L1098">
        <f t="shared" si="111"/>
        <v>-7.5828027755919791E-3</v>
      </c>
      <c r="M1098">
        <f t="shared" si="112"/>
        <v>-7.9921854187015029E-4</v>
      </c>
    </row>
    <row r="1099" spans="1:13" x14ac:dyDescent="0.3">
      <c r="A1099" s="3">
        <v>43595</v>
      </c>
      <c r="B1099" s="8">
        <v>10.38</v>
      </c>
      <c r="C1099" s="8">
        <v>139.05000000000001</v>
      </c>
      <c r="D1099" s="8">
        <v>112.51</v>
      </c>
      <c r="E1099">
        <v>8.9999999999999992E-5</v>
      </c>
      <c r="G1099">
        <f t="shared" si="107"/>
        <v>100.30128947852357</v>
      </c>
      <c r="H1099">
        <f t="shared" si="108"/>
        <v>8.7165436254372786E-3</v>
      </c>
      <c r="I1099">
        <f t="shared" si="109"/>
        <v>8.6265436254372788E-3</v>
      </c>
      <c r="K1099">
        <f t="shared" si="110"/>
        <v>1.7647058823529571E-2</v>
      </c>
      <c r="L1099">
        <f t="shared" si="111"/>
        <v>2.3066387947814349E-3</v>
      </c>
      <c r="M1099">
        <f t="shared" si="112"/>
        <v>-8.8873089228447277E-5</v>
      </c>
    </row>
    <row r="1100" spans="1:13" x14ac:dyDescent="0.3">
      <c r="A1100" s="3">
        <v>43598</v>
      </c>
      <c r="B1100" s="8">
        <v>10.08</v>
      </c>
      <c r="C1100" s="8">
        <v>137.19999999999999</v>
      </c>
      <c r="D1100" s="8">
        <v>109.45</v>
      </c>
      <c r="E1100">
        <v>8.9999999999999992E-5</v>
      </c>
      <c r="G1100">
        <f t="shared" si="107"/>
        <v>97.98327303088648</v>
      </c>
      <c r="H1100">
        <f t="shared" si="108"/>
        <v>-2.3110534866387922E-2</v>
      </c>
      <c r="I1100">
        <f t="shared" si="109"/>
        <v>-2.3200534866387922E-2</v>
      </c>
      <c r="K1100">
        <f t="shared" si="110"/>
        <v>-2.8901734104046284E-2</v>
      </c>
      <c r="L1100">
        <f t="shared" si="111"/>
        <v>-1.3304566702625142E-2</v>
      </c>
      <c r="M1100">
        <f t="shared" si="112"/>
        <v>-2.7197582437116674E-2</v>
      </c>
    </row>
    <row r="1101" spans="1:13" x14ac:dyDescent="0.3">
      <c r="A1101" s="3">
        <v>43599</v>
      </c>
      <c r="B1101" s="8">
        <v>10.24</v>
      </c>
      <c r="C1101" s="8">
        <v>136.82</v>
      </c>
      <c r="D1101" s="8">
        <v>110.32</v>
      </c>
      <c r="E1101">
        <v>8.9999999999999992E-5</v>
      </c>
      <c r="G1101">
        <f t="shared" si="107"/>
        <v>100.32176047823009</v>
      </c>
      <c r="H1101">
        <f t="shared" si="108"/>
        <v>2.3866190371151008E-2</v>
      </c>
      <c r="I1101">
        <f t="shared" si="109"/>
        <v>2.3776190371151008E-2</v>
      </c>
      <c r="K1101">
        <f t="shared" si="110"/>
        <v>1.5873015873015817E-2</v>
      </c>
      <c r="L1101">
        <f t="shared" si="111"/>
        <v>-2.7696793002914832E-3</v>
      </c>
      <c r="M1101">
        <f t="shared" si="112"/>
        <v>7.9488350845133837E-3</v>
      </c>
    </row>
    <row r="1102" spans="1:13" x14ac:dyDescent="0.3">
      <c r="A1102" s="3">
        <v>43600</v>
      </c>
      <c r="B1102" s="8">
        <v>10.36</v>
      </c>
      <c r="C1102" s="8">
        <v>136.91</v>
      </c>
      <c r="D1102" s="8">
        <v>109.9</v>
      </c>
      <c r="E1102">
        <v>8.9999999999999992E-5</v>
      </c>
      <c r="G1102">
        <f t="shared" si="107"/>
        <v>100.01368225056612</v>
      </c>
      <c r="H1102">
        <f t="shared" si="108"/>
        <v>-3.0709013298348964E-3</v>
      </c>
      <c r="I1102">
        <f t="shared" si="109"/>
        <v>-3.1609013298348962E-3</v>
      </c>
      <c r="K1102">
        <f t="shared" si="110"/>
        <v>1.171875E-2</v>
      </c>
      <c r="L1102">
        <f t="shared" si="111"/>
        <v>6.5779856746095433E-4</v>
      </c>
      <c r="M1102">
        <f t="shared" si="112"/>
        <v>-3.8071065989846442E-3</v>
      </c>
    </row>
    <row r="1103" spans="1:13" x14ac:dyDescent="0.3">
      <c r="A1103" s="3">
        <v>43601</v>
      </c>
      <c r="B1103" s="8">
        <v>10.4</v>
      </c>
      <c r="C1103" s="8">
        <v>138.21</v>
      </c>
      <c r="D1103" s="8">
        <v>111.31</v>
      </c>
      <c r="E1103">
        <v>8.9999999999999992E-5</v>
      </c>
      <c r="G1103">
        <f t="shared" si="107"/>
        <v>101.01596303867414</v>
      </c>
      <c r="H1103">
        <f t="shared" si="108"/>
        <v>1.0021436722997379E-2</v>
      </c>
      <c r="I1103">
        <f t="shared" si="109"/>
        <v>9.9314367229973791E-3</v>
      </c>
      <c r="K1103">
        <f t="shared" si="110"/>
        <v>3.8610038610038533E-3</v>
      </c>
      <c r="L1103">
        <f t="shared" si="111"/>
        <v>9.4952888759038956E-3</v>
      </c>
      <c r="M1103">
        <f t="shared" si="112"/>
        <v>1.2829845313921728E-2</v>
      </c>
    </row>
    <row r="1104" spans="1:13" x14ac:dyDescent="0.3">
      <c r="A1104" s="3">
        <v>43602</v>
      </c>
      <c r="B1104" s="8">
        <v>10.29</v>
      </c>
      <c r="C1104" s="8">
        <v>138.61000000000001</v>
      </c>
      <c r="D1104" s="8">
        <v>110.77</v>
      </c>
      <c r="E1104">
        <v>8.9999999999999992E-5</v>
      </c>
      <c r="G1104">
        <f t="shared" si="107"/>
        <v>99.85676505428907</v>
      </c>
      <c r="H1104">
        <f t="shared" si="108"/>
        <v>-1.1475394081441048E-2</v>
      </c>
      <c r="I1104">
        <f t="shared" si="109"/>
        <v>-1.1565394081441048E-2</v>
      </c>
      <c r="K1104">
        <f t="shared" si="110"/>
        <v>-1.057692307692315E-2</v>
      </c>
      <c r="L1104">
        <f t="shared" si="111"/>
        <v>2.8941465885248263E-3</v>
      </c>
      <c r="M1104">
        <f t="shared" si="112"/>
        <v>-4.851316144102058E-3</v>
      </c>
    </row>
    <row r="1105" spans="1:13" x14ac:dyDescent="0.3">
      <c r="A1105" s="3">
        <v>43605</v>
      </c>
      <c r="B1105" s="8">
        <v>10.28</v>
      </c>
      <c r="C1105" s="8">
        <v>138.41999999999999</v>
      </c>
      <c r="D1105" s="8">
        <v>111.35</v>
      </c>
      <c r="E1105">
        <v>8.9999999999999992E-5</v>
      </c>
      <c r="G1105">
        <f t="shared" si="107"/>
        <v>100.11572734105431</v>
      </c>
      <c r="H1105">
        <f t="shared" si="108"/>
        <v>2.5933374331168491E-3</v>
      </c>
      <c r="I1105">
        <f t="shared" si="109"/>
        <v>2.5033374331168493E-3</v>
      </c>
      <c r="K1105">
        <f t="shared" si="110"/>
        <v>-9.7181729834794339E-4</v>
      </c>
      <c r="L1105">
        <f t="shared" si="111"/>
        <v>-1.3707524709618557E-3</v>
      </c>
      <c r="M1105">
        <f t="shared" si="112"/>
        <v>5.2360747494808457E-3</v>
      </c>
    </row>
    <row r="1106" spans="1:13" x14ac:dyDescent="0.3">
      <c r="A1106" s="3">
        <v>43606</v>
      </c>
      <c r="B1106" s="8">
        <v>10.24</v>
      </c>
      <c r="C1106" s="8">
        <v>138.12</v>
      </c>
      <c r="D1106" s="8">
        <v>111.73</v>
      </c>
      <c r="E1106">
        <v>8.9999999999999992E-5</v>
      </c>
      <c r="G1106">
        <f t="shared" si="107"/>
        <v>99.975183516800357</v>
      </c>
      <c r="H1106">
        <f t="shared" si="108"/>
        <v>-1.4038136463332407E-3</v>
      </c>
      <c r="I1106">
        <f t="shared" si="109"/>
        <v>-1.4938136463332407E-3</v>
      </c>
      <c r="K1106">
        <f t="shared" si="110"/>
        <v>-3.8910505836574627E-3</v>
      </c>
      <c r="L1106">
        <f t="shared" si="111"/>
        <v>-2.1673168617251104E-3</v>
      </c>
      <c r="M1106">
        <f t="shared" si="112"/>
        <v>3.4126627750337146E-3</v>
      </c>
    </row>
    <row r="1107" spans="1:13" x14ac:dyDescent="0.3">
      <c r="A1107" s="3">
        <v>43607</v>
      </c>
      <c r="B1107" s="8">
        <v>9.9700000000000006</v>
      </c>
      <c r="C1107" s="8">
        <v>138.76</v>
      </c>
      <c r="D1107" s="8">
        <v>110.82</v>
      </c>
      <c r="E1107">
        <v>8.9999999999999992E-5</v>
      </c>
      <c r="G1107">
        <f t="shared" si="107"/>
        <v>99.657609245660666</v>
      </c>
      <c r="H1107">
        <f t="shared" si="108"/>
        <v>-3.1765310146825154E-3</v>
      </c>
      <c r="I1107">
        <f t="shared" si="109"/>
        <v>-3.2665310146825152E-3</v>
      </c>
      <c r="K1107">
        <f t="shared" si="110"/>
        <v>-2.63671875E-2</v>
      </c>
      <c r="L1107">
        <f t="shared" si="111"/>
        <v>4.6336518969012364E-3</v>
      </c>
      <c r="M1107">
        <f t="shared" si="112"/>
        <v>-8.1446343864675086E-3</v>
      </c>
    </row>
    <row r="1108" spans="1:13" x14ac:dyDescent="0.3">
      <c r="A1108" s="3">
        <v>43608</v>
      </c>
      <c r="B1108" s="8">
        <v>9.85</v>
      </c>
      <c r="C1108" s="8">
        <v>139.79</v>
      </c>
      <c r="D1108" s="8">
        <v>108.64</v>
      </c>
      <c r="E1108">
        <v>8.9999999999999992E-5</v>
      </c>
      <c r="G1108">
        <f t="shared" si="107"/>
        <v>99.518763058526233</v>
      </c>
      <c r="H1108">
        <f t="shared" si="108"/>
        <v>-1.3932321694790639E-3</v>
      </c>
      <c r="I1108">
        <f t="shared" si="109"/>
        <v>-1.4832321694790639E-3</v>
      </c>
      <c r="K1108">
        <f t="shared" si="110"/>
        <v>-1.2036108324975037E-2</v>
      </c>
      <c r="L1108">
        <f t="shared" si="111"/>
        <v>7.4228884404727857E-3</v>
      </c>
      <c r="M1108">
        <f t="shared" si="112"/>
        <v>-1.9671539433315233E-2</v>
      </c>
    </row>
    <row r="1109" spans="1:13" x14ac:dyDescent="0.3">
      <c r="A1109" s="3">
        <v>43609</v>
      </c>
      <c r="B1109" s="8">
        <v>9.83</v>
      </c>
      <c r="C1109" s="8">
        <v>138.85</v>
      </c>
      <c r="D1109" s="8">
        <v>109.71</v>
      </c>
      <c r="E1109">
        <v>8.9999999999999992E-5</v>
      </c>
      <c r="G1109">
        <f t="shared" si="107"/>
        <v>100.00043062454635</v>
      </c>
      <c r="H1109">
        <f t="shared" si="108"/>
        <v>4.8399673711463365E-3</v>
      </c>
      <c r="I1109">
        <f t="shared" si="109"/>
        <v>4.7499673711463367E-3</v>
      </c>
      <c r="K1109">
        <f t="shared" si="110"/>
        <v>-2.0304568527917954E-3</v>
      </c>
      <c r="L1109">
        <f t="shared" si="111"/>
        <v>-6.7243722726947341E-3</v>
      </c>
      <c r="M1109">
        <f t="shared" si="112"/>
        <v>9.8490427098674171E-3</v>
      </c>
    </row>
    <row r="1110" spans="1:13" x14ac:dyDescent="0.3">
      <c r="A1110" s="3">
        <v>43613</v>
      </c>
      <c r="B1110" s="8">
        <v>9.7799999999999994</v>
      </c>
      <c r="C1110" s="8">
        <v>137.07</v>
      </c>
      <c r="D1110" s="8">
        <v>108.52</v>
      </c>
      <c r="E1110">
        <v>8.9999999999999992E-5</v>
      </c>
      <c r="G1110">
        <f t="shared" si="107"/>
        <v>98.873324851895887</v>
      </c>
      <c r="H1110">
        <f t="shared" si="108"/>
        <v>-1.1271009190772507E-2</v>
      </c>
      <c r="I1110">
        <f t="shared" si="109"/>
        <v>-1.1361009190772507E-2</v>
      </c>
      <c r="K1110">
        <f t="shared" si="110"/>
        <v>-5.0864699898270915E-3</v>
      </c>
      <c r="L1110">
        <f t="shared" si="111"/>
        <v>-1.2819589485055793E-2</v>
      </c>
      <c r="M1110">
        <f t="shared" si="112"/>
        <v>-1.0846777868927182E-2</v>
      </c>
    </row>
    <row r="1111" spans="1:13" x14ac:dyDescent="0.3">
      <c r="A1111" s="3">
        <v>43614</v>
      </c>
      <c r="B1111" s="8">
        <v>9.7100000000000009</v>
      </c>
      <c r="C1111" s="8">
        <v>131.33000000000001</v>
      </c>
      <c r="D1111" s="8">
        <v>108.22</v>
      </c>
      <c r="E1111">
        <v>8.9999999999999992E-5</v>
      </c>
      <c r="G1111">
        <f t="shared" si="107"/>
        <v>97.648043758005471</v>
      </c>
      <c r="H1111">
        <f t="shared" si="108"/>
        <v>-1.2392433406338776E-2</v>
      </c>
      <c r="I1111">
        <f t="shared" si="109"/>
        <v>-1.2482433406338776E-2</v>
      </c>
      <c r="K1111">
        <f t="shared" si="110"/>
        <v>-7.1574642126788213E-3</v>
      </c>
      <c r="L1111">
        <f t="shared" si="111"/>
        <v>-4.1876413511344412E-2</v>
      </c>
      <c r="M1111">
        <f t="shared" si="112"/>
        <v>-2.7644673792849295E-3</v>
      </c>
    </row>
    <row r="1112" spans="1:13" x14ac:dyDescent="0.3">
      <c r="A1112" s="3">
        <v>43615</v>
      </c>
      <c r="B1112" s="8">
        <v>9.74</v>
      </c>
      <c r="C1112" s="8">
        <v>132.11000000000001</v>
      </c>
      <c r="D1112" s="8">
        <v>107.06</v>
      </c>
      <c r="E1112">
        <v>8.9999999999999992E-5</v>
      </c>
      <c r="G1112">
        <f t="shared" si="107"/>
        <v>99.93719589884023</v>
      </c>
      <c r="H1112">
        <f t="shared" si="108"/>
        <v>2.3442887872979989E-2</v>
      </c>
      <c r="I1112">
        <f t="shared" si="109"/>
        <v>2.335288787297999E-2</v>
      </c>
      <c r="K1112">
        <f t="shared" si="110"/>
        <v>3.0895983522141179E-3</v>
      </c>
      <c r="L1112">
        <f t="shared" si="111"/>
        <v>5.9392370364730329E-3</v>
      </c>
      <c r="M1112">
        <f t="shared" si="112"/>
        <v>-1.0718905932360023E-2</v>
      </c>
    </row>
    <row r="1113" spans="1:13" x14ac:dyDescent="0.3">
      <c r="A1113" s="3">
        <v>43616</v>
      </c>
      <c r="B1113" s="8">
        <v>9.52</v>
      </c>
      <c r="C1113" s="8">
        <v>131.15</v>
      </c>
      <c r="D1113" s="8">
        <v>105.96</v>
      </c>
      <c r="E1113">
        <v>8.9999999999999992E-5</v>
      </c>
      <c r="G1113">
        <f t="shared" si="107"/>
        <v>98.999577539740386</v>
      </c>
      <c r="H1113">
        <f t="shared" si="108"/>
        <v>-9.3820759194497283E-3</v>
      </c>
      <c r="I1113">
        <f t="shared" si="109"/>
        <v>-9.4720759194497281E-3</v>
      </c>
      <c r="K1113">
        <f t="shared" si="110"/>
        <v>-2.2587268993839893E-2</v>
      </c>
      <c r="L1113">
        <f t="shared" si="111"/>
        <v>-7.266671712966577E-3</v>
      </c>
      <c r="M1113">
        <f t="shared" si="112"/>
        <v>-1.0274612366897196E-2</v>
      </c>
    </row>
    <row r="1114" spans="1:13" x14ac:dyDescent="0.3">
      <c r="A1114" s="3">
        <v>43619</v>
      </c>
      <c r="B1114" s="8">
        <v>9.61</v>
      </c>
      <c r="C1114" s="8">
        <v>131.44</v>
      </c>
      <c r="D1114" s="8">
        <v>106.46</v>
      </c>
      <c r="E1114">
        <v>8.9999999999999992E-5</v>
      </c>
      <c r="G1114">
        <f t="shared" si="107"/>
        <v>100.3913864871483</v>
      </c>
      <c r="H1114">
        <f t="shared" si="108"/>
        <v>1.4058736228942159E-2</v>
      </c>
      <c r="I1114">
        <f t="shared" si="109"/>
        <v>1.3968736228942159E-2</v>
      </c>
      <c r="K1114">
        <f t="shared" si="110"/>
        <v>9.4537815126050084E-3</v>
      </c>
      <c r="L1114">
        <f t="shared" si="111"/>
        <v>2.211208539839804E-3</v>
      </c>
      <c r="M1114">
        <f t="shared" si="112"/>
        <v>4.7187617969044471E-3</v>
      </c>
    </row>
    <row r="1115" spans="1:13" x14ac:dyDescent="0.3">
      <c r="A1115" s="3">
        <v>43620</v>
      </c>
      <c r="B1115" s="8">
        <v>9.92</v>
      </c>
      <c r="C1115" s="8">
        <v>133.72999999999999</v>
      </c>
      <c r="D1115" s="8">
        <v>109.74</v>
      </c>
      <c r="E1115">
        <v>8.9999999999999992E-5</v>
      </c>
      <c r="G1115">
        <f t="shared" si="107"/>
        <v>102.40149863753354</v>
      </c>
      <c r="H1115">
        <f t="shared" si="108"/>
        <v>2.0022755145856719E-2</v>
      </c>
      <c r="I1115">
        <f t="shared" si="109"/>
        <v>1.9932755145856719E-2</v>
      </c>
      <c r="K1115">
        <f t="shared" si="110"/>
        <v>3.2258064516129004E-2</v>
      </c>
      <c r="L1115">
        <f t="shared" si="111"/>
        <v>1.7422398052343135E-2</v>
      </c>
      <c r="M1115">
        <f t="shared" si="112"/>
        <v>3.0809693781701952E-2</v>
      </c>
    </row>
    <row r="1116" spans="1:13" x14ac:dyDescent="0.3">
      <c r="A1116" s="3">
        <v>43621</v>
      </c>
      <c r="B1116" s="8">
        <v>9.7799999999999994</v>
      </c>
      <c r="C1116" s="8">
        <v>134.38</v>
      </c>
      <c r="D1116" s="8">
        <v>110.13</v>
      </c>
      <c r="E1116">
        <v>8.9999999999999992E-5</v>
      </c>
      <c r="G1116">
        <f t="shared" si="107"/>
        <v>100.23803600456193</v>
      </c>
      <c r="H1116">
        <f t="shared" si="108"/>
        <v>-2.1127255574935666E-2</v>
      </c>
      <c r="I1116">
        <f t="shared" si="109"/>
        <v>-2.1217255574935666E-2</v>
      </c>
      <c r="K1116">
        <f t="shared" si="110"/>
        <v>-1.4112903225806495E-2</v>
      </c>
      <c r="L1116">
        <f t="shared" si="111"/>
        <v>4.8605398938159627E-3</v>
      </c>
      <c r="M1116">
        <f t="shared" si="112"/>
        <v>3.5538545653361897E-3</v>
      </c>
    </row>
    <row r="1117" spans="1:13" x14ac:dyDescent="0.3">
      <c r="A1117" s="3">
        <v>43622</v>
      </c>
      <c r="B1117" s="8">
        <v>9.75</v>
      </c>
      <c r="C1117" s="8">
        <v>136.68</v>
      </c>
      <c r="D1117" s="8">
        <v>110.37</v>
      </c>
      <c r="E1117">
        <v>8.9999999999999992E-5</v>
      </c>
      <c r="G1117">
        <f t="shared" si="107"/>
        <v>100.93796840742948</v>
      </c>
      <c r="H1117">
        <f t="shared" si="108"/>
        <v>6.982702682200248E-3</v>
      </c>
      <c r="I1117">
        <f t="shared" si="109"/>
        <v>6.8927026822002482E-3</v>
      </c>
      <c r="K1117">
        <f t="shared" si="110"/>
        <v>-3.0674846625766694E-3</v>
      </c>
      <c r="L1117">
        <f t="shared" si="111"/>
        <v>1.7115642208662019E-2</v>
      </c>
      <c r="M1117">
        <f t="shared" si="112"/>
        <v>2.1792427131572811E-3</v>
      </c>
    </row>
    <row r="1118" spans="1:13" x14ac:dyDescent="0.3">
      <c r="A1118" s="3">
        <v>43623</v>
      </c>
      <c r="B1118" s="8">
        <v>9.76</v>
      </c>
      <c r="C1118" s="8">
        <v>138.55000000000001</v>
      </c>
      <c r="D1118" s="8">
        <v>109.16</v>
      </c>
      <c r="E1118">
        <v>8.9999999999999992E-5</v>
      </c>
      <c r="G1118">
        <f t="shared" si="107"/>
        <v>100.30811607124721</v>
      </c>
      <c r="H1118">
        <f t="shared" si="108"/>
        <v>-6.23999418771648E-3</v>
      </c>
      <c r="I1118">
        <f t="shared" si="109"/>
        <v>-6.3299941877164798E-3</v>
      </c>
      <c r="K1118">
        <f t="shared" si="110"/>
        <v>1.0256410256410664E-3</v>
      </c>
      <c r="L1118">
        <f t="shared" si="111"/>
        <v>1.3681592039801016E-2</v>
      </c>
      <c r="M1118">
        <f t="shared" si="112"/>
        <v>-1.096312403732902E-2</v>
      </c>
    </row>
    <row r="1119" spans="1:13" x14ac:dyDescent="0.3">
      <c r="A1119" s="3">
        <v>43626</v>
      </c>
      <c r="B1119" s="8">
        <v>9.82</v>
      </c>
      <c r="C1119" s="8">
        <v>139.02000000000001</v>
      </c>
      <c r="D1119" s="8">
        <v>110.34</v>
      </c>
      <c r="E1119">
        <v>8.9999999999999992E-5</v>
      </c>
      <c r="G1119">
        <f t="shared" si="107"/>
        <v>100.64723324784212</v>
      </c>
      <c r="H1119">
        <f t="shared" si="108"/>
        <v>3.3807551161069149E-3</v>
      </c>
      <c r="I1119">
        <f t="shared" si="109"/>
        <v>3.2907551161069151E-3</v>
      </c>
      <c r="K1119">
        <f t="shared" si="110"/>
        <v>6.147540983606703E-3</v>
      </c>
      <c r="L1119">
        <f t="shared" si="111"/>
        <v>3.3922771562613363E-3</v>
      </c>
      <c r="M1119">
        <f t="shared" si="112"/>
        <v>1.0809820447050367E-2</v>
      </c>
    </row>
    <row r="1120" spans="1:13" x14ac:dyDescent="0.3">
      <c r="A1120" s="3">
        <v>43627</v>
      </c>
      <c r="B1120" s="8">
        <v>9.92</v>
      </c>
      <c r="C1120" s="8">
        <v>139.78</v>
      </c>
      <c r="D1120" s="8">
        <v>110.68</v>
      </c>
      <c r="E1120">
        <v>8.9999999999999992E-5</v>
      </c>
      <c r="G1120">
        <f t="shared" si="107"/>
        <v>100.50634643668334</v>
      </c>
      <c r="H1120">
        <f t="shared" si="108"/>
        <v>-1.3998080882346997E-3</v>
      </c>
      <c r="I1120">
        <f t="shared" si="109"/>
        <v>-1.4898080882346997E-3</v>
      </c>
      <c r="K1120">
        <f t="shared" si="110"/>
        <v>1.0183299389002087E-2</v>
      </c>
      <c r="L1120">
        <f t="shared" si="111"/>
        <v>5.4668393036971796E-3</v>
      </c>
      <c r="M1120">
        <f t="shared" si="112"/>
        <v>3.0813848105855079E-3</v>
      </c>
    </row>
    <row r="1121" spans="1:13" x14ac:dyDescent="0.3">
      <c r="A1121" s="3">
        <v>43628</v>
      </c>
      <c r="B1121" s="8">
        <v>9.85</v>
      </c>
      <c r="C1121" s="8">
        <v>141.68</v>
      </c>
      <c r="D1121" s="8">
        <v>109.27</v>
      </c>
      <c r="E1121">
        <v>8.9999999999999992E-5</v>
      </c>
      <c r="G1121">
        <f t="shared" si="107"/>
        <v>100.151961802342</v>
      </c>
      <c r="H1121">
        <f t="shared" si="108"/>
        <v>-3.5259926054977964E-3</v>
      </c>
      <c r="I1121">
        <f t="shared" si="109"/>
        <v>-3.6159926054977962E-3</v>
      </c>
      <c r="K1121">
        <f t="shared" si="110"/>
        <v>-7.0564516129032473E-3</v>
      </c>
      <c r="L1121">
        <f t="shared" si="111"/>
        <v>1.3592788667906808E-2</v>
      </c>
      <c r="M1121">
        <f t="shared" si="112"/>
        <v>-1.2739428984459789E-2</v>
      </c>
    </row>
    <row r="1122" spans="1:13" x14ac:dyDescent="0.3">
      <c r="A1122" s="3">
        <v>43629</v>
      </c>
      <c r="B1122" s="8">
        <v>10.06</v>
      </c>
      <c r="C1122" s="8">
        <v>140.71</v>
      </c>
      <c r="D1122" s="8">
        <v>109.54</v>
      </c>
      <c r="E1122">
        <v>8.9999999999999992E-5</v>
      </c>
      <c r="G1122">
        <f t="shared" si="107"/>
        <v>99.961168674265465</v>
      </c>
      <c r="H1122">
        <f t="shared" si="108"/>
        <v>-1.9050363531877279E-3</v>
      </c>
      <c r="I1122">
        <f t="shared" si="109"/>
        <v>-1.9950363531877277E-3</v>
      </c>
      <c r="K1122">
        <f t="shared" si="110"/>
        <v>2.1319796954314851E-2</v>
      </c>
      <c r="L1122">
        <f t="shared" si="111"/>
        <v>-6.8464144551101391E-3</v>
      </c>
      <c r="M1122">
        <f t="shared" si="112"/>
        <v>2.4709435343646113E-3</v>
      </c>
    </row>
    <row r="1123" spans="1:13" x14ac:dyDescent="0.3">
      <c r="A1123" s="3">
        <v>43630</v>
      </c>
      <c r="B1123" s="8">
        <v>9.98</v>
      </c>
      <c r="C1123" s="8">
        <v>140.09</v>
      </c>
      <c r="D1123" s="8">
        <v>109.82</v>
      </c>
      <c r="E1123">
        <v>8.9999999999999992E-5</v>
      </c>
      <c r="G1123">
        <f t="shared" si="107"/>
        <v>99.784214976851445</v>
      </c>
      <c r="H1123">
        <f t="shared" si="108"/>
        <v>-1.7702243757338199E-3</v>
      </c>
      <c r="I1123">
        <f t="shared" si="109"/>
        <v>-1.8602243757338199E-3</v>
      </c>
      <c r="K1123">
        <f t="shared" si="110"/>
        <v>-7.9522862823061535E-3</v>
      </c>
      <c r="L1123">
        <f t="shared" si="111"/>
        <v>-4.4062255703219977E-3</v>
      </c>
      <c r="M1123">
        <f t="shared" si="112"/>
        <v>2.5561438743837428E-3</v>
      </c>
    </row>
    <row r="1124" spans="1:13" x14ac:dyDescent="0.3">
      <c r="A1124" s="3">
        <v>43633</v>
      </c>
      <c r="B1124" s="8">
        <v>10.050000000000001</v>
      </c>
      <c r="C1124" s="8">
        <v>139.44</v>
      </c>
      <c r="D1124" s="8">
        <v>109.22</v>
      </c>
      <c r="E1124">
        <v>8.9999999999999992E-5</v>
      </c>
      <c r="G1124">
        <f t="shared" si="107"/>
        <v>99.627154826191472</v>
      </c>
      <c r="H1124">
        <f t="shared" si="108"/>
        <v>-1.5739979584586949E-3</v>
      </c>
      <c r="I1124">
        <f t="shared" si="109"/>
        <v>-1.663997958458695E-3</v>
      </c>
      <c r="K1124">
        <f t="shared" si="110"/>
        <v>7.0140280561121759E-3</v>
      </c>
      <c r="L1124">
        <f t="shared" si="111"/>
        <v>-4.6398743664787245E-3</v>
      </c>
      <c r="M1124">
        <f t="shared" si="112"/>
        <v>-5.4634857038790008E-3</v>
      </c>
    </row>
    <row r="1125" spans="1:13" x14ac:dyDescent="0.3">
      <c r="A1125" s="3">
        <v>43634</v>
      </c>
      <c r="B1125" s="8">
        <v>10.1</v>
      </c>
      <c r="C1125" s="8">
        <v>140.22999999999999</v>
      </c>
      <c r="D1125" s="8">
        <v>110.71</v>
      </c>
      <c r="E1125">
        <v>8.9999999999999992E-5</v>
      </c>
      <c r="G1125">
        <f t="shared" si="107"/>
        <v>100.85948669393123</v>
      </c>
      <c r="H1125">
        <f t="shared" si="108"/>
        <v>1.2369437528249039E-2</v>
      </c>
      <c r="I1125">
        <f t="shared" si="109"/>
        <v>1.2279437528249039E-2</v>
      </c>
      <c r="K1125">
        <f t="shared" si="110"/>
        <v>4.9751243781093191E-3</v>
      </c>
      <c r="L1125">
        <f t="shared" si="111"/>
        <v>5.6655192197361259E-3</v>
      </c>
      <c r="M1125">
        <f t="shared" si="112"/>
        <v>1.3642190075077831E-2</v>
      </c>
    </row>
    <row r="1126" spans="1:13" x14ac:dyDescent="0.3">
      <c r="A1126" s="3">
        <v>43635</v>
      </c>
      <c r="B1126" s="8">
        <v>10.039999999999999</v>
      </c>
      <c r="C1126" s="8">
        <v>140.44999999999999</v>
      </c>
      <c r="D1126" s="8">
        <v>109.91</v>
      </c>
      <c r="E1126">
        <v>8.9999999999999992E-5</v>
      </c>
      <c r="G1126">
        <f t="shared" si="107"/>
        <v>99.747221917246819</v>
      </c>
      <c r="H1126">
        <f t="shared" si="108"/>
        <v>-1.1027864736806503E-2</v>
      </c>
      <c r="I1126">
        <f t="shared" si="109"/>
        <v>-1.1117864736806503E-2</v>
      </c>
      <c r="K1126">
        <f t="shared" si="110"/>
        <v>-5.9405940594059459E-3</v>
      </c>
      <c r="L1126">
        <f t="shared" si="111"/>
        <v>1.5688511730727051E-3</v>
      </c>
      <c r="M1126">
        <f t="shared" si="112"/>
        <v>-7.2260861710775615E-3</v>
      </c>
    </row>
    <row r="1127" spans="1:13" x14ac:dyDescent="0.3">
      <c r="A1127" s="3">
        <v>43636</v>
      </c>
      <c r="B1127" s="8">
        <v>10.039999999999999</v>
      </c>
      <c r="C1127" s="8">
        <v>142.21</v>
      </c>
      <c r="D1127" s="8">
        <v>110.19</v>
      </c>
      <c r="E1127">
        <v>8.9999999999999992E-5</v>
      </c>
      <c r="G1127">
        <f t="shared" si="107"/>
        <v>100.7460921561278</v>
      </c>
      <c r="H1127">
        <f t="shared" si="108"/>
        <v>1.0014015625514627E-2</v>
      </c>
      <c r="I1127">
        <f t="shared" si="109"/>
        <v>9.9240156255146275E-3</v>
      </c>
      <c r="K1127">
        <f t="shared" si="110"/>
        <v>0</v>
      </c>
      <c r="L1127">
        <f t="shared" si="111"/>
        <v>1.2531149875400605E-2</v>
      </c>
      <c r="M1127">
        <f t="shared" si="112"/>
        <v>2.5475388954598888E-3</v>
      </c>
    </row>
    <row r="1128" spans="1:13" x14ac:dyDescent="0.3">
      <c r="A1128" s="3">
        <v>43637</v>
      </c>
      <c r="B1128" s="8">
        <v>9.99</v>
      </c>
      <c r="C1128" s="8">
        <v>142.09</v>
      </c>
      <c r="D1128" s="8">
        <v>109.44</v>
      </c>
      <c r="E1128">
        <v>8.9999999999999992E-5</v>
      </c>
      <c r="G1128">
        <f t="shared" si="107"/>
        <v>99.647889984246206</v>
      </c>
      <c r="H1128">
        <f t="shared" si="108"/>
        <v>-1.0900692507057164E-2</v>
      </c>
      <c r="I1128">
        <f t="shared" si="109"/>
        <v>-1.0990692507057163E-2</v>
      </c>
      <c r="K1128">
        <f t="shared" si="110"/>
        <v>-4.980079681274785E-3</v>
      </c>
      <c r="L1128">
        <f t="shared" si="111"/>
        <v>-8.4382251599746105E-4</v>
      </c>
      <c r="M1128">
        <f t="shared" si="112"/>
        <v>-6.8064252654506108E-3</v>
      </c>
    </row>
    <row r="1129" spans="1:13" x14ac:dyDescent="0.3">
      <c r="A1129" s="3">
        <v>43640</v>
      </c>
      <c r="B1129" s="8">
        <v>9.9499999999999993</v>
      </c>
      <c r="C1129" s="8">
        <v>143.06</v>
      </c>
      <c r="D1129" s="8">
        <v>108.66</v>
      </c>
      <c r="E1129">
        <v>8.9999999999999992E-5</v>
      </c>
      <c r="G1129">
        <f t="shared" si="107"/>
        <v>100.0440603501614</v>
      </c>
      <c r="H1129">
        <f t="shared" si="108"/>
        <v>3.9757025058717588E-3</v>
      </c>
      <c r="I1129">
        <f t="shared" si="109"/>
        <v>3.885702505871759E-3</v>
      </c>
      <c r="K1129">
        <f t="shared" si="110"/>
        <v>-4.0040040040041358E-3</v>
      </c>
      <c r="L1129">
        <f t="shared" si="111"/>
        <v>6.8266591596874981E-3</v>
      </c>
      <c r="M1129">
        <f t="shared" si="112"/>
        <v>-7.1271929824561209E-3</v>
      </c>
    </row>
    <row r="1130" spans="1:13" x14ac:dyDescent="0.3">
      <c r="A1130" s="3">
        <v>43641</v>
      </c>
      <c r="B1130" s="8">
        <v>9.84</v>
      </c>
      <c r="C1130" s="8">
        <v>144.24</v>
      </c>
      <c r="D1130" s="8">
        <v>107.76</v>
      </c>
      <c r="E1130">
        <v>8.9999999999999992E-5</v>
      </c>
      <c r="G1130">
        <f t="shared" si="107"/>
        <v>100.00044435243835</v>
      </c>
      <c r="H1130">
        <f t="shared" si="108"/>
        <v>-4.3596788825239763E-4</v>
      </c>
      <c r="I1130">
        <f t="shared" si="109"/>
        <v>-5.2596788825239765E-4</v>
      </c>
      <c r="K1130">
        <f t="shared" si="110"/>
        <v>-1.1055276381909507E-2</v>
      </c>
      <c r="L1130">
        <f t="shared" si="111"/>
        <v>8.2482874318468014E-3</v>
      </c>
      <c r="M1130">
        <f t="shared" si="112"/>
        <v>-8.2827167310877137E-3</v>
      </c>
    </row>
    <row r="1131" spans="1:13" x14ac:dyDescent="0.3">
      <c r="A1131" s="3">
        <v>43642</v>
      </c>
      <c r="B1131" s="8">
        <v>9.91</v>
      </c>
      <c r="C1131" s="8">
        <v>141.85</v>
      </c>
      <c r="D1131" s="8">
        <v>108.48</v>
      </c>
      <c r="E1131">
        <v>8.9999999999999992E-5</v>
      </c>
      <c r="G1131">
        <f t="shared" si="107"/>
        <v>99.466210601898695</v>
      </c>
      <c r="H1131">
        <f t="shared" si="108"/>
        <v>-5.3423137666950282E-3</v>
      </c>
      <c r="I1131">
        <f t="shared" si="109"/>
        <v>-5.432313766695028E-3</v>
      </c>
      <c r="K1131">
        <f t="shared" si="110"/>
        <v>7.1138211382113514E-3</v>
      </c>
      <c r="L1131">
        <f t="shared" si="111"/>
        <v>-1.6569606211869203E-2</v>
      </c>
      <c r="M1131">
        <f t="shared" si="112"/>
        <v>6.6815144766145806E-3</v>
      </c>
    </row>
    <row r="1132" spans="1:13" x14ac:dyDescent="0.3">
      <c r="A1132" s="3">
        <v>43643</v>
      </c>
      <c r="B1132" s="8">
        <v>10.199999999999999</v>
      </c>
      <c r="C1132" s="8">
        <v>140.69</v>
      </c>
      <c r="D1132" s="8">
        <v>108.84</v>
      </c>
      <c r="E1132">
        <v>8.9999999999999992E-5</v>
      </c>
      <c r="G1132">
        <f t="shared" si="107"/>
        <v>100.00724047185767</v>
      </c>
      <c r="H1132">
        <f t="shared" si="108"/>
        <v>5.4393332839870467E-3</v>
      </c>
      <c r="I1132">
        <f t="shared" si="109"/>
        <v>5.3493332839870469E-3</v>
      </c>
      <c r="K1132">
        <f t="shared" si="110"/>
        <v>2.9263370332996974E-2</v>
      </c>
      <c r="L1132">
        <f t="shared" si="111"/>
        <v>-8.1776524497708669E-3</v>
      </c>
      <c r="M1132">
        <f t="shared" si="112"/>
        <v>3.3185840707965486E-3</v>
      </c>
    </row>
    <row r="1133" spans="1:13" x14ac:dyDescent="0.3">
      <c r="A1133" s="3">
        <v>43644</v>
      </c>
      <c r="B1133" s="8">
        <v>10.23</v>
      </c>
      <c r="C1133" s="8">
        <v>139.28</v>
      </c>
      <c r="D1133" s="8">
        <v>111.8</v>
      </c>
      <c r="E1133">
        <v>8.9999999999999992E-5</v>
      </c>
      <c r="G1133">
        <f t="shared" si="107"/>
        <v>100.53420229242391</v>
      </c>
      <c r="H1133">
        <f t="shared" si="108"/>
        <v>5.2692366880628949E-3</v>
      </c>
      <c r="I1133">
        <f t="shared" si="109"/>
        <v>5.1792366880628951E-3</v>
      </c>
      <c r="K1133">
        <f t="shared" si="110"/>
        <v>2.9411764705884469E-3</v>
      </c>
      <c r="L1133">
        <f t="shared" si="111"/>
        <v>-1.0022034259719925E-2</v>
      </c>
      <c r="M1133">
        <f t="shared" si="112"/>
        <v>2.7195883866225623E-2</v>
      </c>
    </row>
    <row r="1134" spans="1:13" x14ac:dyDescent="0.3">
      <c r="A1134" s="3">
        <v>43647</v>
      </c>
      <c r="B1134" s="8">
        <v>10.15</v>
      </c>
      <c r="C1134" s="8">
        <v>139.36000000000001</v>
      </c>
      <c r="D1134" s="8">
        <v>113.68</v>
      </c>
      <c r="E1134">
        <v>8.9999999999999992E-5</v>
      </c>
      <c r="G1134">
        <f t="shared" si="107"/>
        <v>100.58064070183201</v>
      </c>
      <c r="H1134">
        <f t="shared" si="108"/>
        <v>4.6191652541316408E-4</v>
      </c>
      <c r="I1134">
        <f t="shared" si="109"/>
        <v>3.7191652541316406E-4</v>
      </c>
      <c r="K1134">
        <f t="shared" si="110"/>
        <v>-7.82013685239491E-3</v>
      </c>
      <c r="L1134">
        <f t="shared" si="111"/>
        <v>5.7438253877095669E-4</v>
      </c>
      <c r="M1134">
        <f t="shared" si="112"/>
        <v>1.681574239713779E-2</v>
      </c>
    </row>
    <row r="1135" spans="1:13" x14ac:dyDescent="0.3">
      <c r="A1135" s="3">
        <v>43648</v>
      </c>
      <c r="B1135" s="8">
        <v>10.119999999999999</v>
      </c>
      <c r="C1135" s="8">
        <v>140.03</v>
      </c>
      <c r="D1135" s="8">
        <v>113.8</v>
      </c>
      <c r="E1135">
        <v>8.9999999999999992E-5</v>
      </c>
      <c r="G1135">
        <f t="shared" si="107"/>
        <v>100.25821218017028</v>
      </c>
      <c r="H1135">
        <f t="shared" si="108"/>
        <v>-3.2056717814868962E-3</v>
      </c>
      <c r="I1135">
        <f t="shared" si="109"/>
        <v>-3.295671781486896E-3</v>
      </c>
      <c r="K1135">
        <f t="shared" si="110"/>
        <v>-2.9556650246306271E-3</v>
      </c>
      <c r="L1135">
        <f t="shared" si="111"/>
        <v>4.8076923076922906E-3</v>
      </c>
      <c r="M1135">
        <f t="shared" si="112"/>
        <v>1.055594651653724E-3</v>
      </c>
    </row>
    <row r="1136" spans="1:13" x14ac:dyDescent="0.3">
      <c r="A1136" s="3">
        <v>43649</v>
      </c>
      <c r="B1136" s="8">
        <v>10.199999999999999</v>
      </c>
      <c r="C1136" s="8">
        <v>142.13999999999999</v>
      </c>
      <c r="D1136" s="8">
        <v>112.82</v>
      </c>
      <c r="E1136">
        <v>8.9999999999999992E-5</v>
      </c>
      <c r="G1136">
        <f t="shared" si="107"/>
        <v>100.54065440758187</v>
      </c>
      <c r="H1136">
        <f t="shared" si="108"/>
        <v>2.8171480547052319E-3</v>
      </c>
      <c r="I1136">
        <f t="shared" si="109"/>
        <v>2.7271480547052321E-3</v>
      </c>
      <c r="K1136">
        <f t="shared" si="110"/>
        <v>7.905138339920903E-3</v>
      </c>
      <c r="L1136">
        <f t="shared" si="111"/>
        <v>1.506819967149875E-2</v>
      </c>
      <c r="M1136">
        <f t="shared" si="112"/>
        <v>-8.6115992970123845E-3</v>
      </c>
    </row>
    <row r="1137" spans="1:13" x14ac:dyDescent="0.3">
      <c r="A1137" s="3">
        <v>43651</v>
      </c>
      <c r="B1137" s="8">
        <v>10.199999999999999</v>
      </c>
      <c r="C1137" s="8">
        <v>140.57</v>
      </c>
      <c r="D1137" s="8">
        <v>113.49</v>
      </c>
      <c r="E1137">
        <v>8.9999999999999992E-5</v>
      </c>
      <c r="G1137">
        <f t="shared" si="107"/>
        <v>99.650343501627759</v>
      </c>
      <c r="H1137">
        <f t="shared" si="108"/>
        <v>-8.8552328528206381E-3</v>
      </c>
      <c r="I1137">
        <f t="shared" si="109"/>
        <v>-8.9452328528206379E-3</v>
      </c>
      <c r="K1137">
        <f t="shared" si="110"/>
        <v>0</v>
      </c>
      <c r="L1137">
        <f t="shared" si="111"/>
        <v>-1.1045448149711534E-2</v>
      </c>
      <c r="M1137">
        <f t="shared" si="112"/>
        <v>5.9386633575606584E-3</v>
      </c>
    </row>
    <row r="1138" spans="1:13" x14ac:dyDescent="0.3">
      <c r="A1138" s="3">
        <v>43654</v>
      </c>
      <c r="B1138" s="8">
        <v>10.199999999999999</v>
      </c>
      <c r="C1138" s="8">
        <v>140.97</v>
      </c>
      <c r="D1138" s="8">
        <v>112.87</v>
      </c>
      <c r="E1138">
        <v>8.9999999999999992E-5</v>
      </c>
      <c r="G1138">
        <f t="shared" si="107"/>
        <v>99.942072768599388</v>
      </c>
      <c r="H1138">
        <f t="shared" si="108"/>
        <v>2.9275289649841607E-3</v>
      </c>
      <c r="I1138">
        <f t="shared" si="109"/>
        <v>2.8375289649841609E-3</v>
      </c>
      <c r="K1138">
        <f t="shared" si="110"/>
        <v>0</v>
      </c>
      <c r="L1138">
        <f t="shared" si="111"/>
        <v>2.8455573735506334E-3</v>
      </c>
      <c r="M1138">
        <f t="shared" si="112"/>
        <v>-5.463036390871312E-3</v>
      </c>
    </row>
    <row r="1139" spans="1:13" x14ac:dyDescent="0.3">
      <c r="A1139" s="3">
        <v>43655</v>
      </c>
      <c r="B1139" s="8">
        <v>10.14</v>
      </c>
      <c r="C1139" s="8">
        <v>141.41</v>
      </c>
      <c r="D1139" s="8">
        <v>113.35</v>
      </c>
      <c r="E1139">
        <v>8.9999999999999992E-5</v>
      </c>
      <c r="G1139">
        <f t="shared" si="107"/>
        <v>100.26034106180512</v>
      </c>
      <c r="H1139">
        <f t="shared" si="108"/>
        <v>3.1845276407527212E-3</v>
      </c>
      <c r="I1139">
        <f t="shared" si="109"/>
        <v>3.0945276407527214E-3</v>
      </c>
      <c r="K1139">
        <f t="shared" si="110"/>
        <v>-5.8823529411763387E-3</v>
      </c>
      <c r="L1139">
        <f t="shared" si="111"/>
        <v>3.121231467688057E-3</v>
      </c>
      <c r="M1139">
        <f t="shared" si="112"/>
        <v>4.2526800744218107E-3</v>
      </c>
    </row>
    <row r="1140" spans="1:13" x14ac:dyDescent="0.3">
      <c r="A1140" s="3">
        <v>43656</v>
      </c>
      <c r="B1140" s="8">
        <v>10.11</v>
      </c>
      <c r="C1140" s="8">
        <v>141.21</v>
      </c>
      <c r="D1140" s="8">
        <v>113.02</v>
      </c>
      <c r="E1140">
        <v>8.9999999999999992E-5</v>
      </c>
      <c r="G1140">
        <f t="shared" si="107"/>
        <v>99.786049166159785</v>
      </c>
      <c r="H1140">
        <f t="shared" si="108"/>
        <v>-4.7306032537128839E-3</v>
      </c>
      <c r="I1140">
        <f t="shared" si="109"/>
        <v>-4.8206032537128837E-3</v>
      </c>
      <c r="K1140">
        <f t="shared" si="110"/>
        <v>-2.9585798816569309E-3</v>
      </c>
      <c r="L1140">
        <f t="shared" si="111"/>
        <v>-1.4143271338660224E-3</v>
      </c>
      <c r="M1140">
        <f t="shared" si="112"/>
        <v>-2.911336568151679E-3</v>
      </c>
    </row>
    <row r="1141" spans="1:13" x14ac:dyDescent="0.3">
      <c r="A1141" s="3">
        <v>43657</v>
      </c>
      <c r="B1141" s="8">
        <v>10.19</v>
      </c>
      <c r="C1141" s="8">
        <v>140.11000000000001</v>
      </c>
      <c r="D1141" s="8">
        <v>114.1</v>
      </c>
      <c r="E1141">
        <v>8.9999999999999992E-5</v>
      </c>
      <c r="G1141">
        <f t="shared" si="107"/>
        <v>100.03832147829024</v>
      </c>
      <c r="H1141">
        <f t="shared" si="108"/>
        <v>2.5281320809724672E-3</v>
      </c>
      <c r="I1141">
        <f t="shared" si="109"/>
        <v>2.4381320809724674E-3</v>
      </c>
      <c r="K1141">
        <f t="shared" si="110"/>
        <v>7.9129574678535874E-3</v>
      </c>
      <c r="L1141">
        <f t="shared" si="111"/>
        <v>-7.7898165852275936E-3</v>
      </c>
      <c r="M1141">
        <f t="shared" si="112"/>
        <v>9.5558308264023228E-3</v>
      </c>
    </row>
    <row r="1142" spans="1:13" x14ac:dyDescent="0.3">
      <c r="A1142" s="3">
        <v>43658</v>
      </c>
      <c r="B1142" s="8">
        <v>10.49</v>
      </c>
      <c r="C1142" s="8">
        <v>134.30000000000001</v>
      </c>
      <c r="D1142" s="8">
        <v>115.3</v>
      </c>
      <c r="E1142">
        <v>8.9999999999999992E-5</v>
      </c>
      <c r="G1142">
        <f t="shared" si="107"/>
        <v>98.552621065984653</v>
      </c>
      <c r="H1142">
        <f t="shared" si="108"/>
        <v>-1.4851312880414635E-2</v>
      </c>
      <c r="I1142">
        <f t="shared" si="109"/>
        <v>-1.4941312880414635E-2</v>
      </c>
      <c r="K1142">
        <f t="shared" si="110"/>
        <v>2.9440628066732089E-2</v>
      </c>
      <c r="L1142">
        <f t="shared" si="111"/>
        <v>-4.1467418456926697E-2</v>
      </c>
      <c r="M1142">
        <f t="shared" si="112"/>
        <v>1.0517090271691565E-2</v>
      </c>
    </row>
    <row r="1143" spans="1:13" x14ac:dyDescent="0.3">
      <c r="A1143" s="3">
        <v>43661</v>
      </c>
      <c r="B1143" s="8">
        <v>10.42</v>
      </c>
      <c r="C1143" s="8">
        <v>134.71</v>
      </c>
      <c r="D1143" s="8">
        <v>113.9</v>
      </c>
      <c r="E1143">
        <v>8.9999999999999992E-5</v>
      </c>
      <c r="G1143">
        <f t="shared" si="107"/>
        <v>99.631549810476756</v>
      </c>
      <c r="H1143">
        <f t="shared" si="108"/>
        <v>1.0947742767487778E-2</v>
      </c>
      <c r="I1143">
        <f t="shared" si="109"/>
        <v>1.0857742767487778E-2</v>
      </c>
      <c r="K1143">
        <f t="shared" si="110"/>
        <v>-6.673021925643452E-3</v>
      </c>
      <c r="L1143">
        <f t="shared" si="111"/>
        <v>3.0528667163067791E-3</v>
      </c>
      <c r="M1143">
        <f t="shared" si="112"/>
        <v>-1.2142237640936582E-2</v>
      </c>
    </row>
    <row r="1144" spans="1:13" x14ac:dyDescent="0.3">
      <c r="A1144" s="3">
        <v>43662</v>
      </c>
      <c r="B1144" s="8">
        <v>10.51</v>
      </c>
      <c r="C1144" s="8">
        <v>132.5</v>
      </c>
      <c r="D1144" s="8">
        <v>115.12</v>
      </c>
      <c r="E1144">
        <v>8.9999999999999992E-5</v>
      </c>
      <c r="G1144">
        <f t="shared" si="107"/>
        <v>99.642325099616741</v>
      </c>
      <c r="H1144">
        <f t="shared" si="108"/>
        <v>1.0815137534736508E-4</v>
      </c>
      <c r="I1144">
        <f t="shared" si="109"/>
        <v>1.8151375347365083E-5</v>
      </c>
      <c r="K1144">
        <f t="shared" si="110"/>
        <v>8.6372360844528817E-3</v>
      </c>
      <c r="L1144">
        <f t="shared" si="111"/>
        <v>-1.6405612055526708E-2</v>
      </c>
      <c r="M1144">
        <f t="shared" si="112"/>
        <v>1.0711150131694547E-2</v>
      </c>
    </row>
    <row r="1145" spans="1:13" x14ac:dyDescent="0.3">
      <c r="A1145" s="3">
        <v>43663</v>
      </c>
      <c r="B1145" s="8">
        <v>10.33</v>
      </c>
      <c r="C1145" s="8">
        <v>131.86000000000001</v>
      </c>
      <c r="D1145" s="8">
        <v>113.99</v>
      </c>
      <c r="E1145">
        <v>8.9999999999999992E-5</v>
      </c>
      <c r="G1145">
        <f t="shared" si="107"/>
        <v>99.200497142139568</v>
      </c>
      <c r="H1145">
        <f t="shared" si="108"/>
        <v>-4.4341393783762229E-3</v>
      </c>
      <c r="I1145">
        <f t="shared" si="109"/>
        <v>-4.5241393783762227E-3</v>
      </c>
      <c r="K1145">
        <f t="shared" si="110"/>
        <v>-1.7126546146527089E-2</v>
      </c>
      <c r="L1145">
        <f t="shared" si="111"/>
        <v>-4.8301886792452287E-3</v>
      </c>
      <c r="M1145">
        <f t="shared" si="112"/>
        <v>-9.8158443363447478E-3</v>
      </c>
    </row>
    <row r="1146" spans="1:13" x14ac:dyDescent="0.3">
      <c r="A1146" s="3">
        <v>43664</v>
      </c>
      <c r="B1146" s="8">
        <v>10.26</v>
      </c>
      <c r="C1146" s="8">
        <v>132.07</v>
      </c>
      <c r="D1146" s="8">
        <v>114.67</v>
      </c>
      <c r="E1146">
        <v>8.9999999999999992E-5</v>
      </c>
      <c r="G1146">
        <f t="shared" si="107"/>
        <v>100.23610533020542</v>
      </c>
      <c r="H1146">
        <f t="shared" si="108"/>
        <v>1.0439546352091211E-2</v>
      </c>
      <c r="I1146">
        <f t="shared" si="109"/>
        <v>1.0349546352091211E-2</v>
      </c>
      <c r="K1146">
        <f t="shared" si="110"/>
        <v>-6.776379477250738E-3</v>
      </c>
      <c r="L1146">
        <f t="shared" si="111"/>
        <v>1.5925982102227287E-3</v>
      </c>
      <c r="M1146">
        <f t="shared" si="112"/>
        <v>5.9654355645233359E-3</v>
      </c>
    </row>
    <row r="1147" spans="1:13" x14ac:dyDescent="0.3">
      <c r="A1147" s="3">
        <v>43665</v>
      </c>
      <c r="B1147" s="8">
        <v>10.199999999999999</v>
      </c>
      <c r="C1147" s="8">
        <v>130.31</v>
      </c>
      <c r="D1147" s="8">
        <v>113.54</v>
      </c>
      <c r="E1147">
        <v>8.9999999999999992E-5</v>
      </c>
      <c r="G1147">
        <f t="shared" si="107"/>
        <v>98.876399023300095</v>
      </c>
      <c r="H1147">
        <f t="shared" si="108"/>
        <v>-1.3565035297671169E-2</v>
      </c>
      <c r="I1147">
        <f t="shared" si="109"/>
        <v>-1.3655035297671168E-2</v>
      </c>
      <c r="K1147">
        <f t="shared" si="110"/>
        <v>-5.8479532163743242E-3</v>
      </c>
      <c r="L1147">
        <f t="shared" si="111"/>
        <v>-1.3326266373892559E-2</v>
      </c>
      <c r="M1147">
        <f t="shared" si="112"/>
        <v>-9.8543646987006017E-3</v>
      </c>
    </row>
    <row r="1148" spans="1:13" x14ac:dyDescent="0.3">
      <c r="A1148" s="3">
        <v>43668</v>
      </c>
      <c r="B1148" s="8">
        <v>10.02</v>
      </c>
      <c r="C1148" s="8">
        <v>128.63999999999999</v>
      </c>
      <c r="D1148" s="8">
        <v>114.27</v>
      </c>
      <c r="E1148">
        <v>8.9999999999999992E-5</v>
      </c>
      <c r="G1148">
        <f t="shared" si="107"/>
        <v>99.392016490645716</v>
      </c>
      <c r="H1148">
        <f t="shared" si="108"/>
        <v>5.2147678560190425E-3</v>
      </c>
      <c r="I1148">
        <f t="shared" si="109"/>
        <v>5.1247678560190427E-3</v>
      </c>
      <c r="K1148">
        <f t="shared" si="110"/>
        <v>-1.7647058823529349E-2</v>
      </c>
      <c r="L1148">
        <f t="shared" si="111"/>
        <v>-1.2815593584529328E-2</v>
      </c>
      <c r="M1148">
        <f t="shared" si="112"/>
        <v>6.429452175444661E-3</v>
      </c>
    </row>
    <row r="1149" spans="1:13" x14ac:dyDescent="0.3">
      <c r="A1149" s="3">
        <v>43669</v>
      </c>
      <c r="B1149" s="8">
        <v>10.17</v>
      </c>
      <c r="C1149" s="8">
        <v>128.84</v>
      </c>
      <c r="D1149" s="8">
        <v>116.36</v>
      </c>
      <c r="E1149">
        <v>8.9999999999999992E-5</v>
      </c>
      <c r="G1149">
        <f t="shared" si="107"/>
        <v>100.92583443778018</v>
      </c>
      <c r="H1149">
        <f t="shared" si="108"/>
        <v>1.5432003507835246E-2</v>
      </c>
      <c r="I1149">
        <f t="shared" si="109"/>
        <v>1.5342003507835246E-2</v>
      </c>
      <c r="K1149">
        <f t="shared" si="110"/>
        <v>1.4970059880239583E-2</v>
      </c>
      <c r="L1149">
        <f t="shared" si="111"/>
        <v>1.5547263681592316E-3</v>
      </c>
      <c r="M1149">
        <f t="shared" si="112"/>
        <v>1.8290014877045735E-2</v>
      </c>
    </row>
    <row r="1150" spans="1:13" x14ac:dyDescent="0.3">
      <c r="A1150" s="3">
        <v>43670</v>
      </c>
      <c r="B1150" s="8">
        <v>10.33</v>
      </c>
      <c r="C1150" s="8">
        <v>129.78</v>
      </c>
      <c r="D1150" s="8">
        <v>116.83</v>
      </c>
      <c r="E1150">
        <v>8.9999999999999992E-5</v>
      </c>
      <c r="G1150">
        <f t="shared" si="107"/>
        <v>100.69545312925021</v>
      </c>
      <c r="H1150">
        <f t="shared" si="108"/>
        <v>-2.2826792546560837E-3</v>
      </c>
      <c r="I1150">
        <f t="shared" si="109"/>
        <v>-2.3726792546560835E-3</v>
      </c>
      <c r="K1150">
        <f t="shared" si="110"/>
        <v>1.5732546705998107E-2</v>
      </c>
      <c r="L1150">
        <f t="shared" si="111"/>
        <v>7.2958708475627798E-3</v>
      </c>
      <c r="M1150">
        <f t="shared" si="112"/>
        <v>4.039188724647591E-3</v>
      </c>
    </row>
    <row r="1151" spans="1:13" x14ac:dyDescent="0.3">
      <c r="A1151" s="3">
        <v>43671</v>
      </c>
      <c r="B1151" s="8">
        <v>9.56</v>
      </c>
      <c r="C1151" s="8">
        <v>131.12</v>
      </c>
      <c r="D1151" s="8">
        <v>115.71</v>
      </c>
      <c r="E1151">
        <v>8.9999999999999992E-5</v>
      </c>
      <c r="G1151">
        <f t="shared" si="107"/>
        <v>99.393808856819319</v>
      </c>
      <c r="H1151">
        <f t="shared" si="108"/>
        <v>-1.2926544664932704E-2</v>
      </c>
      <c r="I1151">
        <f t="shared" si="109"/>
        <v>-1.3016544664932704E-2</v>
      </c>
      <c r="K1151">
        <f t="shared" si="110"/>
        <v>-7.4540174249757896E-2</v>
      </c>
      <c r="L1151">
        <f t="shared" si="111"/>
        <v>1.0325165664971436E-2</v>
      </c>
      <c r="M1151">
        <f t="shared" si="112"/>
        <v>-9.5865787896944887E-3</v>
      </c>
    </row>
    <row r="1152" spans="1:13" x14ac:dyDescent="0.3">
      <c r="A1152" s="3">
        <v>43672</v>
      </c>
      <c r="B1152" s="8">
        <v>9.57</v>
      </c>
      <c r="C1152" s="8">
        <v>130.72999999999999</v>
      </c>
      <c r="D1152" s="8">
        <v>116.22</v>
      </c>
      <c r="E1152">
        <v>8.9999999999999992E-5</v>
      </c>
      <c r="G1152">
        <f t="shared" si="107"/>
        <v>100.02248739787505</v>
      </c>
      <c r="H1152">
        <f t="shared" si="108"/>
        <v>6.3251277749238888E-3</v>
      </c>
      <c r="I1152">
        <f t="shared" si="109"/>
        <v>6.235127774923889E-3</v>
      </c>
      <c r="K1152">
        <f t="shared" si="110"/>
        <v>1.0460251046024993E-3</v>
      </c>
      <c r="L1152">
        <f t="shared" si="111"/>
        <v>-2.974374618670006E-3</v>
      </c>
      <c r="M1152">
        <f t="shared" si="112"/>
        <v>4.4075706507649137E-3</v>
      </c>
    </row>
    <row r="1153" spans="1:13" x14ac:dyDescent="0.3">
      <c r="A1153" s="3">
        <v>43675</v>
      </c>
      <c r="B1153" s="8">
        <v>9.6</v>
      </c>
      <c r="C1153" s="8">
        <v>133.02000000000001</v>
      </c>
      <c r="D1153" s="8">
        <v>115.85</v>
      </c>
      <c r="E1153">
        <v>8.9999999999999992E-5</v>
      </c>
      <c r="G1153">
        <f t="shared" si="107"/>
        <v>100.82198683184227</v>
      </c>
      <c r="H1153">
        <f t="shared" si="108"/>
        <v>7.9931968776874029E-3</v>
      </c>
      <c r="I1153">
        <f t="shared" si="109"/>
        <v>7.9031968776874031E-3</v>
      </c>
      <c r="K1153">
        <f t="shared" si="110"/>
        <v>3.1347962382444194E-3</v>
      </c>
      <c r="L1153">
        <f t="shared" si="111"/>
        <v>1.7517019811825962E-2</v>
      </c>
      <c r="M1153">
        <f t="shared" si="112"/>
        <v>-3.1836172775770999E-3</v>
      </c>
    </row>
    <row r="1154" spans="1:13" x14ac:dyDescent="0.3">
      <c r="A1154" s="3">
        <v>43676</v>
      </c>
      <c r="B1154" s="8">
        <v>9.5500000000000007</v>
      </c>
      <c r="C1154" s="8">
        <v>132.08000000000001</v>
      </c>
      <c r="D1154" s="8">
        <v>115.59</v>
      </c>
      <c r="E1154">
        <v>8.9999999999999992E-5</v>
      </c>
      <c r="G1154">
        <f t="shared" si="107"/>
        <v>99.494283500226487</v>
      </c>
      <c r="H1154">
        <f t="shared" si="108"/>
        <v>-1.3168787616040678E-2</v>
      </c>
      <c r="I1154">
        <f t="shared" si="109"/>
        <v>-1.3258787616040678E-2</v>
      </c>
      <c r="K1154">
        <f t="shared" si="110"/>
        <v>-5.2083333333332593E-3</v>
      </c>
      <c r="L1154">
        <f t="shared" si="111"/>
        <v>-7.0666065253345289E-3</v>
      </c>
      <c r="M1154">
        <f t="shared" si="112"/>
        <v>-2.2442813983598597E-3</v>
      </c>
    </row>
    <row r="1155" spans="1:13" x14ac:dyDescent="0.3">
      <c r="A1155" s="3">
        <v>43677</v>
      </c>
      <c r="B1155" s="8">
        <v>9.5299999999999994</v>
      </c>
      <c r="C1155" s="8">
        <v>130.22</v>
      </c>
      <c r="D1155" s="8">
        <v>116</v>
      </c>
      <c r="E1155">
        <v>8.9999999999999992E-5</v>
      </c>
      <c r="G1155">
        <f t="shared" si="107"/>
        <v>99.380813083038106</v>
      </c>
      <c r="H1155">
        <f t="shared" si="108"/>
        <v>-1.1404717255752983E-3</v>
      </c>
      <c r="I1155">
        <f t="shared" si="109"/>
        <v>-1.2304717255752983E-3</v>
      </c>
      <c r="K1155">
        <f t="shared" si="110"/>
        <v>-2.0942408376964927E-3</v>
      </c>
      <c r="L1155">
        <f t="shared" si="111"/>
        <v>-1.4082374318594937E-2</v>
      </c>
      <c r="M1155">
        <f t="shared" si="112"/>
        <v>3.5470196383768915E-3</v>
      </c>
    </row>
    <row r="1156" spans="1:13" x14ac:dyDescent="0.3">
      <c r="A1156" s="3">
        <v>43678</v>
      </c>
      <c r="B1156" s="8">
        <v>9.31</v>
      </c>
      <c r="C1156" s="8">
        <v>130.29</v>
      </c>
      <c r="D1156" s="8">
        <v>112.94</v>
      </c>
      <c r="E1156">
        <v>7.0000000000000007E-5</v>
      </c>
      <c r="G1156">
        <f t="shared" si="107"/>
        <v>98.793276409218493</v>
      </c>
      <c r="H1156">
        <f t="shared" si="108"/>
        <v>-5.911972900933038E-3</v>
      </c>
      <c r="I1156">
        <f t="shared" si="109"/>
        <v>-5.9819729009330377E-3</v>
      </c>
      <c r="K1156">
        <f t="shared" si="110"/>
        <v>-2.3084994753410193E-2</v>
      </c>
      <c r="L1156">
        <f t="shared" si="111"/>
        <v>5.3755183535542095E-4</v>
      </c>
      <c r="M1156">
        <f t="shared" si="112"/>
        <v>-2.6379310344827656E-2</v>
      </c>
    </row>
    <row r="1157" spans="1:13" x14ac:dyDescent="0.3">
      <c r="A1157" s="3">
        <v>43679</v>
      </c>
      <c r="B1157" s="8">
        <v>9.2799999999999994</v>
      </c>
      <c r="C1157" s="8">
        <v>131.07</v>
      </c>
      <c r="D1157" s="8">
        <v>112.93</v>
      </c>
      <c r="E1157">
        <v>7.0000000000000007E-5</v>
      </c>
      <c r="G1157">
        <f t="shared" ref="G1157:G1220" si="113">$G$4*(B1157*$P$8/B1156 + C1157*$Q$8/C1156 + D1157*$R$8/D1156)</f>
        <v>100.27353668260817</v>
      </c>
      <c r="H1157">
        <f t="shared" ref="H1157:H1220" si="114">G1157/G1156-1</f>
        <v>1.4983411090226273E-2</v>
      </c>
      <c r="I1157">
        <f t="shared" si="109"/>
        <v>1.4913411090226272E-2</v>
      </c>
      <c r="K1157">
        <f t="shared" si="110"/>
        <v>-3.2223415682063328E-3</v>
      </c>
      <c r="L1157">
        <f t="shared" si="111"/>
        <v>5.9866451761454442E-3</v>
      </c>
      <c r="M1157">
        <f t="shared" si="112"/>
        <v>-8.8542588985274229E-5</v>
      </c>
    </row>
    <row r="1158" spans="1:13" x14ac:dyDescent="0.3">
      <c r="A1158" s="3">
        <v>43682</v>
      </c>
      <c r="B1158" s="8">
        <v>9.23</v>
      </c>
      <c r="C1158" s="8">
        <v>130.16</v>
      </c>
      <c r="D1158" s="8">
        <v>109.57</v>
      </c>
      <c r="E1158">
        <v>7.0000000000000007E-5</v>
      </c>
      <c r="G1158">
        <f t="shared" si="113"/>
        <v>98.463643511805159</v>
      </c>
      <c r="H1158">
        <f t="shared" si="114"/>
        <v>-1.8049559541634452E-2</v>
      </c>
      <c r="I1158">
        <f t="shared" ref="I1158:I1221" si="115">H1158-E1158</f>
        <v>-1.8119559541634453E-2</v>
      </c>
      <c r="K1158">
        <f t="shared" ref="K1158:K1221" si="116">B1158/B1157-1</f>
        <v>-5.3879310344826514E-3</v>
      </c>
      <c r="L1158">
        <f t="shared" ref="L1158:L1221" si="117">C1158/C1157-1</f>
        <v>-6.9428549629968472E-3</v>
      </c>
      <c r="M1158">
        <f t="shared" ref="M1158:M1221" si="118">D1158/D1157-1</f>
        <v>-2.9752944301779993E-2</v>
      </c>
    </row>
    <row r="1159" spans="1:13" x14ac:dyDescent="0.3">
      <c r="A1159" s="3">
        <v>43683</v>
      </c>
      <c r="B1159" s="8">
        <v>9.48</v>
      </c>
      <c r="C1159" s="8">
        <v>130.77000000000001</v>
      </c>
      <c r="D1159" s="8">
        <v>110.43</v>
      </c>
      <c r="E1159">
        <v>7.0000000000000007E-5</v>
      </c>
      <c r="G1159">
        <f t="shared" si="113"/>
        <v>100.82240269366824</v>
      </c>
      <c r="H1159">
        <f t="shared" si="114"/>
        <v>2.3955635783275531E-2</v>
      </c>
      <c r="I1159">
        <f t="shared" si="115"/>
        <v>2.388563578327553E-2</v>
      </c>
      <c r="K1159">
        <f t="shared" si="116"/>
        <v>2.7085590465872222E-2</v>
      </c>
      <c r="L1159">
        <f t="shared" si="117"/>
        <v>4.6865396435158413E-3</v>
      </c>
      <c r="M1159">
        <f t="shared" si="118"/>
        <v>7.848863740074874E-3</v>
      </c>
    </row>
    <row r="1160" spans="1:13" x14ac:dyDescent="0.3">
      <c r="A1160" s="3">
        <v>43684</v>
      </c>
      <c r="B1160" s="8">
        <v>9.5299999999999994</v>
      </c>
      <c r="C1160" s="8">
        <v>130.21</v>
      </c>
      <c r="D1160" s="8">
        <v>108.03</v>
      </c>
      <c r="E1160">
        <v>7.0000000000000007E-5</v>
      </c>
      <c r="G1160">
        <f t="shared" si="113"/>
        <v>99.015227424858821</v>
      </c>
      <c r="H1160">
        <f t="shared" si="114"/>
        <v>-1.7924342413265126E-2</v>
      </c>
      <c r="I1160">
        <f t="shared" si="115"/>
        <v>-1.7994342413265127E-2</v>
      </c>
      <c r="K1160">
        <f t="shared" si="116"/>
        <v>5.2742616033754075E-3</v>
      </c>
      <c r="L1160">
        <f t="shared" si="117"/>
        <v>-4.2823277510132263E-3</v>
      </c>
      <c r="M1160">
        <f t="shared" si="118"/>
        <v>-2.173322466721006E-2</v>
      </c>
    </row>
    <row r="1161" spans="1:13" x14ac:dyDescent="0.3">
      <c r="A1161" s="3">
        <v>43685</v>
      </c>
      <c r="B1161" s="8">
        <v>9.56</v>
      </c>
      <c r="C1161" s="8">
        <v>131.68</v>
      </c>
      <c r="D1161" s="8">
        <v>109.86</v>
      </c>
      <c r="E1161">
        <v>7.0000000000000007E-5</v>
      </c>
      <c r="G1161">
        <f t="shared" si="113"/>
        <v>101.25624666182441</v>
      </c>
      <c r="H1161">
        <f t="shared" si="114"/>
        <v>2.2633076701927157E-2</v>
      </c>
      <c r="I1161">
        <f t="shared" si="115"/>
        <v>2.2563076701927157E-2</v>
      </c>
      <c r="K1161">
        <f t="shared" si="116"/>
        <v>3.1479538300105414E-3</v>
      </c>
      <c r="L1161">
        <f t="shared" si="117"/>
        <v>1.1289455494969625E-2</v>
      </c>
      <c r="M1161">
        <f t="shared" si="118"/>
        <v>1.6939738961399664E-2</v>
      </c>
    </row>
    <row r="1162" spans="1:13" x14ac:dyDescent="0.3">
      <c r="A1162" s="3">
        <v>43686</v>
      </c>
      <c r="B1162" s="8">
        <v>9.4499999999999993</v>
      </c>
      <c r="C1162" s="8">
        <v>132.04</v>
      </c>
      <c r="D1162" s="8">
        <v>109.74</v>
      </c>
      <c r="E1162">
        <v>7.0000000000000007E-5</v>
      </c>
      <c r="G1162">
        <f t="shared" si="113"/>
        <v>99.9801658857495</v>
      </c>
      <c r="H1162">
        <f t="shared" si="114"/>
        <v>-1.260248940825115E-2</v>
      </c>
      <c r="I1162">
        <f t="shared" si="115"/>
        <v>-1.267248940825115E-2</v>
      </c>
      <c r="K1162">
        <f t="shared" si="116"/>
        <v>-1.1506276150627714E-2</v>
      </c>
      <c r="L1162">
        <f t="shared" si="117"/>
        <v>2.7339003645199256E-3</v>
      </c>
      <c r="M1162">
        <f t="shared" si="118"/>
        <v>-1.0922992900055384E-3</v>
      </c>
    </row>
    <row r="1163" spans="1:13" x14ac:dyDescent="0.3">
      <c r="A1163" s="3">
        <v>43689</v>
      </c>
      <c r="B1163" s="8">
        <v>9.2899999999999991</v>
      </c>
      <c r="C1163" s="8">
        <v>131.93</v>
      </c>
      <c r="D1163" s="8">
        <v>107.68</v>
      </c>
      <c r="E1163">
        <v>7.0000000000000007E-5</v>
      </c>
      <c r="G1163">
        <f t="shared" si="113"/>
        <v>99.072933338880574</v>
      </c>
      <c r="H1163">
        <f t="shared" si="114"/>
        <v>-9.0741252410567741E-3</v>
      </c>
      <c r="I1163">
        <f t="shared" si="115"/>
        <v>-9.1441252410567747E-3</v>
      </c>
      <c r="K1163">
        <f t="shared" si="116"/>
        <v>-1.6931216931216908E-2</v>
      </c>
      <c r="L1163">
        <f t="shared" si="117"/>
        <v>-8.3308088458033946E-4</v>
      </c>
      <c r="M1163">
        <f t="shared" si="118"/>
        <v>-1.8771642063058036E-2</v>
      </c>
    </row>
    <row r="1164" spans="1:13" x14ac:dyDescent="0.3">
      <c r="A1164" s="3">
        <v>43690</v>
      </c>
      <c r="B1164" s="8">
        <v>9.26</v>
      </c>
      <c r="C1164" s="8">
        <v>133.41999999999999</v>
      </c>
      <c r="D1164" s="8">
        <v>109.34</v>
      </c>
      <c r="E1164">
        <v>7.0000000000000007E-5</v>
      </c>
      <c r="G1164">
        <f t="shared" si="113"/>
        <v>101.13230267926505</v>
      </c>
      <c r="H1164">
        <f t="shared" si="114"/>
        <v>2.0786397161981496E-2</v>
      </c>
      <c r="I1164">
        <f t="shared" si="115"/>
        <v>2.0716397161981495E-2</v>
      </c>
      <c r="K1164">
        <f t="shared" si="116"/>
        <v>-3.2292787944024903E-3</v>
      </c>
      <c r="L1164">
        <f t="shared" si="117"/>
        <v>1.1293867960281867E-2</v>
      </c>
      <c r="M1164">
        <f t="shared" si="118"/>
        <v>1.5416047548291179E-2</v>
      </c>
    </row>
    <row r="1165" spans="1:13" x14ac:dyDescent="0.3">
      <c r="A1165" s="3">
        <v>43691</v>
      </c>
      <c r="B1165" s="8">
        <v>9</v>
      </c>
      <c r="C1165" s="8">
        <v>130.26</v>
      </c>
      <c r="D1165" s="8">
        <v>104.8</v>
      </c>
      <c r="E1165">
        <v>7.0000000000000007E-5</v>
      </c>
      <c r="G1165">
        <f t="shared" si="113"/>
        <v>96.914264220802522</v>
      </c>
      <c r="H1165">
        <f t="shared" si="114"/>
        <v>-4.170812239725008E-2</v>
      </c>
      <c r="I1165">
        <f t="shared" si="115"/>
        <v>-4.1778122397250081E-2</v>
      </c>
      <c r="K1165">
        <f t="shared" si="116"/>
        <v>-2.8077753779697567E-2</v>
      </c>
      <c r="L1165">
        <f t="shared" si="117"/>
        <v>-2.3684605006745629E-2</v>
      </c>
      <c r="M1165">
        <f t="shared" si="118"/>
        <v>-4.1521858423266944E-2</v>
      </c>
    </row>
    <row r="1166" spans="1:13" x14ac:dyDescent="0.3">
      <c r="A1166" s="3">
        <v>43692</v>
      </c>
      <c r="B1166" s="8">
        <v>8.86</v>
      </c>
      <c r="C1166" s="8">
        <v>130.54</v>
      </c>
      <c r="D1166" s="8">
        <v>105.2</v>
      </c>
      <c r="E1166">
        <v>7.0000000000000007E-5</v>
      </c>
      <c r="G1166">
        <f t="shared" si="113"/>
        <v>100.09214132779051</v>
      </c>
      <c r="H1166">
        <f t="shared" si="114"/>
        <v>3.2790602420999182E-2</v>
      </c>
      <c r="I1166">
        <f t="shared" si="115"/>
        <v>3.2720602420999181E-2</v>
      </c>
      <c r="K1166">
        <f t="shared" si="116"/>
        <v>-1.5555555555555656E-2</v>
      </c>
      <c r="L1166">
        <f t="shared" si="117"/>
        <v>2.1495470597268085E-3</v>
      </c>
      <c r="M1166">
        <f t="shared" si="118"/>
        <v>3.8167938931297218E-3</v>
      </c>
    </row>
    <row r="1167" spans="1:13" x14ac:dyDescent="0.3">
      <c r="A1167" s="3">
        <v>43693</v>
      </c>
      <c r="B1167" s="8">
        <v>8.9600000000000009</v>
      </c>
      <c r="C1167" s="8">
        <v>131.36000000000001</v>
      </c>
      <c r="D1167" s="8">
        <v>107.72</v>
      </c>
      <c r="E1167">
        <v>7.0000000000000007E-5</v>
      </c>
      <c r="G1167">
        <f t="shared" si="113"/>
        <v>101.34565887195208</v>
      </c>
      <c r="H1167">
        <f t="shared" si="114"/>
        <v>1.2523635997120364E-2</v>
      </c>
      <c r="I1167">
        <f t="shared" si="115"/>
        <v>1.2453635997120363E-2</v>
      </c>
      <c r="K1167">
        <f t="shared" si="116"/>
        <v>1.1286681715575675E-2</v>
      </c>
      <c r="L1167">
        <f t="shared" si="117"/>
        <v>6.2815995097289523E-3</v>
      </c>
      <c r="M1167">
        <f t="shared" si="118"/>
        <v>2.3954372623574027E-2</v>
      </c>
    </row>
    <row r="1168" spans="1:13" x14ac:dyDescent="0.3">
      <c r="A1168" s="3">
        <v>43696</v>
      </c>
      <c r="B1168" s="8">
        <v>9.0299999999999994</v>
      </c>
      <c r="C1168" s="8">
        <v>132.25</v>
      </c>
      <c r="D1168" s="8">
        <v>108.69</v>
      </c>
      <c r="E1168">
        <v>7.0000000000000007E-5</v>
      </c>
      <c r="G1168">
        <f t="shared" si="113"/>
        <v>100.77229814038621</v>
      </c>
      <c r="H1168">
        <f t="shared" si="114"/>
        <v>-5.6574769748184428E-3</v>
      </c>
      <c r="I1168">
        <f t="shared" si="115"/>
        <v>-5.7274769748184426E-3</v>
      </c>
      <c r="K1168">
        <f t="shared" si="116"/>
        <v>7.812499999999778E-3</v>
      </c>
      <c r="L1168">
        <f t="shared" si="117"/>
        <v>6.7752740560291791E-3</v>
      </c>
      <c r="M1168">
        <f t="shared" si="118"/>
        <v>9.004827330115095E-3</v>
      </c>
    </row>
    <row r="1169" spans="1:13" x14ac:dyDescent="0.3">
      <c r="A1169" s="3">
        <v>43697</v>
      </c>
      <c r="B1169" s="8">
        <v>8.9600000000000009</v>
      </c>
      <c r="C1169" s="8">
        <v>130.6</v>
      </c>
      <c r="D1169" s="8">
        <v>107.31</v>
      </c>
      <c r="E1169">
        <v>7.0000000000000007E-5</v>
      </c>
      <c r="G1169">
        <f t="shared" si="113"/>
        <v>98.793586369891145</v>
      </c>
      <c r="H1169">
        <f t="shared" si="114"/>
        <v>-1.9635473309723595E-2</v>
      </c>
      <c r="I1169">
        <f t="shared" si="115"/>
        <v>-1.9705473309723595E-2</v>
      </c>
      <c r="K1169">
        <f t="shared" si="116"/>
        <v>-7.7519379844959158E-3</v>
      </c>
      <c r="L1169">
        <f t="shared" si="117"/>
        <v>-1.2476370510397072E-2</v>
      </c>
      <c r="M1169">
        <f t="shared" si="118"/>
        <v>-1.2696660226331757E-2</v>
      </c>
    </row>
    <row r="1170" spans="1:13" x14ac:dyDescent="0.3">
      <c r="A1170" s="3">
        <v>43698</v>
      </c>
      <c r="B1170" s="8">
        <v>9.0399999999999991</v>
      </c>
      <c r="C1170" s="8">
        <v>131.53</v>
      </c>
      <c r="D1170" s="8">
        <v>107.61</v>
      </c>
      <c r="E1170">
        <v>7.0000000000000007E-5</v>
      </c>
      <c r="G1170">
        <f t="shared" si="113"/>
        <v>100.56827497571649</v>
      </c>
      <c r="H1170">
        <f t="shared" si="114"/>
        <v>1.7963601393928164E-2</v>
      </c>
      <c r="I1170">
        <f t="shared" si="115"/>
        <v>1.7893601393928163E-2</v>
      </c>
      <c r="K1170">
        <f t="shared" si="116"/>
        <v>8.9285714285711748E-3</v>
      </c>
      <c r="L1170">
        <f t="shared" si="117"/>
        <v>7.1209800918836663E-3</v>
      </c>
      <c r="M1170">
        <f t="shared" si="118"/>
        <v>2.7956388034666713E-3</v>
      </c>
    </row>
    <row r="1171" spans="1:13" x14ac:dyDescent="0.3">
      <c r="A1171" s="3">
        <v>43699</v>
      </c>
      <c r="B1171" s="8">
        <v>9.0399999999999991</v>
      </c>
      <c r="C1171" s="8">
        <v>131.27000000000001</v>
      </c>
      <c r="D1171" s="8">
        <v>108.72</v>
      </c>
      <c r="E1171">
        <v>7.0000000000000007E-5</v>
      </c>
      <c r="G1171">
        <f t="shared" si="113"/>
        <v>100.28559465982146</v>
      </c>
      <c r="H1171">
        <f t="shared" si="114"/>
        <v>-2.8108299159281813E-3</v>
      </c>
      <c r="I1171">
        <f t="shared" si="115"/>
        <v>-2.8808299159281815E-3</v>
      </c>
      <c r="K1171">
        <f t="shared" si="116"/>
        <v>0</v>
      </c>
      <c r="L1171">
        <f t="shared" si="117"/>
        <v>-1.9767353455484304E-3</v>
      </c>
      <c r="M1171">
        <f t="shared" si="118"/>
        <v>1.0315026484527534E-2</v>
      </c>
    </row>
    <row r="1172" spans="1:13" x14ac:dyDescent="0.3">
      <c r="A1172" s="3">
        <v>43700</v>
      </c>
      <c r="B1172" s="8">
        <v>8.77</v>
      </c>
      <c r="C1172" s="8">
        <v>127.73</v>
      </c>
      <c r="D1172" s="8">
        <v>106.02</v>
      </c>
      <c r="E1172">
        <v>7.0000000000000007E-5</v>
      </c>
      <c r="G1172">
        <f t="shared" si="113"/>
        <v>97.353138592113737</v>
      </c>
      <c r="H1172">
        <f t="shared" si="114"/>
        <v>-2.9241049800371566E-2</v>
      </c>
      <c r="I1172">
        <f t="shared" si="115"/>
        <v>-2.9311049800371566E-2</v>
      </c>
      <c r="K1172">
        <f t="shared" si="116"/>
        <v>-2.9867256637168049E-2</v>
      </c>
      <c r="L1172">
        <f t="shared" si="117"/>
        <v>-2.6967319265635781E-2</v>
      </c>
      <c r="M1172">
        <f t="shared" si="118"/>
        <v>-2.4834437086092787E-2</v>
      </c>
    </row>
    <row r="1173" spans="1:13" x14ac:dyDescent="0.3">
      <c r="A1173" s="3">
        <v>43703</v>
      </c>
      <c r="B1173" s="8">
        <v>8.82</v>
      </c>
      <c r="C1173" s="8">
        <v>127.8</v>
      </c>
      <c r="D1173" s="8">
        <v>106.87</v>
      </c>
      <c r="E1173">
        <v>7.0000000000000007E-5</v>
      </c>
      <c r="G1173">
        <f t="shared" si="113"/>
        <v>100.38988837227834</v>
      </c>
      <c r="H1173">
        <f t="shared" si="114"/>
        <v>3.1193136904274388E-2</v>
      </c>
      <c r="I1173">
        <f t="shared" si="115"/>
        <v>3.1123136904274387E-2</v>
      </c>
      <c r="K1173">
        <f t="shared" si="116"/>
        <v>5.7012542759407037E-3</v>
      </c>
      <c r="L1173">
        <f t="shared" si="117"/>
        <v>5.4803100289668727E-4</v>
      </c>
      <c r="M1173">
        <f t="shared" si="118"/>
        <v>8.0173552159970018E-3</v>
      </c>
    </row>
    <row r="1174" spans="1:13" x14ac:dyDescent="0.3">
      <c r="A1174" s="3">
        <v>43704</v>
      </c>
      <c r="B1174" s="8">
        <v>8.76</v>
      </c>
      <c r="C1174" s="8">
        <v>129.63999999999999</v>
      </c>
      <c r="D1174" s="8">
        <v>105.74</v>
      </c>
      <c r="E1174">
        <v>7.0000000000000007E-5</v>
      </c>
      <c r="G1174">
        <f t="shared" si="113"/>
        <v>100.27787879572048</v>
      </c>
      <c r="H1174">
        <f t="shared" si="114"/>
        <v>-1.1157456032073743E-3</v>
      </c>
      <c r="I1174">
        <f t="shared" si="115"/>
        <v>-1.1857456032073742E-3</v>
      </c>
      <c r="K1174">
        <f t="shared" si="116"/>
        <v>-6.8027210884353817E-3</v>
      </c>
      <c r="L1174">
        <f t="shared" si="117"/>
        <v>1.4397496087636741E-2</v>
      </c>
      <c r="M1174">
        <f t="shared" si="118"/>
        <v>-1.0573594086273119E-2</v>
      </c>
    </row>
    <row r="1175" spans="1:13" x14ac:dyDescent="0.3">
      <c r="A1175" s="3">
        <v>43705</v>
      </c>
      <c r="B1175" s="8">
        <v>9</v>
      </c>
      <c r="C1175" s="8">
        <v>128.68</v>
      </c>
      <c r="D1175" s="8">
        <v>106.8</v>
      </c>
      <c r="E1175">
        <v>7.0000000000000007E-5</v>
      </c>
      <c r="G1175">
        <f t="shared" si="113"/>
        <v>100.2801226484318</v>
      </c>
      <c r="H1175">
        <f t="shared" si="114"/>
        <v>2.2376347986963196E-5</v>
      </c>
      <c r="I1175">
        <f t="shared" si="115"/>
        <v>-4.7623652013036811E-5</v>
      </c>
      <c r="K1175">
        <f t="shared" si="116"/>
        <v>2.7397260273972712E-2</v>
      </c>
      <c r="L1175">
        <f t="shared" si="117"/>
        <v>-7.4051218759640935E-3</v>
      </c>
      <c r="M1175">
        <f t="shared" si="118"/>
        <v>1.0024588613580576E-2</v>
      </c>
    </row>
    <row r="1176" spans="1:13" x14ac:dyDescent="0.3">
      <c r="A1176" s="3">
        <v>43706</v>
      </c>
      <c r="B1176" s="8">
        <v>9.1199999999999992</v>
      </c>
      <c r="C1176" s="8">
        <v>128.24</v>
      </c>
      <c r="D1176" s="8">
        <v>109.22</v>
      </c>
      <c r="E1176">
        <v>7.0000000000000007E-5</v>
      </c>
      <c r="G1176">
        <f t="shared" si="113"/>
        <v>100.81499935922263</v>
      </c>
      <c r="H1176">
        <f t="shared" si="114"/>
        <v>5.3338258536641536E-3</v>
      </c>
      <c r="I1176">
        <f t="shared" si="115"/>
        <v>5.2638258536641539E-3</v>
      </c>
      <c r="K1176">
        <f t="shared" si="116"/>
        <v>1.3333333333333197E-2</v>
      </c>
      <c r="L1176">
        <f t="shared" si="117"/>
        <v>-3.4193347839601707E-3</v>
      </c>
      <c r="M1176">
        <f t="shared" si="118"/>
        <v>2.2659176029962591E-2</v>
      </c>
    </row>
    <row r="1177" spans="1:13" x14ac:dyDescent="0.3">
      <c r="A1177" s="3">
        <v>43707</v>
      </c>
      <c r="B1177" s="8">
        <v>9.17</v>
      </c>
      <c r="C1177" s="8">
        <v>128.36000000000001</v>
      </c>
      <c r="D1177" s="8">
        <v>109.86</v>
      </c>
      <c r="E1177">
        <v>7.0000000000000007E-5</v>
      </c>
      <c r="G1177">
        <f t="shared" si="113"/>
        <v>100.32651979489189</v>
      </c>
      <c r="H1177">
        <f t="shared" si="114"/>
        <v>-4.8453064269751156E-3</v>
      </c>
      <c r="I1177">
        <f t="shared" si="115"/>
        <v>-4.9153064269751153E-3</v>
      </c>
      <c r="K1177">
        <f t="shared" si="116"/>
        <v>5.482456140351033E-3</v>
      </c>
      <c r="L1177">
        <f t="shared" si="117"/>
        <v>9.3574547723029866E-4</v>
      </c>
      <c r="M1177">
        <f t="shared" si="118"/>
        <v>5.8597326496978575E-3</v>
      </c>
    </row>
    <row r="1178" spans="1:13" x14ac:dyDescent="0.3">
      <c r="A1178" s="3">
        <v>43711</v>
      </c>
      <c r="B1178" s="8">
        <v>9.1</v>
      </c>
      <c r="C1178" s="8">
        <v>128.74</v>
      </c>
      <c r="D1178" s="8">
        <v>108.56</v>
      </c>
      <c r="E1178">
        <v>8.9999999999999992E-5</v>
      </c>
      <c r="G1178">
        <f t="shared" si="113"/>
        <v>99.628313920839616</v>
      </c>
      <c r="H1178">
        <f t="shared" si="114"/>
        <v>-6.9593351337182696E-3</v>
      </c>
      <c r="I1178">
        <f t="shared" si="115"/>
        <v>-7.0493351337182694E-3</v>
      </c>
      <c r="K1178">
        <f t="shared" si="116"/>
        <v>-7.6335877862595547E-3</v>
      </c>
      <c r="L1178">
        <f t="shared" si="117"/>
        <v>2.9604238080398471E-3</v>
      </c>
      <c r="M1178">
        <f t="shared" si="118"/>
        <v>-1.1833242308392444E-2</v>
      </c>
    </row>
    <row r="1179" spans="1:13" x14ac:dyDescent="0.3">
      <c r="A1179" s="3">
        <v>43712</v>
      </c>
      <c r="B1179" s="8">
        <v>9.1999999999999993</v>
      </c>
      <c r="C1179" s="8">
        <v>128.86000000000001</v>
      </c>
      <c r="D1179" s="8">
        <v>109.87</v>
      </c>
      <c r="E1179">
        <v>8.9999999999999992E-5</v>
      </c>
      <c r="G1179">
        <f t="shared" si="113"/>
        <v>100.61762924493117</v>
      </c>
      <c r="H1179">
        <f t="shared" si="114"/>
        <v>9.9300618986448708E-3</v>
      </c>
      <c r="I1179">
        <f t="shared" si="115"/>
        <v>9.840061898644871E-3</v>
      </c>
      <c r="K1179">
        <f t="shared" si="116"/>
        <v>1.098901098901095E-2</v>
      </c>
      <c r="L1179">
        <f t="shared" si="117"/>
        <v>9.3211123194048007E-4</v>
      </c>
      <c r="M1179">
        <f t="shared" si="118"/>
        <v>1.2067059690493709E-2</v>
      </c>
    </row>
    <row r="1180" spans="1:13" x14ac:dyDescent="0.3">
      <c r="A1180" s="3">
        <v>43713</v>
      </c>
      <c r="B1180" s="8">
        <v>9.34</v>
      </c>
      <c r="C1180" s="8">
        <v>128.58000000000001</v>
      </c>
      <c r="D1180" s="8">
        <v>112.37</v>
      </c>
      <c r="E1180">
        <v>8.9999999999999992E-5</v>
      </c>
      <c r="G1180">
        <f t="shared" si="113"/>
        <v>100.90299511473103</v>
      </c>
      <c r="H1180">
        <f t="shared" si="114"/>
        <v>2.8361418564653018E-3</v>
      </c>
      <c r="I1180">
        <f t="shared" si="115"/>
        <v>2.746141856465302E-3</v>
      </c>
      <c r="K1180">
        <f t="shared" si="116"/>
        <v>1.5217391304347849E-2</v>
      </c>
      <c r="L1180">
        <f t="shared" si="117"/>
        <v>-2.1729008225981339E-3</v>
      </c>
      <c r="M1180">
        <f t="shared" si="118"/>
        <v>2.2754164012014133E-2</v>
      </c>
    </row>
    <row r="1181" spans="1:13" x14ac:dyDescent="0.3">
      <c r="A1181" s="3">
        <v>43714</v>
      </c>
      <c r="B1181" s="8">
        <v>9.34</v>
      </c>
      <c r="C1181" s="8">
        <v>128.21</v>
      </c>
      <c r="D1181" s="8">
        <v>112.61</v>
      </c>
      <c r="E1181">
        <v>8.9999999999999992E-5</v>
      </c>
      <c r="G1181">
        <f t="shared" si="113"/>
        <v>99.931058057755507</v>
      </c>
      <c r="H1181">
        <f t="shared" si="114"/>
        <v>-9.6323905536241927E-3</v>
      </c>
      <c r="I1181">
        <f t="shared" si="115"/>
        <v>-9.7223905536241925E-3</v>
      </c>
      <c r="K1181">
        <f t="shared" si="116"/>
        <v>0</v>
      </c>
      <c r="L1181">
        <f t="shared" si="117"/>
        <v>-2.8775859387152325E-3</v>
      </c>
      <c r="M1181">
        <f t="shared" si="118"/>
        <v>2.1358013704724232E-3</v>
      </c>
    </row>
    <row r="1182" spans="1:13" x14ac:dyDescent="0.3">
      <c r="A1182" s="3">
        <v>43717</v>
      </c>
      <c r="B1182" s="8">
        <v>9.5399999999999991</v>
      </c>
      <c r="C1182" s="8">
        <v>126.95</v>
      </c>
      <c r="D1182" s="8">
        <v>115.4</v>
      </c>
      <c r="E1182">
        <v>8.9999999999999992E-5</v>
      </c>
      <c r="G1182">
        <f t="shared" si="113"/>
        <v>100.64681057621958</v>
      </c>
      <c r="H1182">
        <f t="shared" si="114"/>
        <v>7.1624631258322413E-3</v>
      </c>
      <c r="I1182">
        <f t="shared" si="115"/>
        <v>7.0724631258322415E-3</v>
      </c>
      <c r="K1182">
        <f t="shared" si="116"/>
        <v>2.1413276231263323E-2</v>
      </c>
      <c r="L1182">
        <f t="shared" si="117"/>
        <v>-9.8276265501910931E-3</v>
      </c>
      <c r="M1182">
        <f t="shared" si="118"/>
        <v>2.4775774797975325E-2</v>
      </c>
    </row>
    <row r="1183" spans="1:13" x14ac:dyDescent="0.3">
      <c r="A1183" s="3">
        <v>43718</v>
      </c>
      <c r="B1183" s="8">
        <v>9.42</v>
      </c>
      <c r="C1183" s="8">
        <v>129.55000000000001</v>
      </c>
      <c r="D1183" s="8">
        <v>116.87</v>
      </c>
      <c r="E1183">
        <v>8.9999999999999992E-5</v>
      </c>
      <c r="G1183">
        <f t="shared" si="113"/>
        <v>101.41023617929726</v>
      </c>
      <c r="H1183">
        <f t="shared" si="114"/>
        <v>7.5851941925129118E-3</v>
      </c>
      <c r="I1183">
        <f t="shared" si="115"/>
        <v>7.495194192512912E-3</v>
      </c>
      <c r="K1183">
        <f t="shared" si="116"/>
        <v>-1.2578616352201144E-2</v>
      </c>
      <c r="L1183">
        <f t="shared" si="117"/>
        <v>2.0480504135486521E-2</v>
      </c>
      <c r="M1183">
        <f t="shared" si="118"/>
        <v>1.2738301559791942E-2</v>
      </c>
    </row>
    <row r="1184" spans="1:13" x14ac:dyDescent="0.3">
      <c r="A1184" s="3">
        <v>43719</v>
      </c>
      <c r="B1184" s="8">
        <v>9.42</v>
      </c>
      <c r="C1184" s="8">
        <v>131.16999999999999</v>
      </c>
      <c r="D1184" s="8">
        <v>117.19</v>
      </c>
      <c r="E1184">
        <v>8.9999999999999992E-5</v>
      </c>
      <c r="G1184">
        <f t="shared" si="113"/>
        <v>100.75189660622958</v>
      </c>
      <c r="H1184">
        <f t="shared" si="114"/>
        <v>-6.4918453784459373E-3</v>
      </c>
      <c r="I1184">
        <f t="shared" si="115"/>
        <v>-6.5818453784459371E-3</v>
      </c>
      <c r="K1184">
        <f t="shared" si="116"/>
        <v>0</v>
      </c>
      <c r="L1184">
        <f t="shared" si="117"/>
        <v>1.2504824392126412E-2</v>
      </c>
      <c r="M1184">
        <f t="shared" si="118"/>
        <v>2.7380850517668698E-3</v>
      </c>
    </row>
    <row r="1185" spans="1:13" x14ac:dyDescent="0.3">
      <c r="A1185" s="3">
        <v>43720</v>
      </c>
      <c r="B1185" s="8">
        <v>9.41</v>
      </c>
      <c r="C1185" s="8">
        <v>130.43</v>
      </c>
      <c r="D1185" s="8">
        <v>117.91</v>
      </c>
      <c r="E1185">
        <v>8.9999999999999992E-5</v>
      </c>
      <c r="G1185">
        <f t="shared" si="113"/>
        <v>99.927342425638898</v>
      </c>
      <c r="H1185">
        <f t="shared" si="114"/>
        <v>-8.1840065384902738E-3</v>
      </c>
      <c r="I1185">
        <f t="shared" si="115"/>
        <v>-8.2740065384902736E-3</v>
      </c>
      <c r="K1185">
        <f t="shared" si="116"/>
        <v>-1.0615711252653925E-3</v>
      </c>
      <c r="L1185">
        <f t="shared" si="117"/>
        <v>-5.6415338873216925E-3</v>
      </c>
      <c r="M1185">
        <f t="shared" si="118"/>
        <v>6.1438689307962147E-3</v>
      </c>
    </row>
    <row r="1186" spans="1:13" x14ac:dyDescent="0.3">
      <c r="A1186" s="3">
        <v>43721</v>
      </c>
      <c r="B1186" s="8">
        <v>9.4499999999999993</v>
      </c>
      <c r="C1186" s="8">
        <v>130.78</v>
      </c>
      <c r="D1186" s="8">
        <v>120.23</v>
      </c>
      <c r="E1186">
        <v>8.9999999999999992E-5</v>
      </c>
      <c r="G1186">
        <f t="shared" si="113"/>
        <v>100.92421812723993</v>
      </c>
      <c r="H1186">
        <f t="shared" si="114"/>
        <v>9.9760053395081538E-3</v>
      </c>
      <c r="I1186">
        <f t="shared" si="115"/>
        <v>9.886005339508154E-3</v>
      </c>
      <c r="K1186">
        <f t="shared" si="116"/>
        <v>4.2507970244420878E-3</v>
      </c>
      <c r="L1186">
        <f t="shared" si="117"/>
        <v>2.6834317258299656E-3</v>
      </c>
      <c r="M1186">
        <f t="shared" si="118"/>
        <v>1.9676024086167532E-2</v>
      </c>
    </row>
    <row r="1187" spans="1:13" x14ac:dyDescent="0.3">
      <c r="A1187" s="3">
        <v>43724</v>
      </c>
      <c r="B1187" s="8">
        <v>9.3000000000000007</v>
      </c>
      <c r="C1187" s="8">
        <v>129.54</v>
      </c>
      <c r="D1187" s="8">
        <v>119.16</v>
      </c>
      <c r="E1187">
        <v>8.9999999999999992E-5</v>
      </c>
      <c r="G1187">
        <f t="shared" si="113"/>
        <v>99.006758840186933</v>
      </c>
      <c r="H1187">
        <f t="shared" si="114"/>
        <v>-1.8999000662413446E-2</v>
      </c>
      <c r="I1187">
        <f t="shared" si="115"/>
        <v>-1.9089000662413445E-2</v>
      </c>
      <c r="K1187">
        <f t="shared" si="116"/>
        <v>-1.5873015873015706E-2</v>
      </c>
      <c r="L1187">
        <f t="shared" si="117"/>
        <v>-9.4815721058266744E-3</v>
      </c>
      <c r="M1187">
        <f t="shared" si="118"/>
        <v>-8.8996090825917973E-3</v>
      </c>
    </row>
    <row r="1188" spans="1:13" x14ac:dyDescent="0.3">
      <c r="A1188" s="3">
        <v>43725</v>
      </c>
      <c r="B1188" s="8">
        <v>9.2799999999999994</v>
      </c>
      <c r="C1188" s="8">
        <v>129.66999999999999</v>
      </c>
      <c r="D1188" s="8">
        <v>118.57</v>
      </c>
      <c r="E1188">
        <v>8.9999999999999992E-5</v>
      </c>
      <c r="G1188">
        <f t="shared" si="113"/>
        <v>99.843211420868428</v>
      </c>
      <c r="H1188">
        <f t="shared" si="114"/>
        <v>8.4484391821337823E-3</v>
      </c>
      <c r="I1188">
        <f t="shared" si="115"/>
        <v>8.3584391821337825E-3</v>
      </c>
      <c r="K1188">
        <f t="shared" si="116"/>
        <v>-2.1505376344087557E-3</v>
      </c>
      <c r="L1188">
        <f t="shared" si="117"/>
        <v>1.0035510267099035E-3</v>
      </c>
      <c r="M1188">
        <f t="shared" si="118"/>
        <v>-4.95132594830483E-3</v>
      </c>
    </row>
    <row r="1189" spans="1:13" x14ac:dyDescent="0.3">
      <c r="A1189" s="3">
        <v>43726</v>
      </c>
      <c r="B1189" s="8">
        <v>9.25</v>
      </c>
      <c r="C1189" s="8">
        <v>130.41</v>
      </c>
      <c r="D1189" s="8">
        <v>119.76</v>
      </c>
      <c r="E1189">
        <v>8.9999999999999992E-5</v>
      </c>
      <c r="G1189">
        <f t="shared" si="113"/>
        <v>100.63991325895904</v>
      </c>
      <c r="H1189">
        <f t="shared" si="114"/>
        <v>7.9795293716293791E-3</v>
      </c>
      <c r="I1189">
        <f t="shared" si="115"/>
        <v>7.8895293716293793E-3</v>
      </c>
      <c r="K1189">
        <f t="shared" si="116"/>
        <v>-3.2327586206896131E-3</v>
      </c>
      <c r="L1189">
        <f t="shared" si="117"/>
        <v>5.7067941698156766E-3</v>
      </c>
      <c r="M1189">
        <f t="shared" si="118"/>
        <v>1.0036265497174846E-2</v>
      </c>
    </row>
    <row r="1190" spans="1:13" x14ac:dyDescent="0.3">
      <c r="A1190" s="3">
        <v>43727</v>
      </c>
      <c r="B1190" s="8">
        <v>9.1</v>
      </c>
      <c r="C1190" s="8">
        <v>130.11000000000001</v>
      </c>
      <c r="D1190" s="8">
        <v>119.38</v>
      </c>
      <c r="E1190">
        <v>8.9999999999999992E-5</v>
      </c>
      <c r="G1190">
        <f t="shared" si="113"/>
        <v>99.59127978976457</v>
      </c>
      <c r="H1190">
        <f t="shared" si="114"/>
        <v>-1.0419657919380376E-2</v>
      </c>
      <c r="I1190">
        <f t="shared" si="115"/>
        <v>-1.0509657919380376E-2</v>
      </c>
      <c r="K1190">
        <f t="shared" si="116"/>
        <v>-1.6216216216216273E-2</v>
      </c>
      <c r="L1190">
        <f t="shared" si="117"/>
        <v>-2.3004370830456145E-3</v>
      </c>
      <c r="M1190">
        <f t="shared" si="118"/>
        <v>-3.1730126920508361E-3</v>
      </c>
    </row>
    <row r="1191" spans="1:13" x14ac:dyDescent="0.3">
      <c r="A1191" s="3">
        <v>43728</v>
      </c>
      <c r="B1191" s="8">
        <v>9.17</v>
      </c>
      <c r="C1191" s="8">
        <v>131.65</v>
      </c>
      <c r="D1191" s="8">
        <v>118.9</v>
      </c>
      <c r="E1191">
        <v>8.9999999999999992E-5</v>
      </c>
      <c r="G1191">
        <f t="shared" si="113"/>
        <v>100.54347374043671</v>
      </c>
      <c r="H1191">
        <f t="shared" si="114"/>
        <v>9.5610173167992585E-3</v>
      </c>
      <c r="I1191">
        <f t="shared" si="115"/>
        <v>9.4710173167992587E-3</v>
      </c>
      <c r="K1191">
        <f t="shared" si="116"/>
        <v>7.692307692307665E-3</v>
      </c>
      <c r="L1191">
        <f t="shared" si="117"/>
        <v>1.1836138651909911E-2</v>
      </c>
      <c r="M1191">
        <f t="shared" si="118"/>
        <v>-4.0207739989946978E-3</v>
      </c>
    </row>
    <row r="1192" spans="1:13" x14ac:dyDescent="0.3">
      <c r="A1192" s="3">
        <v>43731</v>
      </c>
      <c r="B1192" s="8">
        <v>9.16</v>
      </c>
      <c r="C1192" s="8">
        <v>131.74</v>
      </c>
      <c r="D1192" s="8">
        <v>118.88</v>
      </c>
      <c r="E1192">
        <v>8.9999999999999992E-5</v>
      </c>
      <c r="G1192">
        <f t="shared" si="113"/>
        <v>100.01771406291837</v>
      </c>
      <c r="H1192">
        <f t="shared" si="114"/>
        <v>-5.2291775682590247E-3</v>
      </c>
      <c r="I1192">
        <f t="shared" si="115"/>
        <v>-5.3191775682590245E-3</v>
      </c>
      <c r="K1192">
        <f t="shared" si="116"/>
        <v>-1.0905125408942062E-3</v>
      </c>
      <c r="L1192">
        <f t="shared" si="117"/>
        <v>6.836308393467494E-4</v>
      </c>
      <c r="M1192">
        <f t="shared" si="118"/>
        <v>-1.6820857863764083E-4</v>
      </c>
    </row>
    <row r="1193" spans="1:13" x14ac:dyDescent="0.3">
      <c r="A1193" s="3">
        <v>43732</v>
      </c>
      <c r="B1193" s="8">
        <v>9.11</v>
      </c>
      <c r="C1193" s="8">
        <v>131.55000000000001</v>
      </c>
      <c r="D1193" s="8">
        <v>117.33</v>
      </c>
      <c r="E1193">
        <v>8.9999999999999992E-5</v>
      </c>
      <c r="G1193">
        <f t="shared" si="113"/>
        <v>99.37731101651319</v>
      </c>
      <c r="H1193">
        <f t="shared" si="114"/>
        <v>-6.4028962509813381E-3</v>
      </c>
      <c r="I1193">
        <f t="shared" si="115"/>
        <v>-6.4928962509813379E-3</v>
      </c>
      <c r="K1193">
        <f t="shared" si="116"/>
        <v>-5.4585152838428908E-3</v>
      </c>
      <c r="L1193">
        <f t="shared" si="117"/>
        <v>-1.442234704721379E-3</v>
      </c>
      <c r="M1193">
        <f t="shared" si="118"/>
        <v>-1.3038358008075401E-2</v>
      </c>
    </row>
    <row r="1194" spans="1:13" x14ac:dyDescent="0.3">
      <c r="A1194" s="3">
        <v>43733</v>
      </c>
      <c r="B1194" s="8">
        <v>9.1999999999999993</v>
      </c>
      <c r="C1194" s="8">
        <v>130.99</v>
      </c>
      <c r="D1194" s="8">
        <v>118</v>
      </c>
      <c r="E1194">
        <v>8.9999999999999992E-5</v>
      </c>
      <c r="G1194">
        <f t="shared" si="113"/>
        <v>100.09753755285344</v>
      </c>
      <c r="H1194">
        <f t="shared" si="114"/>
        <v>7.2473940879782539E-3</v>
      </c>
      <c r="I1194">
        <f t="shared" si="115"/>
        <v>7.1573940879782541E-3</v>
      </c>
      <c r="K1194">
        <f t="shared" si="116"/>
        <v>9.8792535675082949E-3</v>
      </c>
      <c r="L1194">
        <f t="shared" si="117"/>
        <v>-4.2569365260357594E-3</v>
      </c>
      <c r="M1194">
        <f t="shared" si="118"/>
        <v>5.7103894997017068E-3</v>
      </c>
    </row>
    <row r="1195" spans="1:13" x14ac:dyDescent="0.3">
      <c r="A1195" s="3">
        <v>43734</v>
      </c>
      <c r="B1195" s="8">
        <v>9.14</v>
      </c>
      <c r="C1195" s="8">
        <v>128.85</v>
      </c>
      <c r="D1195" s="8">
        <v>117.03</v>
      </c>
      <c r="E1195">
        <v>8.9999999999999992E-5</v>
      </c>
      <c r="G1195">
        <f t="shared" si="113"/>
        <v>98.774597966933683</v>
      </c>
      <c r="H1195">
        <f t="shared" si="114"/>
        <v>-1.321650480383918E-2</v>
      </c>
      <c r="I1195">
        <f t="shared" si="115"/>
        <v>-1.3306504803839179E-2</v>
      </c>
      <c r="K1195">
        <f t="shared" si="116"/>
        <v>-6.5217391304346339E-3</v>
      </c>
      <c r="L1195">
        <f t="shared" si="117"/>
        <v>-1.6337124971371964E-2</v>
      </c>
      <c r="M1195">
        <f t="shared" si="118"/>
        <v>-8.2203389830508566E-3</v>
      </c>
    </row>
    <row r="1196" spans="1:13" x14ac:dyDescent="0.3">
      <c r="A1196" s="3">
        <v>43735</v>
      </c>
      <c r="B1196" s="8">
        <v>9.08</v>
      </c>
      <c r="C1196" s="8">
        <v>128.6</v>
      </c>
      <c r="D1196" s="8">
        <v>117.72</v>
      </c>
      <c r="E1196">
        <v>8.9999999999999992E-5</v>
      </c>
      <c r="G1196">
        <f t="shared" si="113"/>
        <v>100.05239497192791</v>
      </c>
      <c r="H1196">
        <f t="shared" si="114"/>
        <v>1.293649411179576E-2</v>
      </c>
      <c r="I1196">
        <f t="shared" si="115"/>
        <v>1.284649411179576E-2</v>
      </c>
      <c r="K1196">
        <f t="shared" si="116"/>
        <v>-6.5645514223194867E-3</v>
      </c>
      <c r="L1196">
        <f t="shared" si="117"/>
        <v>-1.9402405898331088E-3</v>
      </c>
      <c r="M1196">
        <f t="shared" si="118"/>
        <v>5.895924122020002E-3</v>
      </c>
    </row>
    <row r="1197" spans="1:13" x14ac:dyDescent="0.3">
      <c r="A1197" s="3">
        <v>43738</v>
      </c>
      <c r="B1197" s="8">
        <v>9.16</v>
      </c>
      <c r="C1197" s="8">
        <v>129.38</v>
      </c>
      <c r="D1197" s="8">
        <v>117.69</v>
      </c>
      <c r="E1197">
        <v>8.9999999999999992E-5</v>
      </c>
      <c r="G1197">
        <f t="shared" si="113"/>
        <v>100.39746867310724</v>
      </c>
      <c r="H1197">
        <f t="shared" si="114"/>
        <v>3.4489299459163902E-3</v>
      </c>
      <c r="I1197">
        <f t="shared" si="115"/>
        <v>3.3589299459163904E-3</v>
      </c>
      <c r="K1197">
        <f t="shared" si="116"/>
        <v>8.8105726872247381E-3</v>
      </c>
      <c r="L1197">
        <f t="shared" si="117"/>
        <v>6.0653188180403994E-3</v>
      </c>
      <c r="M1197">
        <f t="shared" si="118"/>
        <v>-2.5484199796121931E-4</v>
      </c>
    </row>
    <row r="1198" spans="1:13" x14ac:dyDescent="0.3">
      <c r="A1198" s="3">
        <v>43739</v>
      </c>
      <c r="B1198" s="8">
        <v>8.9</v>
      </c>
      <c r="C1198" s="8">
        <v>129.99</v>
      </c>
      <c r="D1198" s="8">
        <v>115.55</v>
      </c>
      <c r="E1198">
        <v>7.0000000000000007E-5</v>
      </c>
      <c r="G1198">
        <f t="shared" si="113"/>
        <v>99.262912385334531</v>
      </c>
      <c r="H1198">
        <f t="shared" si="114"/>
        <v>-1.1300646348632704E-2</v>
      </c>
      <c r="I1198">
        <f t="shared" si="115"/>
        <v>-1.1370646348632704E-2</v>
      </c>
      <c r="K1198">
        <f t="shared" si="116"/>
        <v>-2.8384279475982543E-2</v>
      </c>
      <c r="L1198">
        <f t="shared" si="117"/>
        <v>4.7147936311642269E-3</v>
      </c>
      <c r="M1198">
        <f t="shared" si="118"/>
        <v>-1.8183363072478587E-2</v>
      </c>
    </row>
    <row r="1199" spans="1:13" x14ac:dyDescent="0.3">
      <c r="A1199" s="3">
        <v>43740</v>
      </c>
      <c r="B1199" s="8">
        <v>8.61</v>
      </c>
      <c r="C1199" s="8">
        <v>132</v>
      </c>
      <c r="D1199" s="8">
        <v>113.25</v>
      </c>
      <c r="E1199">
        <v>7.0000000000000007E-5</v>
      </c>
      <c r="G1199">
        <f t="shared" si="113"/>
        <v>99.711812810559024</v>
      </c>
      <c r="H1199">
        <f t="shared" si="114"/>
        <v>4.5223378443892681E-3</v>
      </c>
      <c r="I1199">
        <f t="shared" si="115"/>
        <v>4.4523378443892684E-3</v>
      </c>
      <c r="K1199">
        <f t="shared" si="116"/>
        <v>-3.2584269662921495E-2</v>
      </c>
      <c r="L1199">
        <f t="shared" si="117"/>
        <v>1.5462727902146201E-2</v>
      </c>
      <c r="M1199">
        <f t="shared" si="118"/>
        <v>-1.9904803115534331E-2</v>
      </c>
    </row>
    <row r="1200" spans="1:13" x14ac:dyDescent="0.3">
      <c r="A1200" s="3">
        <v>43741</v>
      </c>
      <c r="B1200" s="8">
        <v>8.7100000000000009</v>
      </c>
      <c r="C1200" s="8">
        <v>131.19</v>
      </c>
      <c r="D1200" s="8">
        <v>112.19</v>
      </c>
      <c r="E1200">
        <v>7.0000000000000007E-5</v>
      </c>
      <c r="G1200">
        <f t="shared" si="113"/>
        <v>99.451093690381185</v>
      </c>
      <c r="H1200">
        <f t="shared" si="114"/>
        <v>-2.6147265086151616E-3</v>
      </c>
      <c r="I1200">
        <f t="shared" si="115"/>
        <v>-2.6847265086151618E-3</v>
      </c>
      <c r="K1200">
        <f t="shared" si="116"/>
        <v>1.1614401858304424E-2</v>
      </c>
      <c r="L1200">
        <f t="shared" si="117"/>
        <v>-6.1363636363636065E-3</v>
      </c>
      <c r="M1200">
        <f t="shared" si="118"/>
        <v>-9.3598233995585423E-3</v>
      </c>
    </row>
    <row r="1201" spans="1:13" x14ac:dyDescent="0.3">
      <c r="A1201" s="3">
        <v>43742</v>
      </c>
      <c r="B1201" s="8">
        <v>8.74</v>
      </c>
      <c r="C1201" s="8">
        <v>133.66</v>
      </c>
      <c r="D1201" s="8">
        <v>114.62</v>
      </c>
      <c r="E1201">
        <v>7.0000000000000007E-5</v>
      </c>
      <c r="G1201">
        <f t="shared" si="113"/>
        <v>101.82811668816041</v>
      </c>
      <c r="H1201">
        <f t="shared" si="114"/>
        <v>2.3901426415475546E-2</v>
      </c>
      <c r="I1201">
        <f t="shared" si="115"/>
        <v>2.3831426415475546E-2</v>
      </c>
      <c r="K1201">
        <f t="shared" si="116"/>
        <v>3.4443168771525201E-3</v>
      </c>
      <c r="L1201">
        <f t="shared" si="117"/>
        <v>1.8827654546840433E-2</v>
      </c>
      <c r="M1201">
        <f t="shared" si="118"/>
        <v>2.1659684463855911E-2</v>
      </c>
    </row>
    <row r="1202" spans="1:13" x14ac:dyDescent="0.3">
      <c r="A1202" s="3">
        <v>43745</v>
      </c>
      <c r="B1202" s="8">
        <v>8.68</v>
      </c>
      <c r="C1202" s="8">
        <v>133.16</v>
      </c>
      <c r="D1202" s="8">
        <v>114.37</v>
      </c>
      <c r="E1202">
        <v>7.0000000000000007E-5</v>
      </c>
      <c r="G1202">
        <f t="shared" si="113"/>
        <v>99.651868308760044</v>
      </c>
      <c r="H1202">
        <f t="shared" si="114"/>
        <v>-2.1371782668483719E-2</v>
      </c>
      <c r="I1202">
        <f t="shared" si="115"/>
        <v>-2.1441782668483719E-2</v>
      </c>
      <c r="K1202">
        <f t="shared" si="116"/>
        <v>-6.8649885583524917E-3</v>
      </c>
      <c r="L1202">
        <f t="shared" si="117"/>
        <v>-3.740834954361838E-3</v>
      </c>
      <c r="M1202">
        <f t="shared" si="118"/>
        <v>-2.1811202233467109E-3</v>
      </c>
    </row>
    <row r="1203" spans="1:13" x14ac:dyDescent="0.3">
      <c r="A1203" s="3">
        <v>43746</v>
      </c>
      <c r="B1203" s="8">
        <v>8.5399999999999991</v>
      </c>
      <c r="C1203" s="8">
        <v>131.84</v>
      </c>
      <c r="D1203" s="8">
        <v>111.82</v>
      </c>
      <c r="E1203">
        <v>7.0000000000000007E-5</v>
      </c>
      <c r="G1203">
        <f t="shared" si="113"/>
        <v>98.47757335004404</v>
      </c>
      <c r="H1203">
        <f t="shared" si="114"/>
        <v>-1.1783973332818887E-2</v>
      </c>
      <c r="I1203">
        <f t="shared" si="115"/>
        <v>-1.1853973332818887E-2</v>
      </c>
      <c r="K1203">
        <f t="shared" si="116"/>
        <v>-1.6129032258064613E-2</v>
      </c>
      <c r="L1203">
        <f t="shared" si="117"/>
        <v>-9.9128867527785713E-3</v>
      </c>
      <c r="M1203">
        <f t="shared" si="118"/>
        <v>-2.2296056658214658E-2</v>
      </c>
    </row>
    <row r="1204" spans="1:13" x14ac:dyDescent="0.3">
      <c r="A1204" s="3">
        <v>43747</v>
      </c>
      <c r="B1204" s="8">
        <v>8.56</v>
      </c>
      <c r="C1204" s="8">
        <v>129.22</v>
      </c>
      <c r="D1204" s="8">
        <v>112.63</v>
      </c>
      <c r="E1204">
        <v>7.0000000000000007E-5</v>
      </c>
      <c r="G1204">
        <f t="shared" si="113"/>
        <v>99.265971978245204</v>
      </c>
      <c r="H1204">
        <f t="shared" si="114"/>
        <v>8.0058697770584164E-3</v>
      </c>
      <c r="I1204">
        <f t="shared" si="115"/>
        <v>7.9358697770584158E-3</v>
      </c>
      <c r="K1204">
        <f t="shared" si="116"/>
        <v>2.3419203747074846E-3</v>
      </c>
      <c r="L1204">
        <f t="shared" si="117"/>
        <v>-1.9872572815534006E-2</v>
      </c>
      <c r="M1204">
        <f t="shared" si="118"/>
        <v>7.2437846539081807E-3</v>
      </c>
    </row>
    <row r="1205" spans="1:13" x14ac:dyDescent="0.3">
      <c r="A1205" s="3">
        <v>43748</v>
      </c>
      <c r="B1205" s="8">
        <v>8.6199999999999992</v>
      </c>
      <c r="C1205" s="8">
        <v>129.06</v>
      </c>
      <c r="D1205" s="8">
        <v>114.21</v>
      </c>
      <c r="E1205">
        <v>7.0000000000000007E-5</v>
      </c>
      <c r="G1205">
        <f t="shared" si="113"/>
        <v>100.5371077762068</v>
      </c>
      <c r="H1205">
        <f t="shared" si="114"/>
        <v>1.2805352857877317E-2</v>
      </c>
      <c r="I1205">
        <f t="shared" si="115"/>
        <v>1.2735352857877316E-2</v>
      </c>
      <c r="K1205">
        <f t="shared" si="116"/>
        <v>7.0093457943922743E-3</v>
      </c>
      <c r="L1205">
        <f t="shared" si="117"/>
        <v>-1.238198421297021E-3</v>
      </c>
      <c r="M1205">
        <f t="shared" si="118"/>
        <v>1.4028234040664112E-2</v>
      </c>
    </row>
    <row r="1206" spans="1:13" x14ac:dyDescent="0.3">
      <c r="A1206" s="3">
        <v>43749</v>
      </c>
      <c r="B1206" s="8">
        <v>8.7799999999999994</v>
      </c>
      <c r="C1206" s="8">
        <v>131.33000000000001</v>
      </c>
      <c r="D1206" s="8">
        <v>116.14</v>
      </c>
      <c r="E1206">
        <v>7.0000000000000007E-5</v>
      </c>
      <c r="G1206">
        <f t="shared" si="113"/>
        <v>101.74310038924203</v>
      </c>
      <c r="H1206">
        <f t="shared" si="114"/>
        <v>1.1995497381123599E-2</v>
      </c>
      <c r="I1206">
        <f t="shared" si="115"/>
        <v>1.1925497381123598E-2</v>
      </c>
      <c r="K1206">
        <f t="shared" si="116"/>
        <v>1.8561484918793614E-2</v>
      </c>
      <c r="L1206">
        <f t="shared" si="117"/>
        <v>1.7588718425538552E-2</v>
      </c>
      <c r="M1206">
        <f t="shared" si="118"/>
        <v>1.6898695385693108E-2</v>
      </c>
    </row>
    <row r="1207" spans="1:13" x14ac:dyDescent="0.3">
      <c r="A1207" s="3">
        <v>43752</v>
      </c>
      <c r="B1207" s="8">
        <v>8.82</v>
      </c>
      <c r="C1207" s="8">
        <v>130.72</v>
      </c>
      <c r="D1207" s="8">
        <v>116.45</v>
      </c>
      <c r="E1207">
        <v>7.0000000000000007E-5</v>
      </c>
      <c r="G1207">
        <f t="shared" si="113"/>
        <v>99.907178138266417</v>
      </c>
      <c r="H1207">
        <f t="shared" si="114"/>
        <v>-1.8044685526112936E-2</v>
      </c>
      <c r="I1207">
        <f t="shared" si="115"/>
        <v>-1.8114685526112936E-2</v>
      </c>
      <c r="K1207">
        <f t="shared" si="116"/>
        <v>4.5558086560364419E-3</v>
      </c>
      <c r="L1207">
        <f t="shared" si="117"/>
        <v>-4.6447879387803148E-3</v>
      </c>
      <c r="M1207">
        <f t="shared" si="118"/>
        <v>2.669192354055383E-3</v>
      </c>
    </row>
    <row r="1208" spans="1:13" x14ac:dyDescent="0.3">
      <c r="A1208" s="3">
        <v>43753</v>
      </c>
      <c r="B1208" s="8">
        <v>9.07</v>
      </c>
      <c r="C1208" s="8">
        <v>132.84</v>
      </c>
      <c r="D1208" s="8">
        <v>119.96</v>
      </c>
      <c r="E1208">
        <v>7.0000000000000007E-5</v>
      </c>
      <c r="G1208">
        <f t="shared" si="113"/>
        <v>102.27284633049392</v>
      </c>
      <c r="H1208">
        <f t="shared" si="114"/>
        <v>2.3678660896152337E-2</v>
      </c>
      <c r="I1208">
        <f t="shared" si="115"/>
        <v>2.3608660896152336E-2</v>
      </c>
      <c r="K1208">
        <f t="shared" si="116"/>
        <v>2.8344671201814053E-2</v>
      </c>
      <c r="L1208">
        <f t="shared" si="117"/>
        <v>1.6217870257037914E-2</v>
      </c>
      <c r="M1208">
        <f t="shared" si="118"/>
        <v>3.0141691713181595E-2</v>
      </c>
    </row>
    <row r="1209" spans="1:13" x14ac:dyDescent="0.3">
      <c r="A1209" s="3">
        <v>43754</v>
      </c>
      <c r="B1209" s="8">
        <v>9.07</v>
      </c>
      <c r="C1209" s="8">
        <v>135.16999999999999</v>
      </c>
      <c r="D1209" s="8">
        <v>119.68</v>
      </c>
      <c r="E1209">
        <v>7.0000000000000007E-5</v>
      </c>
      <c r="G1209">
        <f t="shared" si="113"/>
        <v>100.82228831633265</v>
      </c>
      <c r="H1209">
        <f t="shared" si="114"/>
        <v>-1.4183217405271065E-2</v>
      </c>
      <c r="I1209">
        <f t="shared" si="115"/>
        <v>-1.4253217405271065E-2</v>
      </c>
      <c r="K1209">
        <f t="shared" si="116"/>
        <v>0</v>
      </c>
      <c r="L1209">
        <f t="shared" si="117"/>
        <v>1.753989762119823E-2</v>
      </c>
      <c r="M1209">
        <f t="shared" si="118"/>
        <v>-2.3341113704566929E-3</v>
      </c>
    </row>
    <row r="1210" spans="1:13" x14ac:dyDescent="0.3">
      <c r="A1210" s="3">
        <v>43755</v>
      </c>
      <c r="B1210" s="8">
        <v>9.11</v>
      </c>
      <c r="C1210" s="8">
        <v>136.16999999999999</v>
      </c>
      <c r="D1210" s="8">
        <v>120.35</v>
      </c>
      <c r="E1210">
        <v>7.0000000000000007E-5</v>
      </c>
      <c r="G1210">
        <f t="shared" si="113"/>
        <v>100.64076532902986</v>
      </c>
      <c r="H1210">
        <f t="shared" si="114"/>
        <v>-1.8004251870702426E-3</v>
      </c>
      <c r="I1210">
        <f t="shared" si="115"/>
        <v>-1.8704251870702425E-3</v>
      </c>
      <c r="K1210">
        <f t="shared" si="116"/>
        <v>4.4101433296581671E-3</v>
      </c>
      <c r="L1210">
        <f t="shared" si="117"/>
        <v>7.398091292446507E-3</v>
      </c>
      <c r="M1210">
        <f t="shared" si="118"/>
        <v>5.5982620320853549E-3</v>
      </c>
    </row>
    <row r="1211" spans="1:13" x14ac:dyDescent="0.3">
      <c r="A1211" s="3">
        <v>43756</v>
      </c>
      <c r="B1211" s="8">
        <v>9.2899999999999991</v>
      </c>
      <c r="C1211" s="8">
        <v>127.7</v>
      </c>
      <c r="D1211" s="8">
        <v>120.56</v>
      </c>
      <c r="E1211">
        <v>7.0000000000000007E-5</v>
      </c>
      <c r="G1211">
        <f t="shared" si="113"/>
        <v>97.045170319982347</v>
      </c>
      <c r="H1211">
        <f t="shared" si="114"/>
        <v>-3.5727023709450689E-2</v>
      </c>
      <c r="I1211">
        <f t="shared" si="115"/>
        <v>-3.579702370945069E-2</v>
      </c>
      <c r="K1211">
        <f t="shared" si="116"/>
        <v>1.9758507135016368E-2</v>
      </c>
      <c r="L1211">
        <f t="shared" si="117"/>
        <v>-6.220165969009317E-2</v>
      </c>
      <c r="M1211">
        <f t="shared" si="118"/>
        <v>1.7449106771916245E-3</v>
      </c>
    </row>
    <row r="1212" spans="1:13" x14ac:dyDescent="0.3">
      <c r="A1212" s="3">
        <v>43759</v>
      </c>
      <c r="B1212" s="8">
        <v>9.0299999999999994</v>
      </c>
      <c r="C1212" s="8">
        <v>128.02000000000001</v>
      </c>
      <c r="D1212" s="8">
        <v>123.55</v>
      </c>
      <c r="E1212">
        <v>7.0000000000000007E-5</v>
      </c>
      <c r="G1212">
        <f t="shared" si="113"/>
        <v>100.7699997864725</v>
      </c>
      <c r="H1212">
        <f t="shared" si="114"/>
        <v>3.8382430101451259E-2</v>
      </c>
      <c r="I1212">
        <f t="shared" si="115"/>
        <v>3.8312430101451259E-2</v>
      </c>
      <c r="K1212">
        <f t="shared" si="116"/>
        <v>-2.7987082884822323E-2</v>
      </c>
      <c r="L1212">
        <f t="shared" si="117"/>
        <v>2.5058731401723655E-3</v>
      </c>
      <c r="M1212">
        <f t="shared" si="118"/>
        <v>2.4800928998009342E-2</v>
      </c>
    </row>
    <row r="1213" spans="1:13" x14ac:dyDescent="0.3">
      <c r="A1213" s="3">
        <v>43760</v>
      </c>
      <c r="B1213" s="8">
        <v>9.07</v>
      </c>
      <c r="C1213" s="8">
        <v>129.19999999999999</v>
      </c>
      <c r="D1213" s="8">
        <v>124.79</v>
      </c>
      <c r="E1213">
        <v>7.0000000000000007E-5</v>
      </c>
      <c r="G1213">
        <f t="shared" si="113"/>
        <v>100.9023795451125</v>
      </c>
      <c r="H1213">
        <f t="shared" si="114"/>
        <v>1.3136822359880451E-3</v>
      </c>
      <c r="I1213">
        <f t="shared" si="115"/>
        <v>1.2436822359880452E-3</v>
      </c>
      <c r="K1213">
        <f t="shared" si="116"/>
        <v>4.4296788482836025E-3</v>
      </c>
      <c r="L1213">
        <f t="shared" si="117"/>
        <v>9.2173097953442973E-3</v>
      </c>
      <c r="M1213">
        <f t="shared" si="118"/>
        <v>1.0036422501011888E-2</v>
      </c>
    </row>
    <row r="1214" spans="1:13" x14ac:dyDescent="0.3">
      <c r="A1214" s="3">
        <v>43761</v>
      </c>
      <c r="B1214" s="8">
        <v>9.2100000000000009</v>
      </c>
      <c r="C1214" s="8">
        <v>129.9</v>
      </c>
      <c r="D1214" s="8">
        <v>125.12</v>
      </c>
      <c r="E1214">
        <v>7.0000000000000007E-5</v>
      </c>
      <c r="G1214">
        <f t="shared" si="113"/>
        <v>100.5424116952619</v>
      </c>
      <c r="H1214">
        <f t="shared" si="114"/>
        <v>-3.5674862324693857E-3</v>
      </c>
      <c r="I1214">
        <f t="shared" si="115"/>
        <v>-3.6374862324693859E-3</v>
      </c>
      <c r="K1214">
        <f t="shared" si="116"/>
        <v>1.5435501653803918E-2</v>
      </c>
      <c r="L1214">
        <f t="shared" si="117"/>
        <v>5.4179566563468118E-3</v>
      </c>
      <c r="M1214">
        <f t="shared" si="118"/>
        <v>2.6444426636749174E-3</v>
      </c>
    </row>
    <row r="1215" spans="1:13" x14ac:dyDescent="0.3">
      <c r="A1215" s="3">
        <v>43762</v>
      </c>
      <c r="B1215" s="8">
        <v>8.6</v>
      </c>
      <c r="C1215" s="8">
        <v>127.5</v>
      </c>
      <c r="D1215" s="8">
        <v>125.03</v>
      </c>
      <c r="E1215">
        <v>7.0000000000000007E-5</v>
      </c>
      <c r="G1215">
        <f t="shared" si="113"/>
        <v>98.3201176587189</v>
      </c>
      <c r="H1215">
        <f t="shared" si="114"/>
        <v>-2.2103050832703808E-2</v>
      </c>
      <c r="I1215">
        <f t="shared" si="115"/>
        <v>-2.2173050832703808E-2</v>
      </c>
      <c r="K1215">
        <f t="shared" si="116"/>
        <v>-6.6232356134636405E-2</v>
      </c>
      <c r="L1215">
        <f t="shared" si="117"/>
        <v>-1.8475750577367278E-2</v>
      </c>
      <c r="M1215">
        <f t="shared" si="118"/>
        <v>-7.1930946291565157E-4</v>
      </c>
    </row>
    <row r="1216" spans="1:13" x14ac:dyDescent="0.3">
      <c r="A1216" s="3">
        <v>43763</v>
      </c>
      <c r="B1216" s="8">
        <v>8.7200000000000006</v>
      </c>
      <c r="C1216" s="8">
        <v>128.35</v>
      </c>
      <c r="D1216" s="8">
        <v>126.03</v>
      </c>
      <c r="E1216">
        <v>7.0000000000000007E-5</v>
      </c>
      <c r="G1216">
        <f t="shared" si="113"/>
        <v>100.7931367077588</v>
      </c>
      <c r="H1216">
        <f t="shared" si="114"/>
        <v>2.5152726704661399E-2</v>
      </c>
      <c r="I1216">
        <f t="shared" si="115"/>
        <v>2.5082726704661398E-2</v>
      </c>
      <c r="K1216">
        <f t="shared" si="116"/>
        <v>1.3953488372093092E-2</v>
      </c>
      <c r="L1216">
        <f t="shared" si="117"/>
        <v>6.6666666666665986E-3</v>
      </c>
      <c r="M1216">
        <f t="shared" si="118"/>
        <v>7.998080460689394E-3</v>
      </c>
    </row>
    <row r="1217" spans="1:13" x14ac:dyDescent="0.3">
      <c r="A1217" s="3">
        <v>43766</v>
      </c>
      <c r="B1217" s="8">
        <v>8.61</v>
      </c>
      <c r="C1217" s="8">
        <v>129.18</v>
      </c>
      <c r="D1217" s="8">
        <v>126.51</v>
      </c>
      <c r="E1217">
        <v>7.0000000000000007E-5</v>
      </c>
      <c r="G1217">
        <f t="shared" si="113"/>
        <v>100.34666596659987</v>
      </c>
      <c r="H1217">
        <f t="shared" si="114"/>
        <v>-4.429574827633731E-3</v>
      </c>
      <c r="I1217">
        <f t="shared" si="115"/>
        <v>-4.4995748276337308E-3</v>
      </c>
      <c r="K1217">
        <f t="shared" si="116"/>
        <v>-1.2614678899082743E-2</v>
      </c>
      <c r="L1217">
        <f t="shared" si="117"/>
        <v>6.4666926373200262E-3</v>
      </c>
      <c r="M1217">
        <f t="shared" si="118"/>
        <v>3.8086169959534732E-3</v>
      </c>
    </row>
    <row r="1218" spans="1:13" x14ac:dyDescent="0.3">
      <c r="A1218" s="3">
        <v>43767</v>
      </c>
      <c r="B1218" s="8">
        <v>8.64</v>
      </c>
      <c r="C1218" s="8">
        <v>129.12440000000001</v>
      </c>
      <c r="D1218" s="8">
        <v>126.43</v>
      </c>
      <c r="E1218">
        <v>7.0000000000000007E-5</v>
      </c>
      <c r="G1218">
        <f t="shared" si="113"/>
        <v>99.990386804426095</v>
      </c>
      <c r="H1218">
        <f t="shared" si="114"/>
        <v>-3.5504833044713857E-3</v>
      </c>
      <c r="I1218">
        <f t="shared" si="115"/>
        <v>-3.6204833044713859E-3</v>
      </c>
      <c r="K1218">
        <f t="shared" si="116"/>
        <v>3.4843205574914826E-3</v>
      </c>
      <c r="L1218">
        <f t="shared" si="117"/>
        <v>-4.3040718377451714E-4</v>
      </c>
      <c r="M1218">
        <f t="shared" si="118"/>
        <v>-6.3236107817565834E-4</v>
      </c>
    </row>
    <row r="1219" spans="1:13" x14ac:dyDescent="0.3">
      <c r="A1219" s="3">
        <v>43768</v>
      </c>
      <c r="B1219" s="8">
        <v>8.5399999999999991</v>
      </c>
      <c r="C1219" s="8">
        <v>132.84</v>
      </c>
      <c r="D1219" s="8">
        <v>125.73</v>
      </c>
      <c r="E1219">
        <v>7.0000000000000007E-5</v>
      </c>
      <c r="G1219">
        <f t="shared" si="113"/>
        <v>101.16346776470984</v>
      </c>
      <c r="H1219">
        <f t="shared" si="114"/>
        <v>1.1731937416925797E-2</v>
      </c>
      <c r="I1219">
        <f t="shared" si="115"/>
        <v>1.1661937416925797E-2</v>
      </c>
      <c r="K1219">
        <f t="shared" si="116"/>
        <v>-1.1574074074074292E-2</v>
      </c>
      <c r="L1219">
        <f t="shared" si="117"/>
        <v>2.8775351521478365E-2</v>
      </c>
      <c r="M1219">
        <f t="shared" si="118"/>
        <v>-5.5366606027050791E-3</v>
      </c>
    </row>
    <row r="1220" spans="1:13" x14ac:dyDescent="0.3">
      <c r="A1220" s="3">
        <v>43769</v>
      </c>
      <c r="B1220" s="8">
        <v>8.59</v>
      </c>
      <c r="C1220" s="8">
        <v>132.04</v>
      </c>
      <c r="D1220" s="8">
        <v>124.92</v>
      </c>
      <c r="E1220">
        <v>7.0000000000000007E-5</v>
      </c>
      <c r="G1220">
        <f t="shared" si="113"/>
        <v>99.506437773124389</v>
      </c>
      <c r="H1220">
        <f t="shared" si="114"/>
        <v>-1.6379727071430872E-2</v>
      </c>
      <c r="I1220">
        <f t="shared" si="115"/>
        <v>-1.6449727071430872E-2</v>
      </c>
      <c r="K1220">
        <f t="shared" si="116"/>
        <v>5.8548009367682674E-3</v>
      </c>
      <c r="L1220">
        <f t="shared" si="117"/>
        <v>-6.0222824450467671E-3</v>
      </c>
      <c r="M1220">
        <f t="shared" si="118"/>
        <v>-6.4423765211166772E-3</v>
      </c>
    </row>
    <row r="1221" spans="1:13" x14ac:dyDescent="0.3">
      <c r="A1221" s="3">
        <v>43770</v>
      </c>
      <c r="B1221" s="8">
        <v>8.89</v>
      </c>
      <c r="C1221" s="8">
        <v>131.19999999999999</v>
      </c>
      <c r="D1221" s="8">
        <v>127.8</v>
      </c>
      <c r="E1221">
        <v>6.0000000000000002E-5</v>
      </c>
      <c r="G1221">
        <f t="shared" ref="G1221:G1284" si="119">$G$4*(B1221*$P$8/B1220 + C1221*$Q$8/C1220 + D1221*$R$8/D1220)</f>
        <v>100.90348796808803</v>
      </c>
      <c r="H1221">
        <f t="shared" ref="H1221:H1284" si="120">G1221/G1220-1</f>
        <v>1.4039797084776762E-2</v>
      </c>
      <c r="I1221">
        <f t="shared" si="115"/>
        <v>1.3979797084776762E-2</v>
      </c>
      <c r="K1221">
        <f t="shared" si="116"/>
        <v>3.4924330616996624E-2</v>
      </c>
      <c r="L1221">
        <f t="shared" si="117"/>
        <v>-6.3617085731596523E-3</v>
      </c>
      <c r="M1221">
        <f t="shared" si="118"/>
        <v>2.3054755043227626E-2</v>
      </c>
    </row>
    <row r="1222" spans="1:13" x14ac:dyDescent="0.3">
      <c r="A1222" s="3">
        <v>43773</v>
      </c>
      <c r="B1222" s="8">
        <v>9</v>
      </c>
      <c r="C1222" s="8">
        <v>130.22999999999999</v>
      </c>
      <c r="D1222" s="8">
        <v>128.82</v>
      </c>
      <c r="E1222">
        <v>6.0000000000000002E-5</v>
      </c>
      <c r="G1222">
        <f t="shared" si="119"/>
        <v>100.0463894484881</v>
      </c>
      <c r="H1222">
        <f t="shared" si="120"/>
        <v>-8.4942407528171282E-3</v>
      </c>
      <c r="I1222">
        <f t="shared" ref="I1222:I1285" si="121">H1222-E1222</f>
        <v>-8.5542407528171275E-3</v>
      </c>
      <c r="K1222">
        <f t="shared" ref="K1222:K1285" si="122">B1222/B1221-1</f>
        <v>1.2373453318335059E-2</v>
      </c>
      <c r="L1222">
        <f t="shared" ref="L1222:L1285" si="123">C1222/C1221-1</f>
        <v>-7.3932926829267664E-3</v>
      </c>
      <c r="M1222">
        <f t="shared" ref="M1222:M1285" si="124">D1222/D1221-1</f>
        <v>7.9812206572769107E-3</v>
      </c>
    </row>
    <row r="1223" spans="1:13" x14ac:dyDescent="0.3">
      <c r="A1223" s="3">
        <v>43774</v>
      </c>
      <c r="B1223" s="8">
        <v>9.02</v>
      </c>
      <c r="C1223" s="8">
        <v>130.41999999999999</v>
      </c>
      <c r="D1223" s="8">
        <v>129.1</v>
      </c>
      <c r="E1223">
        <v>6.0000000000000002E-5</v>
      </c>
      <c r="G1223">
        <f t="shared" si="119"/>
        <v>100.18078673345249</v>
      </c>
      <c r="H1223">
        <f t="shared" si="120"/>
        <v>1.3433496771373399E-3</v>
      </c>
      <c r="I1223">
        <f t="shared" si="121"/>
        <v>1.2833496771373399E-3</v>
      </c>
      <c r="K1223">
        <f t="shared" si="122"/>
        <v>2.2222222222221255E-3</v>
      </c>
      <c r="L1223">
        <f t="shared" si="123"/>
        <v>1.458957229516944E-3</v>
      </c>
      <c r="M1223">
        <f t="shared" si="124"/>
        <v>2.173575531749794E-3</v>
      </c>
    </row>
    <row r="1224" spans="1:13" x14ac:dyDescent="0.3">
      <c r="A1224" s="3">
        <v>43775</v>
      </c>
      <c r="B1224" s="8">
        <v>8.92</v>
      </c>
      <c r="C1224" s="8">
        <v>130.96</v>
      </c>
      <c r="D1224" s="8">
        <v>129.30000000000001</v>
      </c>
      <c r="E1224">
        <v>6.0000000000000002E-5</v>
      </c>
      <c r="G1224">
        <f t="shared" si="119"/>
        <v>100.15695241596987</v>
      </c>
      <c r="H1224">
        <f t="shared" si="120"/>
        <v>-2.3791305957732156E-4</v>
      </c>
      <c r="I1224">
        <f t="shared" si="121"/>
        <v>-2.9791305957732156E-4</v>
      </c>
      <c r="K1224">
        <f t="shared" si="122"/>
        <v>-1.1086474501108556E-2</v>
      </c>
      <c r="L1224">
        <f t="shared" si="123"/>
        <v>4.1404692531821219E-3</v>
      </c>
      <c r="M1224">
        <f t="shared" si="124"/>
        <v>1.5491866769947737E-3</v>
      </c>
    </row>
    <row r="1225" spans="1:13" x14ac:dyDescent="0.3">
      <c r="A1225" s="3">
        <v>43776</v>
      </c>
      <c r="B1225" s="8">
        <v>8.89</v>
      </c>
      <c r="C1225" s="8">
        <v>131.43</v>
      </c>
      <c r="D1225" s="8">
        <v>130</v>
      </c>
      <c r="E1225">
        <v>6.0000000000000002E-5</v>
      </c>
      <c r="G1225">
        <f t="shared" si="119"/>
        <v>100.35470073858932</v>
      </c>
      <c r="H1225">
        <f t="shared" si="120"/>
        <v>1.9743843822059848E-3</v>
      </c>
      <c r="I1225">
        <f t="shared" si="121"/>
        <v>1.9143843822059848E-3</v>
      </c>
      <c r="K1225">
        <f t="shared" si="122"/>
        <v>-3.3632286995515237E-3</v>
      </c>
      <c r="L1225">
        <f t="shared" si="123"/>
        <v>3.5888821014049554E-3</v>
      </c>
      <c r="M1225">
        <f t="shared" si="124"/>
        <v>5.4137664346480818E-3</v>
      </c>
    </row>
    <row r="1226" spans="1:13" x14ac:dyDescent="0.3">
      <c r="A1226" s="3">
        <v>43777</v>
      </c>
      <c r="B1226" s="8">
        <v>9.0399999999999991</v>
      </c>
      <c r="C1226" s="8">
        <v>133</v>
      </c>
      <c r="D1226" s="8">
        <v>130.38</v>
      </c>
      <c r="E1226">
        <v>6.0000000000000002E-5</v>
      </c>
      <c r="G1226">
        <f t="shared" si="119"/>
        <v>100.90666836340407</v>
      </c>
      <c r="H1226">
        <f t="shared" si="120"/>
        <v>5.5001671147678621E-3</v>
      </c>
      <c r="I1226">
        <f t="shared" si="121"/>
        <v>5.440167114767862E-3</v>
      </c>
      <c r="K1226">
        <f t="shared" si="122"/>
        <v>1.6872890888638858E-2</v>
      </c>
      <c r="L1226">
        <f t="shared" si="123"/>
        <v>1.194552233127899E-2</v>
      </c>
      <c r="M1226">
        <f t="shared" si="124"/>
        <v>2.9230769230768061E-3</v>
      </c>
    </row>
    <row r="1227" spans="1:13" x14ac:dyDescent="0.3">
      <c r="A1227" s="3">
        <v>43780</v>
      </c>
      <c r="B1227" s="8">
        <v>9.08</v>
      </c>
      <c r="C1227" s="8">
        <v>131.97999999999999</v>
      </c>
      <c r="D1227" s="8">
        <v>129.91999999999999</v>
      </c>
      <c r="E1227">
        <v>6.0000000000000002E-5</v>
      </c>
      <c r="G1227">
        <f t="shared" si="119"/>
        <v>99.51566110218171</v>
      </c>
      <c r="H1227">
        <f t="shared" si="120"/>
        <v>-1.3785087584229805E-2</v>
      </c>
      <c r="I1227">
        <f t="shared" si="121"/>
        <v>-1.3845087584229804E-2</v>
      </c>
      <c r="K1227">
        <f t="shared" si="122"/>
        <v>4.4247787610620648E-3</v>
      </c>
      <c r="L1227">
        <f t="shared" si="123"/>
        <v>-7.6691729323309366E-3</v>
      </c>
      <c r="M1227">
        <f t="shared" si="124"/>
        <v>-3.5281484890321568E-3</v>
      </c>
    </row>
    <row r="1228" spans="1:13" x14ac:dyDescent="0.3">
      <c r="A1228" s="3">
        <v>43781</v>
      </c>
      <c r="B1228" s="8">
        <v>9.0399999999999991</v>
      </c>
      <c r="C1228" s="8">
        <v>131.35</v>
      </c>
      <c r="D1228" s="8">
        <v>129.16</v>
      </c>
      <c r="E1228">
        <v>6.0000000000000002E-5</v>
      </c>
      <c r="G1228">
        <f t="shared" si="119"/>
        <v>99.486011006195113</v>
      </c>
      <c r="H1228">
        <f t="shared" si="120"/>
        <v>-2.979440186420268E-4</v>
      </c>
      <c r="I1228">
        <f t="shared" si="121"/>
        <v>-3.5794401864202679E-4</v>
      </c>
      <c r="K1228">
        <f t="shared" si="122"/>
        <v>-4.4052863436124801E-3</v>
      </c>
      <c r="L1228">
        <f t="shared" si="123"/>
        <v>-4.7734505228064217E-3</v>
      </c>
      <c r="M1228">
        <f t="shared" si="124"/>
        <v>-5.8497536945811834E-3</v>
      </c>
    </row>
    <row r="1229" spans="1:13" x14ac:dyDescent="0.3">
      <c r="A1229" s="3">
        <v>43782</v>
      </c>
      <c r="B1229" s="8">
        <v>8.81</v>
      </c>
      <c r="C1229" s="8">
        <v>131.27000000000001</v>
      </c>
      <c r="D1229" s="8">
        <v>128.47999999999999</v>
      </c>
      <c r="E1229">
        <v>6.0000000000000002E-5</v>
      </c>
      <c r="G1229">
        <f t="shared" si="119"/>
        <v>99.503634243314721</v>
      </c>
      <c r="H1229">
        <f t="shared" si="120"/>
        <v>1.7714286603087714E-4</v>
      </c>
      <c r="I1229">
        <f t="shared" si="121"/>
        <v>1.1714286603087715E-4</v>
      </c>
      <c r="K1229">
        <f t="shared" si="122"/>
        <v>-2.5442477876106095E-2</v>
      </c>
      <c r="L1229">
        <f t="shared" si="123"/>
        <v>-6.0905976398917261E-4</v>
      </c>
      <c r="M1229">
        <f t="shared" si="124"/>
        <v>-5.2647878600186049E-3</v>
      </c>
    </row>
    <row r="1230" spans="1:13" x14ac:dyDescent="0.3">
      <c r="A1230" s="3">
        <v>43783</v>
      </c>
      <c r="B1230" s="8">
        <v>8.7899999999999991</v>
      </c>
      <c r="C1230" s="8">
        <v>130.96</v>
      </c>
      <c r="D1230" s="8">
        <v>128.6</v>
      </c>
      <c r="E1230">
        <v>6.0000000000000002E-5</v>
      </c>
      <c r="G1230">
        <f t="shared" si="119"/>
        <v>99.888818001136514</v>
      </c>
      <c r="H1230">
        <f t="shared" si="120"/>
        <v>3.871052155541399E-3</v>
      </c>
      <c r="I1230">
        <f t="shared" si="121"/>
        <v>3.8110521555413989E-3</v>
      </c>
      <c r="K1230">
        <f t="shared" si="122"/>
        <v>-2.2701475595915399E-3</v>
      </c>
      <c r="L1230">
        <f t="shared" si="123"/>
        <v>-2.3615449074426698E-3</v>
      </c>
      <c r="M1230">
        <f t="shared" si="124"/>
        <v>9.3399750934008985E-4</v>
      </c>
    </row>
    <row r="1231" spans="1:13" x14ac:dyDescent="0.3">
      <c r="A1231" s="3">
        <v>43784</v>
      </c>
      <c r="B1231" s="8">
        <v>8.9499999999999993</v>
      </c>
      <c r="C1231" s="8">
        <v>134.94</v>
      </c>
      <c r="D1231" s="8">
        <v>129.53</v>
      </c>
      <c r="E1231">
        <v>6.0000000000000002E-5</v>
      </c>
      <c r="G1231">
        <f t="shared" si="119"/>
        <v>102.03985248123834</v>
      </c>
      <c r="H1231">
        <f t="shared" si="120"/>
        <v>2.153428705180338E-2</v>
      </c>
      <c r="I1231">
        <f t="shared" si="121"/>
        <v>2.1474287051803379E-2</v>
      </c>
      <c r="K1231">
        <f t="shared" si="122"/>
        <v>1.8202502844141044E-2</v>
      </c>
      <c r="L1231">
        <f t="shared" si="123"/>
        <v>3.0390959071472157E-2</v>
      </c>
      <c r="M1231">
        <f t="shared" si="124"/>
        <v>7.2317262830483564E-3</v>
      </c>
    </row>
    <row r="1232" spans="1:13" x14ac:dyDescent="0.3">
      <c r="A1232" s="3">
        <v>43787</v>
      </c>
      <c r="B1232" s="8">
        <v>8.9499999999999993</v>
      </c>
      <c r="C1232" s="8">
        <v>134.83000000000001</v>
      </c>
      <c r="D1232" s="8">
        <v>130.62</v>
      </c>
      <c r="E1232">
        <v>6.0000000000000002E-5</v>
      </c>
      <c r="G1232">
        <f t="shared" si="119"/>
        <v>100.2743679912177</v>
      </c>
      <c r="H1232">
        <f t="shared" si="120"/>
        <v>-1.7301911430587902E-2</v>
      </c>
      <c r="I1232">
        <f t="shared" si="121"/>
        <v>-1.7361911430587903E-2</v>
      </c>
      <c r="K1232">
        <f t="shared" si="122"/>
        <v>0</v>
      </c>
      <c r="L1232">
        <f t="shared" si="123"/>
        <v>-8.1517711575507246E-4</v>
      </c>
      <c r="M1232">
        <f t="shared" si="124"/>
        <v>8.4150389871071596E-3</v>
      </c>
    </row>
    <row r="1233" spans="1:13" x14ac:dyDescent="0.3">
      <c r="A1233" s="3">
        <v>43788</v>
      </c>
      <c r="B1233" s="8">
        <v>8.9</v>
      </c>
      <c r="C1233" s="8">
        <v>134.82</v>
      </c>
      <c r="D1233" s="8">
        <v>130.58000000000001</v>
      </c>
      <c r="E1233">
        <v>6.0000000000000002E-5</v>
      </c>
      <c r="G1233">
        <f t="shared" si="119"/>
        <v>99.926078946002491</v>
      </c>
      <c r="H1233">
        <f t="shared" si="120"/>
        <v>-3.4733606622753266E-3</v>
      </c>
      <c r="I1233">
        <f t="shared" si="121"/>
        <v>-3.5333606622753267E-3</v>
      </c>
      <c r="K1233">
        <f t="shared" si="122"/>
        <v>-5.5865921787707773E-3</v>
      </c>
      <c r="L1233">
        <f t="shared" si="123"/>
        <v>-7.4167470147767922E-5</v>
      </c>
      <c r="M1233">
        <f t="shared" si="124"/>
        <v>-3.0623181748579142E-4</v>
      </c>
    </row>
    <row r="1234" spans="1:13" x14ac:dyDescent="0.3">
      <c r="A1234" s="3">
        <v>43789</v>
      </c>
      <c r="B1234" s="8">
        <v>8.73</v>
      </c>
      <c r="C1234" s="8">
        <v>135.94</v>
      </c>
      <c r="D1234" s="8">
        <v>129.63</v>
      </c>
      <c r="E1234">
        <v>6.0000000000000002E-5</v>
      </c>
      <c r="G1234">
        <f t="shared" si="119"/>
        <v>99.957100494207069</v>
      </c>
      <c r="H1234">
        <f t="shared" si="120"/>
        <v>3.1044496623700013E-4</v>
      </c>
      <c r="I1234">
        <f t="shared" si="121"/>
        <v>2.5044496623700014E-4</v>
      </c>
      <c r="K1234">
        <f t="shared" si="122"/>
        <v>-1.9101123595505642E-2</v>
      </c>
      <c r="L1234">
        <f t="shared" si="123"/>
        <v>8.3073727933540287E-3</v>
      </c>
      <c r="M1234">
        <f t="shared" si="124"/>
        <v>-7.2752335732885198E-3</v>
      </c>
    </row>
    <row r="1235" spans="1:13" x14ac:dyDescent="0.3">
      <c r="A1235" s="3">
        <v>43790</v>
      </c>
      <c r="B1235" s="8">
        <v>8.7100000000000009</v>
      </c>
      <c r="C1235" s="8">
        <v>136.44</v>
      </c>
      <c r="D1235" s="8">
        <v>129.93</v>
      </c>
      <c r="E1235">
        <v>6.0000000000000002E-5</v>
      </c>
      <c r="G1235">
        <f t="shared" si="119"/>
        <v>100.25393064271908</v>
      </c>
      <c r="H1235">
        <f t="shared" si="120"/>
        <v>2.9695754182987866E-3</v>
      </c>
      <c r="I1235">
        <f t="shared" si="121"/>
        <v>2.9095754182987864E-3</v>
      </c>
      <c r="K1235">
        <f t="shared" si="122"/>
        <v>-2.2909507445589838E-3</v>
      </c>
      <c r="L1235">
        <f t="shared" si="123"/>
        <v>3.6780932764455265E-3</v>
      </c>
      <c r="M1235">
        <f t="shared" si="124"/>
        <v>2.3142791020598352E-3</v>
      </c>
    </row>
    <row r="1236" spans="1:13" x14ac:dyDescent="0.3">
      <c r="A1236" s="3">
        <v>43791</v>
      </c>
      <c r="B1236" s="8">
        <v>8.89</v>
      </c>
      <c r="C1236" s="8">
        <v>138.07</v>
      </c>
      <c r="D1236" s="8">
        <v>130.79</v>
      </c>
      <c r="E1236">
        <v>6.0000000000000002E-5</v>
      </c>
      <c r="G1236">
        <f t="shared" si="119"/>
        <v>101.08555758021571</v>
      </c>
      <c r="H1236">
        <f t="shared" si="120"/>
        <v>8.2952053068157117E-3</v>
      </c>
      <c r="I1236">
        <f t="shared" si="121"/>
        <v>8.2352053068157124E-3</v>
      </c>
      <c r="K1236">
        <f t="shared" si="122"/>
        <v>2.0665901262916231E-2</v>
      </c>
      <c r="L1236">
        <f t="shared" si="123"/>
        <v>1.1946643213133878E-2</v>
      </c>
      <c r="M1236">
        <f t="shared" si="124"/>
        <v>6.6189486646655027E-3</v>
      </c>
    </row>
    <row r="1237" spans="1:13" x14ac:dyDescent="0.3">
      <c r="A1237" s="3">
        <v>43794</v>
      </c>
      <c r="B1237" s="8">
        <v>9</v>
      </c>
      <c r="C1237" s="8">
        <v>137.18</v>
      </c>
      <c r="D1237" s="8">
        <v>131.49</v>
      </c>
      <c r="E1237">
        <v>6.0000000000000002E-5</v>
      </c>
      <c r="G1237">
        <f t="shared" si="119"/>
        <v>99.996606157136853</v>
      </c>
      <c r="H1237">
        <f t="shared" si="120"/>
        <v>-1.0772571761447969E-2</v>
      </c>
      <c r="I1237">
        <f t="shared" si="121"/>
        <v>-1.0832571761447968E-2</v>
      </c>
      <c r="K1237">
        <f t="shared" si="122"/>
        <v>1.2373453318335059E-2</v>
      </c>
      <c r="L1237">
        <f t="shared" si="123"/>
        <v>-6.4460056493081952E-3</v>
      </c>
      <c r="M1237">
        <f t="shared" si="124"/>
        <v>5.3520911384663528E-3</v>
      </c>
    </row>
    <row r="1238" spans="1:13" x14ac:dyDescent="0.3">
      <c r="A1238" s="3">
        <v>43795</v>
      </c>
      <c r="B1238" s="8">
        <v>9.01</v>
      </c>
      <c r="C1238" s="8">
        <v>137.16999999999999</v>
      </c>
      <c r="D1238" s="8">
        <v>131.66999999999999</v>
      </c>
      <c r="E1238">
        <v>6.0000000000000002E-5</v>
      </c>
      <c r="G1238">
        <f t="shared" si="119"/>
        <v>100.05937623242215</v>
      </c>
      <c r="H1238">
        <f t="shared" si="120"/>
        <v>6.2772205675321047E-4</v>
      </c>
      <c r="I1238">
        <f t="shared" si="121"/>
        <v>5.6772205675321042E-4</v>
      </c>
      <c r="K1238">
        <f t="shared" si="122"/>
        <v>1.1111111111110628E-3</v>
      </c>
      <c r="L1238">
        <f t="shared" si="123"/>
        <v>-7.289692375000989E-5</v>
      </c>
      <c r="M1238">
        <f t="shared" si="124"/>
        <v>1.3689253935658119E-3</v>
      </c>
    </row>
    <row r="1239" spans="1:13" x14ac:dyDescent="0.3">
      <c r="A1239" s="3">
        <v>43796</v>
      </c>
      <c r="B1239" s="8">
        <v>9.1</v>
      </c>
      <c r="C1239" s="8">
        <v>137.75</v>
      </c>
      <c r="D1239" s="8">
        <v>132.06</v>
      </c>
      <c r="E1239">
        <v>6.0000000000000002E-5</v>
      </c>
      <c r="G1239">
        <f t="shared" si="119"/>
        <v>100.43554995153103</v>
      </c>
      <c r="H1239">
        <f t="shared" si="120"/>
        <v>3.7595049386984769E-3</v>
      </c>
      <c r="I1239">
        <f t="shared" si="121"/>
        <v>3.6995049386984767E-3</v>
      </c>
      <c r="K1239">
        <f t="shared" si="122"/>
        <v>9.9889012208655981E-3</v>
      </c>
      <c r="L1239">
        <f t="shared" si="123"/>
        <v>4.2283298097252064E-3</v>
      </c>
      <c r="M1239">
        <f t="shared" si="124"/>
        <v>2.9619503303714989E-3</v>
      </c>
    </row>
    <row r="1240" spans="1:13" x14ac:dyDescent="0.3">
      <c r="A1240" s="3">
        <v>43798</v>
      </c>
      <c r="B1240" s="8">
        <v>9.06</v>
      </c>
      <c r="C1240" s="8">
        <v>137.49</v>
      </c>
      <c r="D1240" s="8">
        <v>131.76</v>
      </c>
      <c r="E1240">
        <v>6.0000000000000002E-5</v>
      </c>
      <c r="G1240">
        <f t="shared" si="119"/>
        <v>99.770508023456387</v>
      </c>
      <c r="H1240">
        <f t="shared" si="120"/>
        <v>-6.6215789966359573E-3</v>
      </c>
      <c r="I1240">
        <f t="shared" si="121"/>
        <v>-6.6815789966359574E-3</v>
      </c>
      <c r="K1240">
        <f t="shared" si="122"/>
        <v>-4.395604395604269E-3</v>
      </c>
      <c r="L1240">
        <f t="shared" si="123"/>
        <v>-1.8874773139745393E-3</v>
      </c>
      <c r="M1240">
        <f t="shared" si="124"/>
        <v>-2.2716946842344932E-3</v>
      </c>
    </row>
    <row r="1241" spans="1:13" x14ac:dyDescent="0.3">
      <c r="A1241" s="3">
        <v>43801</v>
      </c>
      <c r="B1241" s="8">
        <v>9.01</v>
      </c>
      <c r="C1241" s="8">
        <v>137.36000000000001</v>
      </c>
      <c r="D1241" s="8">
        <v>131.47</v>
      </c>
      <c r="E1241">
        <v>7.0000000000000007E-5</v>
      </c>
      <c r="G1241">
        <f t="shared" si="119"/>
        <v>99.810275252625587</v>
      </c>
      <c r="H1241">
        <f t="shared" si="120"/>
        <v>3.9858701691541931E-4</v>
      </c>
      <c r="I1241">
        <f t="shared" si="121"/>
        <v>3.2858701691541929E-4</v>
      </c>
      <c r="K1241">
        <f t="shared" si="122"/>
        <v>-5.5187637969095205E-3</v>
      </c>
      <c r="L1241">
        <f t="shared" si="123"/>
        <v>-9.4552331078623375E-4</v>
      </c>
      <c r="M1241">
        <f t="shared" si="124"/>
        <v>-2.2009714632664767E-3</v>
      </c>
    </row>
    <row r="1242" spans="1:13" x14ac:dyDescent="0.3">
      <c r="A1242" s="3">
        <v>43802</v>
      </c>
      <c r="B1242" s="8">
        <v>8.89</v>
      </c>
      <c r="C1242" s="8">
        <v>137.16</v>
      </c>
      <c r="D1242" s="8">
        <v>129.78</v>
      </c>
      <c r="E1242">
        <v>7.0000000000000007E-5</v>
      </c>
      <c r="G1242">
        <f t="shared" si="119"/>
        <v>99.301133833082631</v>
      </c>
      <c r="H1242">
        <f t="shared" si="120"/>
        <v>-5.1010922297758388E-3</v>
      </c>
      <c r="I1242">
        <f t="shared" si="121"/>
        <v>-5.1710922297758385E-3</v>
      </c>
      <c r="K1242">
        <f t="shared" si="122"/>
        <v>-1.3318534961154205E-2</v>
      </c>
      <c r="L1242">
        <f t="shared" si="123"/>
        <v>-1.4560279557368494E-3</v>
      </c>
      <c r="M1242">
        <f t="shared" si="124"/>
        <v>-1.2854643644938046E-2</v>
      </c>
    </row>
    <row r="1243" spans="1:13" x14ac:dyDescent="0.3">
      <c r="A1243" s="3">
        <v>43803</v>
      </c>
      <c r="B1243" s="8">
        <v>8.9499999999999993</v>
      </c>
      <c r="C1243" s="8">
        <v>139.38</v>
      </c>
      <c r="D1243" s="8">
        <v>132.34</v>
      </c>
      <c r="E1243">
        <v>7.0000000000000007E-5</v>
      </c>
      <c r="G1243">
        <f t="shared" si="119"/>
        <v>101.65287467933703</v>
      </c>
      <c r="H1243">
        <f t="shared" si="120"/>
        <v>2.3682920380420747E-2</v>
      </c>
      <c r="I1243">
        <f t="shared" si="121"/>
        <v>2.3612920380420746E-2</v>
      </c>
      <c r="K1243">
        <f t="shared" si="122"/>
        <v>6.7491563554553657E-3</v>
      </c>
      <c r="L1243">
        <f t="shared" si="123"/>
        <v>1.618547681539817E-2</v>
      </c>
      <c r="M1243">
        <f t="shared" si="124"/>
        <v>1.9725689628602217E-2</v>
      </c>
    </row>
    <row r="1244" spans="1:13" x14ac:dyDescent="0.3">
      <c r="A1244" s="3">
        <v>43804</v>
      </c>
      <c r="B1244" s="8">
        <v>8.93</v>
      </c>
      <c r="C1244" s="8">
        <v>139.56</v>
      </c>
      <c r="D1244" s="8">
        <v>133.06</v>
      </c>
      <c r="E1244">
        <v>7.0000000000000007E-5</v>
      </c>
      <c r="G1244">
        <f t="shared" si="119"/>
        <v>100.24832412692943</v>
      </c>
      <c r="H1244">
        <f t="shared" si="120"/>
        <v>-1.3817125751123482E-2</v>
      </c>
      <c r="I1244">
        <f t="shared" si="121"/>
        <v>-1.3887125751123483E-2</v>
      </c>
      <c r="K1244">
        <f t="shared" si="122"/>
        <v>-2.2346368715083775E-3</v>
      </c>
      <c r="L1244">
        <f t="shared" si="123"/>
        <v>1.2914334911753311E-3</v>
      </c>
      <c r="M1244">
        <f t="shared" si="124"/>
        <v>5.4405319631252169E-3</v>
      </c>
    </row>
    <row r="1245" spans="1:13" x14ac:dyDescent="0.3">
      <c r="A1245" s="3">
        <v>43805</v>
      </c>
      <c r="B1245" s="8">
        <v>9.02</v>
      </c>
      <c r="C1245" s="8">
        <v>140.38</v>
      </c>
      <c r="D1245" s="8">
        <v>135.04</v>
      </c>
      <c r="E1245">
        <v>7.0000000000000007E-5</v>
      </c>
      <c r="G1245">
        <f t="shared" si="119"/>
        <v>100.97047042876129</v>
      </c>
      <c r="H1245">
        <f t="shared" si="120"/>
        <v>7.2035748040786274E-3</v>
      </c>
      <c r="I1245">
        <f t="shared" si="121"/>
        <v>7.1335748040786276E-3</v>
      </c>
      <c r="K1245">
        <f t="shared" si="122"/>
        <v>1.0078387458006599E-2</v>
      </c>
      <c r="L1245">
        <f t="shared" si="123"/>
        <v>5.875609057036435E-3</v>
      </c>
      <c r="M1245">
        <f t="shared" si="124"/>
        <v>1.4880505035322233E-2</v>
      </c>
    </row>
    <row r="1246" spans="1:13" x14ac:dyDescent="0.3">
      <c r="A1246" s="3">
        <v>43808</v>
      </c>
      <c r="B1246" s="8">
        <v>9.01</v>
      </c>
      <c r="C1246" s="8">
        <v>140.5</v>
      </c>
      <c r="D1246" s="8">
        <v>134.41</v>
      </c>
      <c r="E1246">
        <v>7.0000000000000007E-5</v>
      </c>
      <c r="G1246">
        <f t="shared" si="119"/>
        <v>99.857177378099848</v>
      </c>
      <c r="H1246">
        <f t="shared" si="120"/>
        <v>-1.1025927144183378E-2</v>
      </c>
      <c r="I1246">
        <f t="shared" si="121"/>
        <v>-1.1095927144183379E-2</v>
      </c>
      <c r="K1246">
        <f t="shared" si="122"/>
        <v>-1.1086474501108556E-3</v>
      </c>
      <c r="L1246">
        <f t="shared" si="123"/>
        <v>8.5482262430547351E-4</v>
      </c>
      <c r="M1246">
        <f t="shared" si="124"/>
        <v>-4.6652843601895366E-3</v>
      </c>
    </row>
    <row r="1247" spans="1:13" x14ac:dyDescent="0.3">
      <c r="A1247" s="3">
        <v>43809</v>
      </c>
      <c r="B1247" s="8">
        <v>9.07</v>
      </c>
      <c r="C1247" s="8">
        <v>139.99</v>
      </c>
      <c r="D1247" s="8">
        <v>134.5</v>
      </c>
      <c r="E1247">
        <v>7.0000000000000007E-5</v>
      </c>
      <c r="G1247">
        <f t="shared" si="119"/>
        <v>99.90663752437932</v>
      </c>
      <c r="H1247">
        <f t="shared" si="120"/>
        <v>4.9530887591786588E-4</v>
      </c>
      <c r="I1247">
        <f t="shared" si="121"/>
        <v>4.2530887591786586E-4</v>
      </c>
      <c r="K1247">
        <f t="shared" si="122"/>
        <v>6.6592674805772134E-3</v>
      </c>
      <c r="L1247">
        <f t="shared" si="123"/>
        <v>-3.6298932384341009E-3</v>
      </c>
      <c r="M1247">
        <f t="shared" si="124"/>
        <v>6.6959303623237432E-4</v>
      </c>
    </row>
    <row r="1248" spans="1:13" x14ac:dyDescent="0.3">
      <c r="A1248" s="3">
        <v>43810</v>
      </c>
      <c r="B1248" s="8">
        <v>9.11</v>
      </c>
      <c r="C1248" s="8">
        <v>140.97999999999999</v>
      </c>
      <c r="D1248" s="8">
        <v>134.18</v>
      </c>
      <c r="E1248">
        <v>7.0000000000000007E-5</v>
      </c>
      <c r="G1248">
        <f t="shared" si="119"/>
        <v>100.32364204949309</v>
      </c>
      <c r="H1248">
        <f t="shared" si="120"/>
        <v>4.1739421468569571E-3</v>
      </c>
      <c r="I1248">
        <f t="shared" si="121"/>
        <v>4.1039421468569573E-3</v>
      </c>
      <c r="K1248">
        <f t="shared" si="122"/>
        <v>4.4101433296581671E-3</v>
      </c>
      <c r="L1248">
        <f t="shared" si="123"/>
        <v>7.0719337095506152E-3</v>
      </c>
      <c r="M1248">
        <f t="shared" si="124"/>
        <v>-2.3791821561337523E-3</v>
      </c>
    </row>
    <row r="1249" spans="1:13" x14ac:dyDescent="0.3">
      <c r="A1249" s="3">
        <v>43811</v>
      </c>
      <c r="B1249" s="8">
        <v>9.32</v>
      </c>
      <c r="C1249" s="8">
        <v>141.34</v>
      </c>
      <c r="D1249" s="8">
        <v>138.02000000000001</v>
      </c>
      <c r="E1249">
        <v>7.0000000000000007E-5</v>
      </c>
      <c r="G1249">
        <f t="shared" si="119"/>
        <v>101.45102159879964</v>
      </c>
      <c r="H1249">
        <f t="shared" si="120"/>
        <v>1.1237426455773747E-2</v>
      </c>
      <c r="I1249">
        <f t="shared" si="121"/>
        <v>1.1167426455773746E-2</v>
      </c>
      <c r="K1249">
        <f t="shared" si="122"/>
        <v>2.3051591657519355E-2</v>
      </c>
      <c r="L1249">
        <f t="shared" si="123"/>
        <v>2.5535536955596516E-3</v>
      </c>
      <c r="M1249">
        <f t="shared" si="124"/>
        <v>2.861827396035177E-2</v>
      </c>
    </row>
    <row r="1250" spans="1:13" x14ac:dyDescent="0.3">
      <c r="A1250" s="3">
        <v>43812</v>
      </c>
      <c r="B1250" s="8">
        <v>9.23</v>
      </c>
      <c r="C1250" s="8">
        <v>141.38</v>
      </c>
      <c r="D1250" s="8">
        <v>136.81</v>
      </c>
      <c r="E1250">
        <v>7.0000000000000007E-5</v>
      </c>
      <c r="G1250">
        <f t="shared" si="119"/>
        <v>99.583575502445228</v>
      </c>
      <c r="H1250">
        <f t="shared" si="120"/>
        <v>-1.8407366105582024E-2</v>
      </c>
      <c r="I1250">
        <f t="shared" si="121"/>
        <v>-1.8477366105582024E-2</v>
      </c>
      <c r="K1250">
        <f t="shared" si="122"/>
        <v>-9.65665236051505E-3</v>
      </c>
      <c r="L1250">
        <f t="shared" si="123"/>
        <v>2.8300551860760415E-4</v>
      </c>
      <c r="M1250">
        <f t="shared" si="124"/>
        <v>-8.7668453847269401E-3</v>
      </c>
    </row>
    <row r="1251" spans="1:13" x14ac:dyDescent="0.3">
      <c r="A1251" s="3">
        <v>43815</v>
      </c>
      <c r="B1251" s="8">
        <v>9.39</v>
      </c>
      <c r="C1251" s="8">
        <v>141.79</v>
      </c>
      <c r="D1251" s="8">
        <v>137.34</v>
      </c>
      <c r="E1251">
        <v>7.0000000000000007E-5</v>
      </c>
      <c r="G1251">
        <f t="shared" si="119"/>
        <v>100.47793116503736</v>
      </c>
      <c r="H1251">
        <f t="shared" si="120"/>
        <v>8.9809555248412387E-3</v>
      </c>
      <c r="I1251">
        <f t="shared" si="121"/>
        <v>8.9109555248412381E-3</v>
      </c>
      <c r="K1251">
        <f t="shared" si="122"/>
        <v>1.7334777898158293E-2</v>
      </c>
      <c r="L1251">
        <f t="shared" si="123"/>
        <v>2.8999858537275269E-3</v>
      </c>
      <c r="M1251">
        <f t="shared" si="124"/>
        <v>3.8739858197500698E-3</v>
      </c>
    </row>
    <row r="1252" spans="1:13" x14ac:dyDescent="0.3">
      <c r="A1252" s="3">
        <v>43816</v>
      </c>
      <c r="B1252" s="8">
        <v>9.39</v>
      </c>
      <c r="C1252" s="8">
        <v>143.56</v>
      </c>
      <c r="D1252" s="8">
        <v>138.18</v>
      </c>
      <c r="E1252">
        <v>7.0000000000000007E-5</v>
      </c>
      <c r="G1252">
        <f t="shared" si="119"/>
        <v>100.87789934602802</v>
      </c>
      <c r="H1252">
        <f t="shared" si="120"/>
        <v>3.9806570094849114E-3</v>
      </c>
      <c r="I1252">
        <f t="shared" si="121"/>
        <v>3.9106570094849117E-3</v>
      </c>
      <c r="K1252">
        <f t="shared" si="122"/>
        <v>0</v>
      </c>
      <c r="L1252">
        <f t="shared" si="123"/>
        <v>1.2483249876578117E-2</v>
      </c>
      <c r="M1252">
        <f t="shared" si="124"/>
        <v>6.1162079510703737E-3</v>
      </c>
    </row>
    <row r="1253" spans="1:13" x14ac:dyDescent="0.3">
      <c r="A1253" s="3">
        <v>43817</v>
      </c>
      <c r="B1253" s="8">
        <v>9.5399999999999991</v>
      </c>
      <c r="C1253" s="8">
        <v>143.19</v>
      </c>
      <c r="D1253" s="8">
        <v>138.04</v>
      </c>
      <c r="E1253">
        <v>7.0000000000000007E-5</v>
      </c>
      <c r="G1253">
        <f t="shared" si="119"/>
        <v>99.995555291135545</v>
      </c>
      <c r="H1253">
        <f t="shared" si="120"/>
        <v>-8.7466537330033178E-3</v>
      </c>
      <c r="I1253">
        <f t="shared" si="121"/>
        <v>-8.8166537330033184E-3</v>
      </c>
      <c r="K1253">
        <f t="shared" si="122"/>
        <v>1.5974440894568565E-2</v>
      </c>
      <c r="L1253">
        <f t="shared" si="123"/>
        <v>-2.5773195876288568E-3</v>
      </c>
      <c r="M1253">
        <f t="shared" si="124"/>
        <v>-1.0131712259372483E-3</v>
      </c>
    </row>
    <row r="1254" spans="1:13" x14ac:dyDescent="0.3">
      <c r="A1254" s="3">
        <v>43818</v>
      </c>
      <c r="B1254" s="8">
        <v>9.41</v>
      </c>
      <c r="C1254" s="8">
        <v>145.35</v>
      </c>
      <c r="D1254" s="8">
        <v>137.35</v>
      </c>
      <c r="E1254">
        <v>7.0000000000000007E-5</v>
      </c>
      <c r="G1254">
        <f t="shared" si="119"/>
        <v>100.45182111807316</v>
      </c>
      <c r="H1254">
        <f t="shared" si="120"/>
        <v>4.5628610752668219E-3</v>
      </c>
      <c r="I1254">
        <f t="shared" si="121"/>
        <v>4.4928610752668222E-3</v>
      </c>
      <c r="K1254">
        <f t="shared" si="122"/>
        <v>-1.3626834381551212E-2</v>
      </c>
      <c r="L1254">
        <f t="shared" si="123"/>
        <v>1.5084852294154683E-2</v>
      </c>
      <c r="M1254">
        <f t="shared" si="124"/>
        <v>-4.9985511445957975E-3</v>
      </c>
    </row>
    <row r="1255" spans="1:13" x14ac:dyDescent="0.3">
      <c r="A1255" s="3">
        <v>43819</v>
      </c>
      <c r="B1255" s="8">
        <v>9.48</v>
      </c>
      <c r="C1255" s="8">
        <v>146.06</v>
      </c>
      <c r="D1255" s="8">
        <v>137.24</v>
      </c>
      <c r="E1255">
        <v>7.0000000000000007E-5</v>
      </c>
      <c r="G1255">
        <f t="shared" si="119"/>
        <v>100.30128777100289</v>
      </c>
      <c r="H1255">
        <f t="shared" si="120"/>
        <v>-1.4985626481905934E-3</v>
      </c>
      <c r="I1255">
        <f t="shared" si="121"/>
        <v>-1.5685626481905933E-3</v>
      </c>
      <c r="K1255">
        <f t="shared" si="122"/>
        <v>7.4388947927737092E-3</v>
      </c>
      <c r="L1255">
        <f t="shared" si="123"/>
        <v>4.8847609219127008E-3</v>
      </c>
      <c r="M1255">
        <f t="shared" si="124"/>
        <v>-8.0087368037851103E-4</v>
      </c>
    </row>
    <row r="1256" spans="1:13" x14ac:dyDescent="0.3">
      <c r="A1256" s="3">
        <v>43822</v>
      </c>
      <c r="B1256" s="8">
        <v>9.44</v>
      </c>
      <c r="C1256" s="8">
        <v>146.44</v>
      </c>
      <c r="D1256" s="8">
        <v>137.19999999999999</v>
      </c>
      <c r="E1256">
        <v>7.0000000000000007E-5</v>
      </c>
      <c r="G1256">
        <f t="shared" si="119"/>
        <v>100.07980909205368</v>
      </c>
      <c r="H1256">
        <f t="shared" si="120"/>
        <v>-2.2081339519275378E-3</v>
      </c>
      <c r="I1256">
        <f t="shared" si="121"/>
        <v>-2.278133951927538E-3</v>
      </c>
      <c r="K1256">
        <f t="shared" si="122"/>
        <v>-4.2194092827004814E-3</v>
      </c>
      <c r="L1256">
        <f t="shared" si="123"/>
        <v>2.6016705463507428E-3</v>
      </c>
      <c r="M1256">
        <f t="shared" si="124"/>
        <v>-2.9146021568071667E-4</v>
      </c>
    </row>
    <row r="1257" spans="1:13" x14ac:dyDescent="0.3">
      <c r="A1257" s="3">
        <v>43823</v>
      </c>
      <c r="B1257" s="8">
        <v>9.4700000000000006</v>
      </c>
      <c r="C1257" s="8">
        <v>145.93</v>
      </c>
      <c r="D1257" s="8">
        <v>137.58000000000001</v>
      </c>
      <c r="E1257">
        <v>7.0000000000000007E-5</v>
      </c>
      <c r="G1257">
        <f t="shared" si="119"/>
        <v>99.956821076791954</v>
      </c>
      <c r="H1257">
        <f t="shared" si="120"/>
        <v>-1.2288993791804703E-3</v>
      </c>
      <c r="I1257">
        <f t="shared" si="121"/>
        <v>-1.2988993791804703E-3</v>
      </c>
      <c r="K1257">
        <f t="shared" si="122"/>
        <v>3.1779661016950733E-3</v>
      </c>
      <c r="L1257">
        <f t="shared" si="123"/>
        <v>-3.4826550122916133E-3</v>
      </c>
      <c r="M1257">
        <f t="shared" si="124"/>
        <v>2.7696793002918163E-3</v>
      </c>
    </row>
    <row r="1258" spans="1:13" x14ac:dyDescent="0.3">
      <c r="A1258" s="3">
        <v>43825</v>
      </c>
      <c r="B1258" s="8">
        <v>9.4499999999999993</v>
      </c>
      <c r="C1258" s="8">
        <v>145.83000000000001</v>
      </c>
      <c r="D1258" s="8">
        <v>139.04</v>
      </c>
      <c r="E1258">
        <v>7.0000000000000007E-5</v>
      </c>
      <c r="G1258">
        <f t="shared" si="119"/>
        <v>100.34164985428626</v>
      </c>
      <c r="H1258">
        <f t="shared" si="120"/>
        <v>3.8499501419584359E-3</v>
      </c>
      <c r="I1258">
        <f t="shared" si="121"/>
        <v>3.7799501419584357E-3</v>
      </c>
      <c r="K1258">
        <f t="shared" si="122"/>
        <v>-2.1119324181627652E-3</v>
      </c>
      <c r="L1258">
        <f t="shared" si="123"/>
        <v>-6.8526005619129471E-4</v>
      </c>
      <c r="M1258">
        <f t="shared" si="124"/>
        <v>1.061200755923819E-2</v>
      </c>
    </row>
    <row r="1259" spans="1:13" x14ac:dyDescent="0.3">
      <c r="A1259" s="3">
        <v>43826</v>
      </c>
      <c r="B1259" s="8">
        <v>9.36</v>
      </c>
      <c r="C1259" s="8">
        <v>145.75</v>
      </c>
      <c r="D1259" s="8">
        <v>139.13999999999999</v>
      </c>
      <c r="E1259">
        <v>7.0000000000000007E-5</v>
      </c>
      <c r="G1259">
        <f t="shared" si="119"/>
        <v>99.898787822694032</v>
      </c>
      <c r="H1259">
        <f t="shared" si="120"/>
        <v>-4.4135414579622445E-3</v>
      </c>
      <c r="I1259">
        <f t="shared" si="121"/>
        <v>-4.4835414579622443E-3</v>
      </c>
      <c r="K1259">
        <f t="shared" si="122"/>
        <v>-9.52380952380949E-3</v>
      </c>
      <c r="L1259">
        <f t="shared" si="123"/>
        <v>-5.4858396763368678E-4</v>
      </c>
      <c r="M1259">
        <f t="shared" si="124"/>
        <v>7.1921749136927282E-4</v>
      </c>
    </row>
    <row r="1260" spans="1:13" x14ac:dyDescent="0.3">
      <c r="A1260" s="3">
        <v>43829</v>
      </c>
      <c r="B1260" s="8">
        <v>9.25</v>
      </c>
      <c r="C1260" s="8">
        <v>145.30000000000001</v>
      </c>
      <c r="D1260" s="8">
        <v>138.63</v>
      </c>
      <c r="E1260">
        <v>7.0000000000000007E-5</v>
      </c>
      <c r="G1260">
        <f t="shared" si="119"/>
        <v>99.578697759776972</v>
      </c>
      <c r="H1260">
        <f t="shared" si="120"/>
        <v>-3.204143612685062E-3</v>
      </c>
      <c r="I1260">
        <f t="shared" si="121"/>
        <v>-3.2741436126850622E-3</v>
      </c>
      <c r="K1260">
        <f t="shared" si="122"/>
        <v>-1.175213675213671E-2</v>
      </c>
      <c r="L1260">
        <f t="shared" si="123"/>
        <v>-3.0874785591765708E-3</v>
      </c>
      <c r="M1260">
        <f t="shared" si="124"/>
        <v>-3.6653730056057654E-3</v>
      </c>
    </row>
    <row r="1261" spans="1:13" x14ac:dyDescent="0.3">
      <c r="A1261" s="3">
        <v>43830</v>
      </c>
      <c r="B1261" s="8">
        <v>9.3000000000000007</v>
      </c>
      <c r="C1261" s="8">
        <v>145.87</v>
      </c>
      <c r="D1261" s="8">
        <v>139.4</v>
      </c>
      <c r="E1261">
        <v>7.0000000000000007E-5</v>
      </c>
      <c r="G1261">
        <f t="shared" si="119"/>
        <v>100.46922119371202</v>
      </c>
      <c r="H1261">
        <f t="shared" si="120"/>
        <v>8.9429110238350429E-3</v>
      </c>
      <c r="I1261">
        <f t="shared" si="121"/>
        <v>8.8729110238350423E-3</v>
      </c>
      <c r="K1261">
        <f t="shared" si="122"/>
        <v>5.4054054054055722E-3</v>
      </c>
      <c r="L1261">
        <f t="shared" si="123"/>
        <v>3.9229181004816205E-3</v>
      </c>
      <c r="M1261">
        <f t="shared" si="124"/>
        <v>5.5543533145785418E-3</v>
      </c>
    </row>
    <row r="1262" spans="1:13" x14ac:dyDescent="0.3">
      <c r="A1262" s="3">
        <v>43832</v>
      </c>
      <c r="B1262" s="8">
        <v>9.42</v>
      </c>
      <c r="C1262" s="8">
        <v>145.97</v>
      </c>
      <c r="D1262" s="8">
        <v>141.09</v>
      </c>
      <c r="E1262">
        <v>6.0000000000000002E-5</v>
      </c>
      <c r="G1262">
        <f t="shared" si="119"/>
        <v>100.62701610156321</v>
      </c>
      <c r="H1262">
        <f t="shared" si="120"/>
        <v>1.5705795862293037E-3</v>
      </c>
      <c r="I1262">
        <f t="shared" si="121"/>
        <v>1.5105795862293038E-3</v>
      </c>
      <c r="K1262">
        <f t="shared" si="122"/>
        <v>1.2903225806451424E-2</v>
      </c>
      <c r="L1262">
        <f t="shared" si="123"/>
        <v>6.855419208884328E-4</v>
      </c>
      <c r="M1262">
        <f t="shared" si="124"/>
        <v>1.2123385939741826E-2</v>
      </c>
    </row>
    <row r="1263" spans="1:13" x14ac:dyDescent="0.3">
      <c r="A1263" s="3">
        <v>43833</v>
      </c>
      <c r="B1263" s="8">
        <v>9.2100000000000009</v>
      </c>
      <c r="C1263" s="8">
        <v>144.28</v>
      </c>
      <c r="D1263" s="8">
        <v>138.34</v>
      </c>
      <c r="E1263">
        <v>6.0000000000000002E-5</v>
      </c>
      <c r="G1263">
        <f t="shared" si="119"/>
        <v>98.432140616186544</v>
      </c>
      <c r="H1263">
        <f t="shared" si="120"/>
        <v>-2.1811990163370987E-2</v>
      </c>
      <c r="I1263">
        <f t="shared" si="121"/>
        <v>-2.1871990163370988E-2</v>
      </c>
      <c r="K1263">
        <f t="shared" si="122"/>
        <v>-2.2292993630573132E-2</v>
      </c>
      <c r="L1263">
        <f t="shared" si="123"/>
        <v>-1.1577721449612888E-2</v>
      </c>
      <c r="M1263">
        <f t="shared" si="124"/>
        <v>-1.9491104968459849E-2</v>
      </c>
    </row>
    <row r="1264" spans="1:13" x14ac:dyDescent="0.3">
      <c r="A1264" s="3">
        <v>43836</v>
      </c>
      <c r="B1264" s="8">
        <v>9.16</v>
      </c>
      <c r="C1264" s="8">
        <v>144.1</v>
      </c>
      <c r="D1264" s="8">
        <v>138.22999999999999</v>
      </c>
      <c r="E1264">
        <v>6.0000000000000002E-5</v>
      </c>
      <c r="G1264">
        <f t="shared" si="119"/>
        <v>99.848446981329303</v>
      </c>
      <c r="H1264">
        <f t="shared" si="120"/>
        <v>1.4388657569333274E-2</v>
      </c>
      <c r="I1264">
        <f t="shared" si="121"/>
        <v>1.4328657569333275E-2</v>
      </c>
      <c r="K1264">
        <f t="shared" si="122"/>
        <v>-5.4288816503801351E-3</v>
      </c>
      <c r="L1264">
        <f t="shared" si="123"/>
        <v>-1.2475741613530156E-3</v>
      </c>
      <c r="M1264">
        <f t="shared" si="124"/>
        <v>-7.9514240277589465E-4</v>
      </c>
    </row>
    <row r="1265" spans="1:13" x14ac:dyDescent="0.3">
      <c r="A1265" s="3">
        <v>43837</v>
      </c>
      <c r="B1265" s="8">
        <v>9.25</v>
      </c>
      <c r="C1265" s="8">
        <v>144.97999999999999</v>
      </c>
      <c r="D1265" s="8">
        <v>135.88</v>
      </c>
      <c r="E1265">
        <v>6.0000000000000002E-5</v>
      </c>
      <c r="G1265">
        <f t="shared" si="119"/>
        <v>99.780097692910047</v>
      </c>
      <c r="H1265">
        <f t="shared" si="120"/>
        <v>-6.8453031054194202E-4</v>
      </c>
      <c r="I1265">
        <f t="shared" si="121"/>
        <v>-7.4453031054194207E-4</v>
      </c>
      <c r="K1265">
        <f t="shared" si="122"/>
        <v>9.8253275109170257E-3</v>
      </c>
      <c r="L1265">
        <f t="shared" si="123"/>
        <v>6.1068702290076882E-3</v>
      </c>
      <c r="M1265">
        <f t="shared" si="124"/>
        <v>-1.7000651088765029E-2</v>
      </c>
    </row>
    <row r="1266" spans="1:13" x14ac:dyDescent="0.3">
      <c r="A1266" s="3">
        <v>43838</v>
      </c>
      <c r="B1266" s="8">
        <v>9.25</v>
      </c>
      <c r="C1266" s="8">
        <v>144.96</v>
      </c>
      <c r="D1266" s="8">
        <v>136.94</v>
      </c>
      <c r="E1266">
        <v>6.0000000000000002E-5</v>
      </c>
      <c r="G1266">
        <f t="shared" si="119"/>
        <v>100.28640157359683</v>
      </c>
      <c r="H1266">
        <f t="shared" si="120"/>
        <v>5.0741970833203531E-3</v>
      </c>
      <c r="I1266">
        <f t="shared" si="121"/>
        <v>5.014197083320353E-3</v>
      </c>
      <c r="K1266">
        <f t="shared" si="122"/>
        <v>0</v>
      </c>
      <c r="L1266">
        <f t="shared" si="123"/>
        <v>-1.3795006207739657E-4</v>
      </c>
      <c r="M1266">
        <f t="shared" si="124"/>
        <v>7.8010008831321809E-3</v>
      </c>
    </row>
    <row r="1267" spans="1:13" x14ac:dyDescent="0.3">
      <c r="A1267" s="3">
        <v>43839</v>
      </c>
      <c r="B1267" s="8">
        <v>9.26</v>
      </c>
      <c r="C1267" s="8">
        <v>145.38999999999999</v>
      </c>
      <c r="D1267" s="8">
        <v>137.44</v>
      </c>
      <c r="E1267">
        <v>6.0000000000000002E-5</v>
      </c>
      <c r="G1267">
        <f t="shared" si="119"/>
        <v>100.3026490832144</v>
      </c>
      <c r="H1267">
        <f t="shared" si="120"/>
        <v>1.6201109385360901E-4</v>
      </c>
      <c r="I1267">
        <f t="shared" si="121"/>
        <v>1.0201109385360902E-4</v>
      </c>
      <c r="K1267">
        <f t="shared" si="122"/>
        <v>1.08108108108107E-3</v>
      </c>
      <c r="L1267">
        <f t="shared" si="123"/>
        <v>2.9663355408386938E-3</v>
      </c>
      <c r="M1267">
        <f t="shared" si="124"/>
        <v>3.6512341171315299E-3</v>
      </c>
    </row>
    <row r="1268" spans="1:13" x14ac:dyDescent="0.3">
      <c r="A1268" s="3">
        <v>43840</v>
      </c>
      <c r="B1268" s="8">
        <v>9.25</v>
      </c>
      <c r="C1268" s="8">
        <v>145.06</v>
      </c>
      <c r="D1268" s="8">
        <v>136.07</v>
      </c>
      <c r="E1268">
        <v>6.0000000000000002E-5</v>
      </c>
      <c r="G1268">
        <f t="shared" si="119"/>
        <v>99.495801904216052</v>
      </c>
      <c r="H1268">
        <f t="shared" si="120"/>
        <v>-8.0441263154372722E-3</v>
      </c>
      <c r="I1268">
        <f t="shared" si="121"/>
        <v>-8.1041263154372715E-3</v>
      </c>
      <c r="K1268">
        <f t="shared" si="122"/>
        <v>-1.0799136069113979E-3</v>
      </c>
      <c r="L1268">
        <f t="shared" si="123"/>
        <v>-2.269757204759526E-3</v>
      </c>
      <c r="M1268">
        <f t="shared" si="124"/>
        <v>-9.967986030267828E-3</v>
      </c>
    </row>
    <row r="1269" spans="1:13" x14ac:dyDescent="0.3">
      <c r="A1269" s="3">
        <v>43843</v>
      </c>
      <c r="B1269" s="8">
        <v>9.24</v>
      </c>
      <c r="C1269" s="8">
        <v>145.69999999999999</v>
      </c>
      <c r="D1269" s="8">
        <v>137.19999999999999</v>
      </c>
      <c r="E1269">
        <v>6.0000000000000002E-5</v>
      </c>
      <c r="G1269">
        <f t="shared" si="119"/>
        <v>100.53011014744709</v>
      </c>
      <c r="H1269">
        <f t="shared" si="120"/>
        <v>1.0395496326837561E-2</v>
      </c>
      <c r="I1269">
        <f t="shared" si="121"/>
        <v>1.0335496326837562E-2</v>
      </c>
      <c r="K1269">
        <f t="shared" si="122"/>
        <v>-1.08108108108107E-3</v>
      </c>
      <c r="L1269">
        <f t="shared" si="123"/>
        <v>4.4119674617397742E-3</v>
      </c>
      <c r="M1269">
        <f t="shared" si="124"/>
        <v>8.3045491291247053E-3</v>
      </c>
    </row>
    <row r="1270" spans="1:13" x14ac:dyDescent="0.3">
      <c r="A1270" s="3">
        <v>43844</v>
      </c>
      <c r="B1270" s="8">
        <v>9.2899999999999991</v>
      </c>
      <c r="C1270" s="8">
        <v>146.52000000000001</v>
      </c>
      <c r="D1270" s="8">
        <v>138.80000000000001</v>
      </c>
      <c r="E1270">
        <v>6.0000000000000002E-5</v>
      </c>
      <c r="G1270">
        <f t="shared" si="119"/>
        <v>100.78758694978282</v>
      </c>
      <c r="H1270">
        <f t="shared" si="120"/>
        <v>2.5611908905509573E-3</v>
      </c>
      <c r="I1270">
        <f t="shared" si="121"/>
        <v>2.5011908905509571E-3</v>
      </c>
      <c r="K1270">
        <f t="shared" si="122"/>
        <v>5.4112554112553113E-3</v>
      </c>
      <c r="L1270">
        <f t="shared" si="123"/>
        <v>5.6280027453672332E-3</v>
      </c>
      <c r="M1270">
        <f t="shared" si="124"/>
        <v>1.1661807580175099E-2</v>
      </c>
    </row>
    <row r="1271" spans="1:13" x14ac:dyDescent="0.3">
      <c r="A1271" s="3">
        <v>43845</v>
      </c>
      <c r="B1271" s="8">
        <v>9.19</v>
      </c>
      <c r="C1271" s="8">
        <v>147.01</v>
      </c>
      <c r="D1271" s="8">
        <v>136.72</v>
      </c>
      <c r="E1271">
        <v>6.0000000000000002E-5</v>
      </c>
      <c r="G1271">
        <f t="shared" si="119"/>
        <v>99.496794064337635</v>
      </c>
      <c r="H1271">
        <f t="shared" si="120"/>
        <v>-1.2807062104664979E-2</v>
      </c>
      <c r="I1271">
        <f t="shared" si="121"/>
        <v>-1.2867062104664978E-2</v>
      </c>
      <c r="K1271">
        <f t="shared" si="122"/>
        <v>-1.076426264800856E-2</v>
      </c>
      <c r="L1271">
        <f t="shared" si="123"/>
        <v>3.3442533442531452E-3</v>
      </c>
      <c r="M1271">
        <f t="shared" si="124"/>
        <v>-1.4985590778098024E-2</v>
      </c>
    </row>
    <row r="1272" spans="1:13" x14ac:dyDescent="0.3">
      <c r="A1272" s="3">
        <v>43846</v>
      </c>
      <c r="B1272" s="8">
        <v>9.17</v>
      </c>
      <c r="C1272" s="8">
        <v>148.19999999999999</v>
      </c>
      <c r="D1272" s="8">
        <v>137.25</v>
      </c>
      <c r="E1272">
        <v>6.0000000000000002E-5</v>
      </c>
      <c r="G1272">
        <f t="shared" si="119"/>
        <v>100.54309329277338</v>
      </c>
      <c r="H1272">
        <f t="shared" si="120"/>
        <v>1.0515908962445364E-2</v>
      </c>
      <c r="I1272">
        <f t="shared" si="121"/>
        <v>1.0455908962445365E-2</v>
      </c>
      <c r="K1272">
        <f t="shared" si="122"/>
        <v>-2.1762785636560977E-3</v>
      </c>
      <c r="L1272">
        <f t="shared" si="123"/>
        <v>8.0946874362288757E-3</v>
      </c>
      <c r="M1272">
        <f t="shared" si="124"/>
        <v>3.8765359859567194E-3</v>
      </c>
    </row>
    <row r="1273" spans="1:13" x14ac:dyDescent="0.3">
      <c r="A1273" s="3">
        <v>43847</v>
      </c>
      <c r="B1273" s="8">
        <v>9.16</v>
      </c>
      <c r="C1273" s="8">
        <v>149.16999999999999</v>
      </c>
      <c r="D1273" s="8">
        <v>138.19999999999999</v>
      </c>
      <c r="E1273">
        <v>6.0000000000000002E-5</v>
      </c>
      <c r="G1273">
        <f t="shared" si="119"/>
        <v>100.58866360677395</v>
      </c>
      <c r="H1273">
        <f t="shared" si="120"/>
        <v>4.5324161519344486E-4</v>
      </c>
      <c r="I1273">
        <f t="shared" si="121"/>
        <v>3.9324161519344486E-4</v>
      </c>
      <c r="K1273">
        <f t="shared" si="122"/>
        <v>-1.0905125408942062E-3</v>
      </c>
      <c r="L1273">
        <f t="shared" si="123"/>
        <v>6.545209176788136E-3</v>
      </c>
      <c r="M1273">
        <f t="shared" si="124"/>
        <v>6.9216757741346058E-3</v>
      </c>
    </row>
    <row r="1274" spans="1:13" x14ac:dyDescent="0.3">
      <c r="A1274" s="3">
        <v>43851</v>
      </c>
      <c r="B1274" s="8">
        <v>9.2100000000000009</v>
      </c>
      <c r="C1274" s="8">
        <v>149.27000000000001</v>
      </c>
      <c r="D1274" s="8">
        <v>136.84</v>
      </c>
      <c r="E1274">
        <v>6.0000000000000002E-5</v>
      </c>
      <c r="G1274">
        <f t="shared" si="119"/>
        <v>99.721671734884183</v>
      </c>
      <c r="H1274">
        <f t="shared" si="120"/>
        <v>-8.619180738686949E-3</v>
      </c>
      <c r="I1274">
        <f t="shared" si="121"/>
        <v>-8.6791807386869483E-3</v>
      </c>
      <c r="K1274">
        <f t="shared" si="122"/>
        <v>5.4585152838428908E-3</v>
      </c>
      <c r="L1274">
        <f t="shared" si="123"/>
        <v>6.7037608098163837E-4</v>
      </c>
      <c r="M1274">
        <f t="shared" si="124"/>
        <v>-9.8408104196815449E-3</v>
      </c>
    </row>
    <row r="1275" spans="1:13" x14ac:dyDescent="0.3">
      <c r="A1275" s="3">
        <v>43852</v>
      </c>
      <c r="B1275" s="8">
        <v>9.16</v>
      </c>
      <c r="C1275" s="8">
        <v>148.25</v>
      </c>
      <c r="D1275" s="8">
        <v>136.68</v>
      </c>
      <c r="E1275">
        <v>6.0000000000000002E-5</v>
      </c>
      <c r="G1275">
        <f t="shared" si="119"/>
        <v>99.544534987997096</v>
      </c>
      <c r="H1275">
        <f t="shared" si="120"/>
        <v>-1.7763114457007845E-3</v>
      </c>
      <c r="I1275">
        <f t="shared" si="121"/>
        <v>-1.8363114457007844E-3</v>
      </c>
      <c r="K1275">
        <f t="shared" si="122"/>
        <v>-5.4288816503801351E-3</v>
      </c>
      <c r="L1275">
        <f t="shared" si="123"/>
        <v>-6.8332551751859594E-3</v>
      </c>
      <c r="M1275">
        <f t="shared" si="124"/>
        <v>-1.1692487576732136E-3</v>
      </c>
    </row>
    <row r="1276" spans="1:13" x14ac:dyDescent="0.3">
      <c r="A1276" s="3">
        <v>43853</v>
      </c>
      <c r="B1276" s="8">
        <v>9.14</v>
      </c>
      <c r="C1276" s="8">
        <v>148.53</v>
      </c>
      <c r="D1276" s="8">
        <v>136.54</v>
      </c>
      <c r="E1276">
        <v>6.0000000000000002E-5</v>
      </c>
      <c r="G1276">
        <f t="shared" si="119"/>
        <v>100.03657466267597</v>
      </c>
      <c r="H1276">
        <f t="shared" si="120"/>
        <v>4.9429099722873016E-3</v>
      </c>
      <c r="I1276">
        <f t="shared" si="121"/>
        <v>4.8829099722873014E-3</v>
      </c>
      <c r="K1276">
        <f t="shared" si="122"/>
        <v>-2.1834061135370675E-3</v>
      </c>
      <c r="L1276">
        <f t="shared" si="123"/>
        <v>1.8887015177064814E-3</v>
      </c>
      <c r="M1276">
        <f t="shared" si="124"/>
        <v>-1.0242903131403303E-3</v>
      </c>
    </row>
    <row r="1277" spans="1:13" x14ac:dyDescent="0.3">
      <c r="A1277" s="3">
        <v>43854</v>
      </c>
      <c r="B1277" s="8">
        <v>9</v>
      </c>
      <c r="C1277" s="8">
        <v>148.32</v>
      </c>
      <c r="D1277" s="8">
        <v>133.15</v>
      </c>
      <c r="E1277">
        <v>6.0000000000000002E-5</v>
      </c>
      <c r="G1277">
        <f t="shared" si="119"/>
        <v>98.831809253627341</v>
      </c>
      <c r="H1277">
        <f t="shared" si="120"/>
        <v>-1.2043249312674975E-2</v>
      </c>
      <c r="I1277">
        <f t="shared" si="121"/>
        <v>-1.2103249312674974E-2</v>
      </c>
      <c r="K1277">
        <f t="shared" si="122"/>
        <v>-1.5317286652078876E-2</v>
      </c>
      <c r="L1277">
        <f t="shared" si="123"/>
        <v>-1.4138557867098278E-3</v>
      </c>
      <c r="M1277">
        <f t="shared" si="124"/>
        <v>-2.4827889263219438E-2</v>
      </c>
    </row>
    <row r="1278" spans="1:13" x14ac:dyDescent="0.3">
      <c r="A1278" s="3">
        <v>43857</v>
      </c>
      <c r="B1278" s="8">
        <v>8.89</v>
      </c>
      <c r="C1278" s="8">
        <v>148.75</v>
      </c>
      <c r="D1278" s="8">
        <v>132.03</v>
      </c>
      <c r="E1278">
        <v>6.0000000000000002E-5</v>
      </c>
      <c r="G1278">
        <f t="shared" si="119"/>
        <v>99.705805050060832</v>
      </c>
      <c r="H1278">
        <f t="shared" si="120"/>
        <v>8.8432641579048177E-3</v>
      </c>
      <c r="I1278">
        <f t="shared" si="121"/>
        <v>8.7832641579048184E-3</v>
      </c>
      <c r="K1278">
        <f t="shared" si="122"/>
        <v>-1.2222222222222134E-2</v>
      </c>
      <c r="L1278">
        <f t="shared" si="123"/>
        <v>2.8991370010786888E-3</v>
      </c>
      <c r="M1278">
        <f t="shared" si="124"/>
        <v>-8.4115659031168688E-3</v>
      </c>
    </row>
    <row r="1279" spans="1:13" x14ac:dyDescent="0.3">
      <c r="A1279" s="3">
        <v>43858</v>
      </c>
      <c r="B1279" s="8">
        <v>8.9700000000000006</v>
      </c>
      <c r="C1279" s="8">
        <v>149.5</v>
      </c>
      <c r="D1279" s="8">
        <v>134.43</v>
      </c>
      <c r="E1279">
        <v>6.0000000000000002E-5</v>
      </c>
      <c r="G1279">
        <f t="shared" si="119"/>
        <v>101.0399791522449</v>
      </c>
      <c r="H1279">
        <f t="shared" si="120"/>
        <v>1.3381107564541361E-2</v>
      </c>
      <c r="I1279">
        <f t="shared" si="121"/>
        <v>1.3321107564541362E-2</v>
      </c>
      <c r="K1279">
        <f t="shared" si="122"/>
        <v>8.9988751406073764E-3</v>
      </c>
      <c r="L1279">
        <f t="shared" si="123"/>
        <v>5.0420168067226712E-3</v>
      </c>
      <c r="M1279">
        <f t="shared" si="124"/>
        <v>1.8177686889343292E-2</v>
      </c>
    </row>
    <row r="1280" spans="1:13" x14ac:dyDescent="0.3">
      <c r="A1280" s="3">
        <v>43859</v>
      </c>
      <c r="B1280" s="8">
        <v>8.86</v>
      </c>
      <c r="C1280" s="8">
        <v>150.54</v>
      </c>
      <c r="D1280" s="8">
        <v>134.22999999999999</v>
      </c>
      <c r="E1280">
        <v>6.0000000000000002E-5</v>
      </c>
      <c r="G1280">
        <f t="shared" si="119"/>
        <v>100.17645902809795</v>
      </c>
      <c r="H1280">
        <f t="shared" si="120"/>
        <v>-8.5463212818542855E-3</v>
      </c>
      <c r="I1280">
        <f t="shared" si="121"/>
        <v>-8.6063212818542848E-3</v>
      </c>
      <c r="K1280">
        <f t="shared" si="122"/>
        <v>-1.2263099219621099E-2</v>
      </c>
      <c r="L1280">
        <f t="shared" si="123"/>
        <v>6.9565217391303058E-3</v>
      </c>
      <c r="M1280">
        <f t="shared" si="124"/>
        <v>-1.4877631481069464E-3</v>
      </c>
    </row>
    <row r="1281" spans="1:13" x14ac:dyDescent="0.3">
      <c r="A1281" s="3">
        <v>43860</v>
      </c>
      <c r="B1281" s="8">
        <v>8.84</v>
      </c>
      <c r="C1281" s="8">
        <v>150.36000000000001</v>
      </c>
      <c r="D1281" s="8">
        <v>135.88999999999999</v>
      </c>
      <c r="E1281">
        <v>6.0000000000000002E-5</v>
      </c>
      <c r="G1281">
        <f t="shared" si="119"/>
        <v>100.37967600715274</v>
      </c>
      <c r="H1281">
        <f t="shared" si="120"/>
        <v>2.0285901600674006E-3</v>
      </c>
      <c r="I1281">
        <f t="shared" si="121"/>
        <v>1.9685901600674004E-3</v>
      </c>
      <c r="K1281">
        <f t="shared" si="122"/>
        <v>-2.2573363431150906E-3</v>
      </c>
      <c r="L1281">
        <f t="shared" si="123"/>
        <v>-1.1956954962134558E-3</v>
      </c>
      <c r="M1281">
        <f t="shared" si="124"/>
        <v>1.2366833047753767E-2</v>
      </c>
    </row>
    <row r="1282" spans="1:13" x14ac:dyDescent="0.3">
      <c r="A1282" s="3">
        <v>43861</v>
      </c>
      <c r="B1282" s="8">
        <v>8.82</v>
      </c>
      <c r="C1282" s="8">
        <v>148.87</v>
      </c>
      <c r="D1282" s="8">
        <v>132.36000000000001</v>
      </c>
      <c r="E1282">
        <v>6.0000000000000002E-5</v>
      </c>
      <c r="G1282">
        <f t="shared" si="119"/>
        <v>98.484557900205246</v>
      </c>
      <c r="H1282">
        <f t="shared" si="120"/>
        <v>-1.8879500137183647E-2</v>
      </c>
      <c r="I1282">
        <f t="shared" si="121"/>
        <v>-1.8939500137183648E-2</v>
      </c>
      <c r="K1282">
        <f t="shared" si="122"/>
        <v>-2.2624434389140191E-3</v>
      </c>
      <c r="L1282">
        <f t="shared" si="123"/>
        <v>-9.9095504123437594E-3</v>
      </c>
      <c r="M1282">
        <f t="shared" si="124"/>
        <v>-2.5976893075281282E-2</v>
      </c>
    </row>
    <row r="1283" spans="1:13" x14ac:dyDescent="0.3">
      <c r="A1283" s="3">
        <v>43864</v>
      </c>
      <c r="B1283" s="8">
        <v>8.98</v>
      </c>
      <c r="C1283" s="8">
        <v>150.16999999999999</v>
      </c>
      <c r="D1283" s="8">
        <v>133.37</v>
      </c>
      <c r="E1283">
        <v>6.0000000000000002E-5</v>
      </c>
      <c r="G1283">
        <f t="shared" si="119"/>
        <v>100.93038472024185</v>
      </c>
      <c r="H1283">
        <f t="shared" si="120"/>
        <v>2.4834622525441663E-2</v>
      </c>
      <c r="I1283">
        <f t="shared" si="121"/>
        <v>2.4774622525441662E-2</v>
      </c>
      <c r="K1283">
        <f t="shared" si="122"/>
        <v>1.8140589569161092E-2</v>
      </c>
      <c r="L1283">
        <f t="shared" si="123"/>
        <v>8.7324511318598308E-3</v>
      </c>
      <c r="M1283">
        <f t="shared" si="124"/>
        <v>7.6307041402234876E-3</v>
      </c>
    </row>
    <row r="1284" spans="1:13" x14ac:dyDescent="0.3">
      <c r="A1284" s="3">
        <v>43865</v>
      </c>
      <c r="B1284" s="8">
        <v>9.18</v>
      </c>
      <c r="C1284" s="8">
        <v>151.6</v>
      </c>
      <c r="D1284" s="8">
        <v>135.29</v>
      </c>
      <c r="E1284">
        <v>6.0000000000000002E-5</v>
      </c>
      <c r="G1284">
        <f t="shared" si="119"/>
        <v>101.26926318899527</v>
      </c>
      <c r="H1284">
        <f t="shared" si="120"/>
        <v>3.3575465871127363E-3</v>
      </c>
      <c r="I1284">
        <f t="shared" si="121"/>
        <v>3.2975465871127362E-3</v>
      </c>
      <c r="K1284">
        <f t="shared" si="122"/>
        <v>2.2271714922048824E-2</v>
      </c>
      <c r="L1284">
        <f t="shared" si="123"/>
        <v>9.5225411200638987E-3</v>
      </c>
      <c r="M1284">
        <f t="shared" si="124"/>
        <v>1.4396041088700517E-2</v>
      </c>
    </row>
    <row r="1285" spans="1:13" x14ac:dyDescent="0.3">
      <c r="A1285" s="3">
        <v>43866</v>
      </c>
      <c r="B1285" s="8">
        <v>8.31</v>
      </c>
      <c r="C1285" s="8">
        <v>153.99</v>
      </c>
      <c r="D1285" s="8">
        <v>137.59</v>
      </c>
      <c r="E1285">
        <v>6.0000000000000002E-5</v>
      </c>
      <c r="G1285">
        <f t="shared" ref="G1285:G1348" si="125">$G$4*(B1285*$P$8/B1284 + C1285*$Q$8/C1284 + D1285*$R$8/D1284)</f>
        <v>100.46455724644441</v>
      </c>
      <c r="H1285">
        <f t="shared" ref="H1285:H1348" si="126">G1285/G1284-1</f>
        <v>-7.9462012185184117E-3</v>
      </c>
      <c r="I1285">
        <f t="shared" si="121"/>
        <v>-8.0062012185184109E-3</v>
      </c>
      <c r="K1285">
        <f t="shared" si="122"/>
        <v>-9.4771241830065245E-2</v>
      </c>
      <c r="L1285">
        <f t="shared" si="123"/>
        <v>1.5765171503957953E-2</v>
      </c>
      <c r="M1285">
        <f t="shared" si="124"/>
        <v>1.7000517407051552E-2</v>
      </c>
    </row>
    <row r="1286" spans="1:13" x14ac:dyDescent="0.3">
      <c r="A1286" s="3">
        <v>43867</v>
      </c>
      <c r="B1286" s="8">
        <v>8.25</v>
      </c>
      <c r="C1286" s="8">
        <v>153.53</v>
      </c>
      <c r="D1286" s="8">
        <v>137.61000000000001</v>
      </c>
      <c r="E1286">
        <v>6.0000000000000002E-5</v>
      </c>
      <c r="G1286">
        <f t="shared" si="125"/>
        <v>99.774798052791638</v>
      </c>
      <c r="H1286">
        <f t="shared" si="126"/>
        <v>-6.8656968443185917E-3</v>
      </c>
      <c r="I1286">
        <f t="shared" ref="I1286:I1349" si="127">H1286-E1286</f>
        <v>-6.9256968443185919E-3</v>
      </c>
      <c r="K1286">
        <f t="shared" ref="K1286:K1349" si="128">B1286/B1285-1</f>
        <v>-7.2202166064982976E-3</v>
      </c>
      <c r="L1286">
        <f t="shared" ref="L1286:L1349" si="129">C1286/C1285-1</f>
        <v>-2.9872069614910179E-3</v>
      </c>
      <c r="M1286">
        <f t="shared" ref="M1286:M1349" si="130">D1286/D1285-1</f>
        <v>1.4535940111937151E-4</v>
      </c>
    </row>
    <row r="1287" spans="1:13" x14ac:dyDescent="0.3">
      <c r="A1287" s="3">
        <v>43868</v>
      </c>
      <c r="B1287" s="8">
        <v>8.11</v>
      </c>
      <c r="C1287" s="8">
        <v>151.88999999999999</v>
      </c>
      <c r="D1287" s="8">
        <v>137.16999999999999</v>
      </c>
      <c r="E1287">
        <v>6.0000000000000002E-5</v>
      </c>
      <c r="G1287">
        <f t="shared" si="125"/>
        <v>99.14755755855515</v>
      </c>
      <c r="H1287">
        <f t="shared" si="126"/>
        <v>-6.2865624033096035E-3</v>
      </c>
      <c r="I1287">
        <f t="shared" si="127"/>
        <v>-6.3465624033096036E-3</v>
      </c>
      <c r="K1287">
        <f t="shared" si="128"/>
        <v>-1.6969696969697079E-2</v>
      </c>
      <c r="L1287">
        <f t="shared" si="129"/>
        <v>-1.0681951410147938E-2</v>
      </c>
      <c r="M1287">
        <f t="shared" si="130"/>
        <v>-3.1974420463630748E-3</v>
      </c>
    </row>
    <row r="1288" spans="1:13" x14ac:dyDescent="0.3">
      <c r="A1288" s="3">
        <v>43871</v>
      </c>
      <c r="B1288" s="8">
        <v>8.06</v>
      </c>
      <c r="C1288" s="8">
        <v>151.86000000000001</v>
      </c>
      <c r="D1288" s="8">
        <v>137.74</v>
      </c>
      <c r="E1288">
        <v>6.0000000000000002E-5</v>
      </c>
      <c r="G1288">
        <f t="shared" si="125"/>
        <v>100.08151134653009</v>
      </c>
      <c r="H1288">
        <f t="shared" si="126"/>
        <v>9.4198365645403737E-3</v>
      </c>
      <c r="I1288">
        <f t="shared" si="127"/>
        <v>9.3598365645403744E-3</v>
      </c>
      <c r="K1288">
        <f t="shared" si="128"/>
        <v>-6.1652281134401132E-3</v>
      </c>
      <c r="L1288">
        <f t="shared" si="129"/>
        <v>-1.9751135690282418E-4</v>
      </c>
      <c r="M1288">
        <f t="shared" si="130"/>
        <v>4.1554275716266798E-3</v>
      </c>
    </row>
    <row r="1289" spans="1:13" x14ac:dyDescent="0.3">
      <c r="A1289" s="3">
        <v>43872</v>
      </c>
      <c r="B1289" s="8">
        <v>8.1</v>
      </c>
      <c r="C1289" s="8">
        <v>151.99</v>
      </c>
      <c r="D1289" s="8">
        <v>138</v>
      </c>
      <c r="E1289">
        <v>6.0000000000000002E-5</v>
      </c>
      <c r="G1289">
        <f t="shared" si="125"/>
        <v>100.16746337755997</v>
      </c>
      <c r="H1289">
        <f t="shared" si="126"/>
        <v>8.5882027432893082E-4</v>
      </c>
      <c r="I1289">
        <f t="shared" si="127"/>
        <v>7.9882027432893077E-4</v>
      </c>
      <c r="K1289">
        <f t="shared" si="128"/>
        <v>4.9627791563273682E-3</v>
      </c>
      <c r="L1289">
        <f t="shared" si="129"/>
        <v>8.5605162649815547E-4</v>
      </c>
      <c r="M1289">
        <f t="shared" si="130"/>
        <v>1.8876143458690375E-3</v>
      </c>
    </row>
    <row r="1290" spans="1:13" x14ac:dyDescent="0.3">
      <c r="A1290" s="3">
        <v>43873</v>
      </c>
      <c r="B1290" s="8">
        <v>8.24</v>
      </c>
      <c r="C1290" s="8">
        <v>151.09</v>
      </c>
      <c r="D1290" s="8">
        <v>138</v>
      </c>
      <c r="E1290">
        <v>6.0000000000000002E-5</v>
      </c>
      <c r="G1290">
        <f t="shared" si="125"/>
        <v>99.873883592102914</v>
      </c>
      <c r="H1290">
        <f t="shared" si="126"/>
        <v>-2.930889687706939E-3</v>
      </c>
      <c r="I1290">
        <f t="shared" si="127"/>
        <v>-2.9908896877069392E-3</v>
      </c>
      <c r="K1290">
        <f t="shared" si="128"/>
        <v>1.7283950617283939E-2</v>
      </c>
      <c r="L1290">
        <f t="shared" si="129"/>
        <v>-5.9214422001447886E-3</v>
      </c>
      <c r="M1290">
        <f t="shared" si="130"/>
        <v>0</v>
      </c>
    </row>
    <row r="1291" spans="1:13" x14ac:dyDescent="0.3">
      <c r="A1291" s="3">
        <v>43874</v>
      </c>
      <c r="B1291" s="8">
        <v>8.25</v>
      </c>
      <c r="C1291" s="8">
        <v>150.09</v>
      </c>
      <c r="D1291" s="8">
        <v>137.88</v>
      </c>
      <c r="E1291">
        <v>6.0000000000000002E-5</v>
      </c>
      <c r="G1291">
        <f t="shared" si="125"/>
        <v>99.636566707438433</v>
      </c>
      <c r="H1291">
        <f t="shared" si="126"/>
        <v>-2.3761655813216986E-3</v>
      </c>
      <c r="I1291">
        <f t="shared" si="127"/>
        <v>-2.4361655813216988E-3</v>
      </c>
      <c r="K1291">
        <f t="shared" si="128"/>
        <v>1.2135922330096527E-3</v>
      </c>
      <c r="L1291">
        <f t="shared" si="129"/>
        <v>-6.6185717122244636E-3</v>
      </c>
      <c r="M1291">
        <f t="shared" si="130"/>
        <v>-8.6956521739134374E-4</v>
      </c>
    </row>
    <row r="1292" spans="1:13" x14ac:dyDescent="0.3">
      <c r="A1292" s="3">
        <v>43875</v>
      </c>
      <c r="B1292" s="8">
        <v>8.1</v>
      </c>
      <c r="C1292" s="8">
        <v>150.13</v>
      </c>
      <c r="D1292" s="8">
        <v>137.46</v>
      </c>
      <c r="E1292">
        <v>6.0000000000000002E-5</v>
      </c>
      <c r="G1292">
        <f t="shared" si="125"/>
        <v>99.708650161092805</v>
      </c>
      <c r="H1292">
        <f t="shared" si="126"/>
        <v>7.2346384501620342E-4</v>
      </c>
      <c r="I1292">
        <f t="shared" si="127"/>
        <v>6.6346384501620337E-4</v>
      </c>
      <c r="K1292">
        <f t="shared" si="128"/>
        <v>-1.8181818181818188E-2</v>
      </c>
      <c r="L1292">
        <f t="shared" si="129"/>
        <v>2.6650676260908668E-4</v>
      </c>
      <c r="M1292">
        <f t="shared" si="130"/>
        <v>-3.0461270670146812E-3</v>
      </c>
    </row>
    <row r="1293" spans="1:13" x14ac:dyDescent="0.3">
      <c r="A1293" s="3">
        <v>43879</v>
      </c>
      <c r="B1293" s="8">
        <v>8.06</v>
      </c>
      <c r="C1293" s="8">
        <v>149.13999999999999</v>
      </c>
      <c r="D1293" s="8">
        <v>135.63999999999999</v>
      </c>
      <c r="E1293">
        <v>6.0000000000000002E-5</v>
      </c>
      <c r="G1293">
        <f t="shared" si="125"/>
        <v>99.107833761423876</v>
      </c>
      <c r="H1293">
        <f t="shared" si="126"/>
        <v>-6.0257199219749813E-3</v>
      </c>
      <c r="I1293">
        <f t="shared" si="127"/>
        <v>-6.0857199219749815E-3</v>
      </c>
      <c r="K1293">
        <f t="shared" si="128"/>
        <v>-4.9382716049382047E-3</v>
      </c>
      <c r="L1293">
        <f t="shared" si="129"/>
        <v>-6.5942849530407077E-3</v>
      </c>
      <c r="M1293">
        <f t="shared" si="130"/>
        <v>-1.3240215335370453E-2</v>
      </c>
    </row>
    <row r="1294" spans="1:13" x14ac:dyDescent="0.3">
      <c r="A1294" s="3">
        <v>43880</v>
      </c>
      <c r="B1294" s="8">
        <v>8</v>
      </c>
      <c r="C1294" s="8">
        <v>148.94</v>
      </c>
      <c r="D1294" s="8">
        <v>137.49</v>
      </c>
      <c r="E1294">
        <v>6.0000000000000002E-5</v>
      </c>
      <c r="G1294">
        <f t="shared" si="125"/>
        <v>100.36565061585408</v>
      </c>
      <c r="H1294">
        <f t="shared" si="126"/>
        <v>1.2691396902671404E-2</v>
      </c>
      <c r="I1294">
        <f t="shared" si="127"/>
        <v>1.2631396902671404E-2</v>
      </c>
      <c r="K1294">
        <f t="shared" si="128"/>
        <v>-7.4441687344913854E-3</v>
      </c>
      <c r="L1294">
        <f t="shared" si="129"/>
        <v>-1.341021858656255E-3</v>
      </c>
      <c r="M1294">
        <f t="shared" si="130"/>
        <v>1.363904452963749E-2</v>
      </c>
    </row>
    <row r="1295" spans="1:13" x14ac:dyDescent="0.3">
      <c r="A1295" s="3">
        <v>43881</v>
      </c>
      <c r="B1295" s="8">
        <v>8.0299999999999994</v>
      </c>
      <c r="C1295" s="8">
        <v>148.37</v>
      </c>
      <c r="D1295" s="8">
        <v>137.49</v>
      </c>
      <c r="E1295">
        <v>6.0000000000000002E-5</v>
      </c>
      <c r="G1295">
        <f t="shared" si="125"/>
        <v>99.840720327933212</v>
      </c>
      <c r="H1295">
        <f t="shared" si="126"/>
        <v>-5.2301786985869958E-3</v>
      </c>
      <c r="I1295">
        <f t="shared" si="127"/>
        <v>-5.290178698586996E-3</v>
      </c>
      <c r="K1295">
        <f t="shared" si="128"/>
        <v>3.7499999999999201E-3</v>
      </c>
      <c r="L1295">
        <f t="shared" si="129"/>
        <v>-3.8270444474284293E-3</v>
      </c>
      <c r="M1295">
        <f t="shared" si="130"/>
        <v>0</v>
      </c>
    </row>
    <row r="1296" spans="1:13" x14ac:dyDescent="0.3">
      <c r="A1296" s="3">
        <v>43882</v>
      </c>
      <c r="B1296" s="8">
        <v>7.89</v>
      </c>
      <c r="C1296" s="8">
        <v>149.93</v>
      </c>
      <c r="D1296" s="8">
        <v>135.81</v>
      </c>
      <c r="E1296">
        <v>6.0000000000000002E-5</v>
      </c>
      <c r="G1296">
        <f t="shared" si="125"/>
        <v>99.903036552593903</v>
      </c>
      <c r="H1296">
        <f t="shared" si="126"/>
        <v>6.2415640087531976E-4</v>
      </c>
      <c r="I1296">
        <f t="shared" si="127"/>
        <v>5.6415640087531971E-4</v>
      </c>
      <c r="K1296">
        <f t="shared" si="128"/>
        <v>-1.743462017434616E-2</v>
      </c>
      <c r="L1296">
        <f t="shared" si="129"/>
        <v>1.0514254903282394E-2</v>
      </c>
      <c r="M1296">
        <f t="shared" si="130"/>
        <v>-1.2219070477852978E-2</v>
      </c>
    </row>
    <row r="1297" spans="1:13" x14ac:dyDescent="0.3">
      <c r="A1297" s="3">
        <v>43885</v>
      </c>
      <c r="B1297" s="8">
        <v>7.57</v>
      </c>
      <c r="C1297" s="8">
        <v>145.91</v>
      </c>
      <c r="D1297" s="8">
        <v>132.16</v>
      </c>
      <c r="E1297">
        <v>6.0000000000000002E-5</v>
      </c>
      <c r="G1297">
        <f t="shared" si="125"/>
        <v>97.172315426103509</v>
      </c>
      <c r="H1297">
        <f t="shared" si="126"/>
        <v>-2.7333714977250012E-2</v>
      </c>
      <c r="I1297">
        <f t="shared" si="127"/>
        <v>-2.7393714977250013E-2</v>
      </c>
      <c r="K1297">
        <f t="shared" si="128"/>
        <v>-4.0557667934093766E-2</v>
      </c>
      <c r="L1297">
        <f t="shared" si="129"/>
        <v>-2.6812512505836161E-2</v>
      </c>
      <c r="M1297">
        <f t="shared" si="130"/>
        <v>-2.687578234297916E-2</v>
      </c>
    </row>
    <row r="1298" spans="1:13" x14ac:dyDescent="0.3">
      <c r="A1298" s="3">
        <v>43886</v>
      </c>
      <c r="B1298" s="8">
        <v>7.23</v>
      </c>
      <c r="C1298" s="8">
        <v>144.65</v>
      </c>
      <c r="D1298" s="8">
        <v>126.26</v>
      </c>
      <c r="E1298">
        <v>6.0000000000000002E-5</v>
      </c>
      <c r="G1298">
        <f t="shared" si="125"/>
        <v>97.401249944303487</v>
      </c>
      <c r="H1298">
        <f t="shared" si="126"/>
        <v>2.3559644246007316E-3</v>
      </c>
      <c r="I1298">
        <f t="shared" si="127"/>
        <v>2.2959644246007315E-3</v>
      </c>
      <c r="K1298">
        <f t="shared" si="128"/>
        <v>-4.4914134742404244E-2</v>
      </c>
      <c r="L1298">
        <f t="shared" si="129"/>
        <v>-8.6354602152011184E-3</v>
      </c>
      <c r="M1298">
        <f t="shared" si="130"/>
        <v>-4.4642857142857095E-2</v>
      </c>
    </row>
    <row r="1299" spans="1:13" x14ac:dyDescent="0.3">
      <c r="A1299" s="3">
        <v>43887</v>
      </c>
      <c r="B1299" s="8">
        <v>7.21</v>
      </c>
      <c r="C1299" s="8">
        <v>143.68</v>
      </c>
      <c r="D1299" s="8">
        <v>126.64</v>
      </c>
      <c r="E1299">
        <v>6.0000000000000002E-5</v>
      </c>
      <c r="G1299">
        <f t="shared" si="125"/>
        <v>99.736307994837546</v>
      </c>
      <c r="H1299">
        <f t="shared" si="126"/>
        <v>2.3973594300579437E-2</v>
      </c>
      <c r="I1299">
        <f t="shared" si="127"/>
        <v>2.3913594300579436E-2</v>
      </c>
      <c r="K1299">
        <f t="shared" si="128"/>
        <v>-2.7662517289074318E-3</v>
      </c>
      <c r="L1299">
        <f t="shared" si="129"/>
        <v>-6.705841686830305E-3</v>
      </c>
      <c r="M1299">
        <f t="shared" si="130"/>
        <v>3.0096626009821215E-3</v>
      </c>
    </row>
    <row r="1300" spans="1:13" x14ac:dyDescent="0.3">
      <c r="A1300" s="3">
        <v>43888</v>
      </c>
      <c r="B1300" s="8">
        <v>6.97</v>
      </c>
      <c r="C1300" s="8">
        <v>139.12</v>
      </c>
      <c r="D1300" s="8">
        <v>121.37</v>
      </c>
      <c r="E1300">
        <v>6.0000000000000002E-5</v>
      </c>
      <c r="G1300">
        <f t="shared" si="125"/>
        <v>96.438362025922928</v>
      </c>
      <c r="H1300">
        <f t="shared" si="126"/>
        <v>-3.3066653811622215E-2</v>
      </c>
      <c r="I1300">
        <f t="shared" si="127"/>
        <v>-3.3126653811622213E-2</v>
      </c>
      <c r="K1300">
        <f t="shared" si="128"/>
        <v>-3.3287101248266282E-2</v>
      </c>
      <c r="L1300">
        <f t="shared" si="129"/>
        <v>-3.1737193763919813E-2</v>
      </c>
      <c r="M1300">
        <f t="shared" si="130"/>
        <v>-4.1614024005053651E-2</v>
      </c>
    </row>
    <row r="1301" spans="1:13" x14ac:dyDescent="0.3">
      <c r="A1301" s="3">
        <v>43889</v>
      </c>
      <c r="B1301" s="8">
        <v>6.96</v>
      </c>
      <c r="C1301" s="8">
        <v>134.47999999999999</v>
      </c>
      <c r="D1301" s="8">
        <v>116.11</v>
      </c>
      <c r="E1301">
        <v>6.0000000000000002E-5</v>
      </c>
      <c r="G1301">
        <f t="shared" si="125"/>
        <v>96.623470338383854</v>
      </c>
      <c r="H1301">
        <f t="shared" si="126"/>
        <v>1.9194468733425563E-3</v>
      </c>
      <c r="I1301">
        <f t="shared" si="127"/>
        <v>1.8594468733425563E-3</v>
      </c>
      <c r="K1301">
        <f t="shared" si="128"/>
        <v>-1.4347202295551531E-3</v>
      </c>
      <c r="L1301">
        <f t="shared" si="129"/>
        <v>-3.3352501437607929E-2</v>
      </c>
      <c r="M1301">
        <f t="shared" si="130"/>
        <v>-4.3338551536623582E-2</v>
      </c>
    </row>
    <row r="1302" spans="1:13" x14ac:dyDescent="0.3">
      <c r="A1302" s="3">
        <v>43892</v>
      </c>
      <c r="B1302" s="8">
        <v>7.2</v>
      </c>
      <c r="C1302" s="8">
        <v>140.02000000000001</v>
      </c>
      <c r="D1302" s="8">
        <v>121.52</v>
      </c>
      <c r="E1302">
        <v>6.0000000000000002E-5</v>
      </c>
      <c r="G1302">
        <f t="shared" si="125"/>
        <v>104.25235172459151</v>
      </c>
      <c r="H1302">
        <f t="shared" si="126"/>
        <v>7.8954744219915218E-2</v>
      </c>
      <c r="I1302">
        <f t="shared" si="127"/>
        <v>7.8894744219915214E-2</v>
      </c>
      <c r="K1302">
        <f t="shared" si="128"/>
        <v>3.4482758620689724E-2</v>
      </c>
      <c r="L1302">
        <f t="shared" si="129"/>
        <v>4.1195716835217278E-2</v>
      </c>
      <c r="M1302">
        <f t="shared" si="130"/>
        <v>4.6593747308586675E-2</v>
      </c>
    </row>
    <row r="1303" spans="1:13" x14ac:dyDescent="0.3">
      <c r="A1303" s="3">
        <v>43893</v>
      </c>
      <c r="B1303" s="8">
        <v>6.97</v>
      </c>
      <c r="C1303" s="8">
        <v>135.59</v>
      </c>
      <c r="D1303" s="8">
        <v>116.96</v>
      </c>
      <c r="E1303">
        <v>6.0000000000000002E-5</v>
      </c>
      <c r="G1303">
        <f t="shared" si="125"/>
        <v>96.611448830688744</v>
      </c>
      <c r="H1303">
        <f t="shared" si="126"/>
        <v>-7.329237918860676E-2</v>
      </c>
      <c r="I1303">
        <f t="shared" si="127"/>
        <v>-7.3352379188606764E-2</v>
      </c>
      <c r="K1303">
        <f t="shared" si="128"/>
        <v>-3.1944444444444553E-2</v>
      </c>
      <c r="L1303">
        <f t="shared" si="129"/>
        <v>-3.1638337380374248E-2</v>
      </c>
      <c r="M1303">
        <f t="shared" si="130"/>
        <v>-3.7524687294272607E-2</v>
      </c>
    </row>
    <row r="1304" spans="1:13" x14ac:dyDescent="0.3">
      <c r="A1304" s="3">
        <v>43894</v>
      </c>
      <c r="B1304" s="8">
        <v>7.08</v>
      </c>
      <c r="C1304" s="8">
        <v>143.47999999999999</v>
      </c>
      <c r="D1304" s="8">
        <v>119.85</v>
      </c>
      <c r="E1304">
        <v>6.0000000000000002E-5</v>
      </c>
      <c r="G1304">
        <f t="shared" si="125"/>
        <v>104.11464752550724</v>
      </c>
      <c r="H1304">
        <f t="shared" si="126"/>
        <v>7.7663659800484064E-2</v>
      </c>
      <c r="I1304">
        <f t="shared" si="127"/>
        <v>7.7603659800484059E-2</v>
      </c>
      <c r="K1304">
        <f t="shared" si="128"/>
        <v>1.5781922525107683E-2</v>
      </c>
      <c r="L1304">
        <f t="shared" si="129"/>
        <v>5.8190132015635276E-2</v>
      </c>
      <c r="M1304">
        <f t="shared" si="130"/>
        <v>2.4709302325581328E-2</v>
      </c>
    </row>
    <row r="1305" spans="1:13" x14ac:dyDescent="0.3">
      <c r="A1305" s="3">
        <v>43895</v>
      </c>
      <c r="B1305" s="8">
        <v>6.74</v>
      </c>
      <c r="C1305" s="8">
        <v>142.01</v>
      </c>
      <c r="D1305" s="8">
        <v>113.97</v>
      </c>
      <c r="E1305">
        <v>6.0000000000000002E-5</v>
      </c>
      <c r="G1305">
        <f t="shared" si="125"/>
        <v>97.118866855150671</v>
      </c>
      <c r="H1305">
        <f t="shared" si="126"/>
        <v>-6.7193049552827455E-2</v>
      </c>
      <c r="I1305">
        <f t="shared" si="127"/>
        <v>-6.725304955282746E-2</v>
      </c>
      <c r="K1305">
        <f t="shared" si="128"/>
        <v>-4.8022598870056443E-2</v>
      </c>
      <c r="L1305">
        <f t="shared" si="129"/>
        <v>-1.0245330359632043E-2</v>
      </c>
      <c r="M1305">
        <f t="shared" si="130"/>
        <v>-4.9061326658322857E-2</v>
      </c>
    </row>
    <row r="1306" spans="1:13" x14ac:dyDescent="0.3">
      <c r="A1306" s="3">
        <v>43896</v>
      </c>
      <c r="B1306" s="8">
        <v>6.49</v>
      </c>
      <c r="C1306" s="8">
        <v>142.03</v>
      </c>
      <c r="D1306" s="8">
        <v>108.08</v>
      </c>
      <c r="E1306">
        <v>6.0000000000000002E-5</v>
      </c>
      <c r="G1306">
        <f t="shared" si="125"/>
        <v>97.673793914582092</v>
      </c>
      <c r="H1306">
        <f t="shared" si="126"/>
        <v>5.7138955323590146E-3</v>
      </c>
      <c r="I1306">
        <f t="shared" si="127"/>
        <v>5.6538955323590144E-3</v>
      </c>
      <c r="K1306">
        <f t="shared" si="128"/>
        <v>-3.7091988130563802E-2</v>
      </c>
      <c r="L1306">
        <f t="shared" si="129"/>
        <v>1.4083515245411071E-4</v>
      </c>
      <c r="M1306">
        <f t="shared" si="130"/>
        <v>-5.1680266736860547E-2</v>
      </c>
    </row>
    <row r="1307" spans="1:13" x14ac:dyDescent="0.3">
      <c r="A1307" s="3">
        <v>43899</v>
      </c>
      <c r="B1307" s="8">
        <v>5.9</v>
      </c>
      <c r="C1307" s="8">
        <v>136.44</v>
      </c>
      <c r="D1307" s="8">
        <v>93.44</v>
      </c>
      <c r="E1307">
        <v>6.0000000000000002E-5</v>
      </c>
      <c r="G1307">
        <f t="shared" si="125"/>
        <v>91.907702275038034</v>
      </c>
      <c r="H1307">
        <f t="shared" si="126"/>
        <v>-5.9034172918343231E-2</v>
      </c>
      <c r="I1307">
        <f t="shared" si="127"/>
        <v>-5.9094172918343228E-2</v>
      </c>
      <c r="K1307">
        <f t="shared" si="128"/>
        <v>-9.0909090909090939E-2</v>
      </c>
      <c r="L1307">
        <f t="shared" si="129"/>
        <v>-3.9357882137576627E-2</v>
      </c>
      <c r="M1307">
        <f t="shared" si="130"/>
        <v>-0.13545521835677277</v>
      </c>
    </row>
    <row r="1308" spans="1:13" x14ac:dyDescent="0.3">
      <c r="A1308" s="3">
        <v>43900</v>
      </c>
      <c r="B1308" s="8">
        <v>6.26</v>
      </c>
      <c r="C1308" s="8">
        <v>141.63999999999999</v>
      </c>
      <c r="D1308" s="8">
        <v>100.7</v>
      </c>
      <c r="E1308">
        <v>6.0000000000000002E-5</v>
      </c>
      <c r="G1308">
        <f t="shared" si="125"/>
        <v>105.54086956974152</v>
      </c>
      <c r="H1308">
        <f t="shared" si="126"/>
        <v>0.14833541648017268</v>
      </c>
      <c r="I1308">
        <f t="shared" si="127"/>
        <v>0.14827541648017267</v>
      </c>
      <c r="K1308">
        <f t="shared" si="128"/>
        <v>6.1016949152542299E-2</v>
      </c>
      <c r="L1308">
        <f t="shared" si="129"/>
        <v>3.8111990618586944E-2</v>
      </c>
      <c r="M1308">
        <f t="shared" si="130"/>
        <v>7.769691780821919E-2</v>
      </c>
    </row>
    <row r="1309" spans="1:13" x14ac:dyDescent="0.3">
      <c r="A1309" s="3">
        <v>43901</v>
      </c>
      <c r="B1309" s="8">
        <v>5.9</v>
      </c>
      <c r="C1309" s="8">
        <v>131.80000000000001</v>
      </c>
      <c r="D1309" s="8">
        <v>95.96</v>
      </c>
      <c r="E1309">
        <v>6.0000000000000002E-5</v>
      </c>
      <c r="G1309">
        <f t="shared" si="125"/>
        <v>94.021181863144136</v>
      </c>
      <c r="H1309">
        <f t="shared" si="126"/>
        <v>-0.10914906948900172</v>
      </c>
      <c r="I1309">
        <f t="shared" si="127"/>
        <v>-0.10920906948900172</v>
      </c>
      <c r="K1309">
        <f t="shared" si="128"/>
        <v>-5.7507987220447143E-2</v>
      </c>
      <c r="L1309">
        <f t="shared" si="129"/>
        <v>-6.9471900593052638E-2</v>
      </c>
      <c r="M1309">
        <f t="shared" si="130"/>
        <v>-4.7070506454816363E-2</v>
      </c>
    </row>
    <row r="1310" spans="1:13" x14ac:dyDescent="0.3">
      <c r="A1310" s="3">
        <v>43902</v>
      </c>
      <c r="B1310" s="8">
        <v>5.35</v>
      </c>
      <c r="C1310" s="8">
        <v>125.41</v>
      </c>
      <c r="D1310" s="8">
        <v>88.05</v>
      </c>
      <c r="E1310">
        <v>6.0000000000000002E-5</v>
      </c>
      <c r="G1310">
        <f t="shared" si="125"/>
        <v>93.405398682543563</v>
      </c>
      <c r="H1310">
        <f t="shared" si="126"/>
        <v>-6.5494090629162338E-3</v>
      </c>
      <c r="I1310">
        <f t="shared" si="127"/>
        <v>-6.609409062916234E-3</v>
      </c>
      <c r="K1310">
        <f t="shared" si="128"/>
        <v>-9.3220338983050932E-2</v>
      </c>
      <c r="L1310">
        <f t="shared" si="129"/>
        <v>-4.848254931714735E-2</v>
      </c>
      <c r="M1310">
        <f t="shared" si="130"/>
        <v>-8.2430179241350543E-2</v>
      </c>
    </row>
    <row r="1311" spans="1:13" x14ac:dyDescent="0.3">
      <c r="A1311" s="3">
        <v>43903</v>
      </c>
      <c r="B1311" s="8">
        <v>5.63</v>
      </c>
      <c r="C1311" s="8">
        <v>134.29</v>
      </c>
      <c r="D1311" s="8">
        <v>103.91</v>
      </c>
      <c r="E1311">
        <v>6.0000000000000002E-5</v>
      </c>
      <c r="G1311">
        <f t="shared" si="125"/>
        <v>111.00090858917933</v>
      </c>
      <c r="H1311">
        <f t="shared" si="126"/>
        <v>0.18837786846173143</v>
      </c>
      <c r="I1311">
        <f t="shared" si="127"/>
        <v>0.18831786846173143</v>
      </c>
      <c r="K1311">
        <f t="shared" si="128"/>
        <v>5.2336448598130803E-2</v>
      </c>
      <c r="L1311">
        <f t="shared" si="129"/>
        <v>7.0807750578103734E-2</v>
      </c>
      <c r="M1311">
        <f t="shared" si="130"/>
        <v>0.18012492901760369</v>
      </c>
    </row>
    <row r="1312" spans="1:13" x14ac:dyDescent="0.3">
      <c r="A1312" s="3">
        <v>43906</v>
      </c>
      <c r="B1312" s="8">
        <v>5.01</v>
      </c>
      <c r="C1312" s="8">
        <v>127.13</v>
      </c>
      <c r="D1312" s="8">
        <v>88.36</v>
      </c>
      <c r="E1312">
        <v>6.0000000000000002E-5</v>
      </c>
      <c r="G1312">
        <f t="shared" si="125"/>
        <v>90.447861222296737</v>
      </c>
      <c r="H1312">
        <f t="shared" si="126"/>
        <v>-0.1851610732570721</v>
      </c>
      <c r="I1312">
        <f t="shared" si="127"/>
        <v>-0.1852210732570721</v>
      </c>
      <c r="K1312">
        <f t="shared" si="128"/>
        <v>-0.11012433392539966</v>
      </c>
      <c r="L1312">
        <f t="shared" si="129"/>
        <v>-5.3317447315511135E-2</v>
      </c>
      <c r="M1312">
        <f t="shared" si="130"/>
        <v>-0.14964873448176308</v>
      </c>
    </row>
    <row r="1313" spans="1:13" x14ac:dyDescent="0.3">
      <c r="A1313" s="3">
        <v>43907</v>
      </c>
      <c r="B1313" s="8">
        <v>5.01</v>
      </c>
      <c r="C1313" s="8">
        <v>136.59</v>
      </c>
      <c r="D1313" s="8">
        <v>93.76</v>
      </c>
      <c r="E1313">
        <v>6.0000000000000002E-5</v>
      </c>
      <c r="G1313">
        <f t="shared" si="125"/>
        <v>106.1609145978851</v>
      </c>
      <c r="H1313">
        <f t="shared" si="126"/>
        <v>0.17372498545841641</v>
      </c>
      <c r="I1313">
        <f t="shared" si="127"/>
        <v>0.17366498545841641</v>
      </c>
      <c r="K1313">
        <f t="shared" si="128"/>
        <v>0</v>
      </c>
      <c r="L1313">
        <f t="shared" si="129"/>
        <v>7.4412019192952261E-2</v>
      </c>
      <c r="M1313">
        <f t="shared" si="130"/>
        <v>6.1113626075147254E-2</v>
      </c>
    </row>
    <row r="1314" spans="1:13" x14ac:dyDescent="0.3">
      <c r="A1314" s="3">
        <v>43908</v>
      </c>
      <c r="B1314" s="8">
        <v>4.5</v>
      </c>
      <c r="C1314" s="8">
        <v>134.96</v>
      </c>
      <c r="D1314" s="8">
        <v>83.89</v>
      </c>
      <c r="E1314">
        <v>6.0000000000000002E-5</v>
      </c>
      <c r="G1314">
        <f t="shared" si="125"/>
        <v>94.352563102932479</v>
      </c>
      <c r="H1314">
        <f t="shared" si="126"/>
        <v>-0.11123068729842933</v>
      </c>
      <c r="I1314">
        <f t="shared" si="127"/>
        <v>-0.11129068729842934</v>
      </c>
      <c r="K1314">
        <f t="shared" si="128"/>
        <v>-0.10179640718562866</v>
      </c>
      <c r="L1314">
        <f t="shared" si="129"/>
        <v>-1.1933523684017788E-2</v>
      </c>
      <c r="M1314">
        <f t="shared" si="130"/>
        <v>-0.10526877133105805</v>
      </c>
    </row>
    <row r="1315" spans="1:13" x14ac:dyDescent="0.3">
      <c r="A1315" s="3">
        <v>43909</v>
      </c>
      <c r="B1315" s="8">
        <v>4.47</v>
      </c>
      <c r="C1315" s="8">
        <v>127.05</v>
      </c>
      <c r="D1315" s="8">
        <v>85.3</v>
      </c>
      <c r="E1315">
        <v>6.0000000000000002E-5</v>
      </c>
      <c r="G1315">
        <f t="shared" si="125"/>
        <v>97.521426310197853</v>
      </c>
      <c r="H1315">
        <f t="shared" si="126"/>
        <v>3.3585343132738865E-2</v>
      </c>
      <c r="I1315">
        <f t="shared" si="127"/>
        <v>3.3525343132738868E-2</v>
      </c>
      <c r="K1315">
        <f t="shared" si="128"/>
        <v>-6.6666666666667096E-3</v>
      </c>
      <c r="L1315">
        <f t="shared" si="129"/>
        <v>-5.8609958506224191E-2</v>
      </c>
      <c r="M1315">
        <f t="shared" si="130"/>
        <v>1.6807724401001201E-2</v>
      </c>
    </row>
    <row r="1316" spans="1:13" x14ac:dyDescent="0.3">
      <c r="A1316" s="3">
        <v>43910</v>
      </c>
      <c r="B1316" s="8">
        <v>4.33</v>
      </c>
      <c r="C1316" s="8">
        <v>119.89</v>
      </c>
      <c r="D1316" s="8">
        <v>83.5</v>
      </c>
      <c r="E1316">
        <v>6.0000000000000002E-5</v>
      </c>
      <c r="G1316">
        <f t="shared" si="125"/>
        <v>95.95344047677176</v>
      </c>
      <c r="H1316">
        <f t="shared" si="126"/>
        <v>-1.6078372648474337E-2</v>
      </c>
      <c r="I1316">
        <f t="shared" si="127"/>
        <v>-1.6138372648474338E-2</v>
      </c>
      <c r="K1316">
        <f t="shared" si="128"/>
        <v>-3.1319910514541305E-2</v>
      </c>
      <c r="L1316">
        <f t="shared" si="129"/>
        <v>-5.6355765446674533E-2</v>
      </c>
      <c r="M1316">
        <f t="shared" si="130"/>
        <v>-2.1101992966002348E-2</v>
      </c>
    </row>
    <row r="1317" spans="1:13" x14ac:dyDescent="0.3">
      <c r="A1317" s="3">
        <v>43913</v>
      </c>
      <c r="B1317" s="8">
        <v>4.01</v>
      </c>
      <c r="C1317" s="8">
        <v>111.14</v>
      </c>
      <c r="D1317" s="8">
        <v>79.03</v>
      </c>
      <c r="E1317">
        <v>6.0000000000000002E-5</v>
      </c>
      <c r="G1317">
        <f t="shared" si="125"/>
        <v>93.423954516368397</v>
      </c>
      <c r="H1317">
        <f t="shared" si="126"/>
        <v>-2.6361597331319264E-2</v>
      </c>
      <c r="I1317">
        <f t="shared" si="127"/>
        <v>-2.6421597331319265E-2</v>
      </c>
      <c r="K1317">
        <f t="shared" si="128"/>
        <v>-7.390300230946889E-2</v>
      </c>
      <c r="L1317">
        <f t="shared" si="129"/>
        <v>-7.2983568270915011E-2</v>
      </c>
      <c r="M1317">
        <f t="shared" si="130"/>
        <v>-5.3532934131736543E-2</v>
      </c>
    </row>
    <row r="1318" spans="1:13" x14ac:dyDescent="0.3">
      <c r="A1318" s="3">
        <v>43914</v>
      </c>
      <c r="B1318" s="8">
        <v>4.95</v>
      </c>
      <c r="C1318" s="8">
        <v>119.18</v>
      </c>
      <c r="D1318" s="8">
        <v>88.43</v>
      </c>
      <c r="E1318">
        <v>6.0000000000000002E-5</v>
      </c>
      <c r="G1318">
        <f t="shared" si="125"/>
        <v>110.68632192563732</v>
      </c>
      <c r="H1318">
        <f t="shared" si="126"/>
        <v>0.18477453131406962</v>
      </c>
      <c r="I1318">
        <f t="shared" si="127"/>
        <v>0.18471453131406962</v>
      </c>
      <c r="K1318">
        <f t="shared" si="128"/>
        <v>0.23441396508728185</v>
      </c>
      <c r="L1318">
        <f t="shared" si="129"/>
        <v>7.2341191290264506E-2</v>
      </c>
      <c r="M1318">
        <f t="shared" si="130"/>
        <v>0.11894217385802874</v>
      </c>
    </row>
    <row r="1319" spans="1:13" x14ac:dyDescent="0.3">
      <c r="A1319" s="3">
        <v>43915</v>
      </c>
      <c r="B1319" s="8">
        <v>5.39</v>
      </c>
      <c r="C1319" s="8">
        <v>119.4</v>
      </c>
      <c r="D1319" s="8">
        <v>91.73</v>
      </c>
      <c r="E1319">
        <v>6.0000000000000002E-5</v>
      </c>
      <c r="G1319">
        <f t="shared" si="125"/>
        <v>102.43166141818291</v>
      </c>
      <c r="H1319">
        <f t="shared" si="126"/>
        <v>-7.4577060325485833E-2</v>
      </c>
      <c r="I1319">
        <f t="shared" si="127"/>
        <v>-7.4637060325485838E-2</v>
      </c>
      <c r="K1319">
        <f t="shared" si="128"/>
        <v>8.8888888888888795E-2</v>
      </c>
      <c r="L1319">
        <f t="shared" si="129"/>
        <v>1.8459473065950416E-3</v>
      </c>
      <c r="M1319">
        <f t="shared" si="130"/>
        <v>3.7317652380413957E-2</v>
      </c>
    </row>
    <row r="1320" spans="1:13" x14ac:dyDescent="0.3">
      <c r="A1320" s="3">
        <v>43916</v>
      </c>
      <c r="B1320" s="8">
        <v>5.25</v>
      </c>
      <c r="C1320" s="8">
        <v>126.57</v>
      </c>
      <c r="D1320" s="8">
        <v>98.12</v>
      </c>
      <c r="E1320">
        <v>6.0000000000000002E-5</v>
      </c>
      <c r="G1320">
        <f t="shared" si="125"/>
        <v>105.46513160301573</v>
      </c>
      <c r="H1320">
        <f t="shared" si="126"/>
        <v>2.9614575638371443E-2</v>
      </c>
      <c r="I1320">
        <f t="shared" si="127"/>
        <v>2.9554575638371442E-2</v>
      </c>
      <c r="K1320">
        <f t="shared" si="128"/>
        <v>-2.5974025974025872E-2</v>
      </c>
      <c r="L1320">
        <f t="shared" si="129"/>
        <v>6.0050251256281273E-2</v>
      </c>
      <c r="M1320">
        <f t="shared" si="130"/>
        <v>6.9660961517497011E-2</v>
      </c>
    </row>
    <row r="1321" spans="1:13" x14ac:dyDescent="0.3">
      <c r="A1321" s="3">
        <v>43917</v>
      </c>
      <c r="B1321" s="8">
        <v>5.19</v>
      </c>
      <c r="C1321" s="8">
        <v>123.16</v>
      </c>
      <c r="D1321" s="8">
        <v>91.13</v>
      </c>
      <c r="E1321">
        <v>6.0000000000000002E-5</v>
      </c>
      <c r="G1321">
        <f t="shared" si="125"/>
        <v>95.801451800500018</v>
      </c>
      <c r="H1321">
        <f t="shared" si="126"/>
        <v>-9.1629144681590557E-2</v>
      </c>
      <c r="I1321">
        <f t="shared" si="127"/>
        <v>-9.1689144681590562E-2</v>
      </c>
      <c r="K1321">
        <f t="shared" si="128"/>
        <v>-1.1428571428571344E-2</v>
      </c>
      <c r="L1321">
        <f t="shared" si="129"/>
        <v>-2.6941613336493586E-2</v>
      </c>
      <c r="M1321">
        <f t="shared" si="130"/>
        <v>-7.1239298817774244E-2</v>
      </c>
    </row>
    <row r="1322" spans="1:13" x14ac:dyDescent="0.3">
      <c r="A1322" s="3">
        <v>43920</v>
      </c>
      <c r="B1322" s="8">
        <v>5.03</v>
      </c>
      <c r="C1322" s="8">
        <v>133.01</v>
      </c>
      <c r="D1322" s="8">
        <v>93.5</v>
      </c>
      <c r="E1322">
        <v>6.0000000000000002E-5</v>
      </c>
      <c r="G1322">
        <f t="shared" si="125"/>
        <v>104.80549266550405</v>
      </c>
      <c r="H1322">
        <f t="shared" si="126"/>
        <v>9.3986476152306375E-2</v>
      </c>
      <c r="I1322">
        <f t="shared" si="127"/>
        <v>9.3926476152306371E-2</v>
      </c>
      <c r="K1322">
        <f t="shared" si="128"/>
        <v>-3.0828516377649384E-2</v>
      </c>
      <c r="L1322">
        <f t="shared" si="129"/>
        <v>7.9977265345891446E-2</v>
      </c>
      <c r="M1322">
        <f t="shared" si="130"/>
        <v>2.600680346757378E-2</v>
      </c>
    </row>
    <row r="1323" spans="1:13" x14ac:dyDescent="0.3">
      <c r="A1323" s="3">
        <v>43921</v>
      </c>
      <c r="B1323" s="8">
        <v>4.83</v>
      </c>
      <c r="C1323" s="8">
        <v>131.13</v>
      </c>
      <c r="D1323" s="8">
        <v>90.03</v>
      </c>
      <c r="E1323">
        <v>6.0000000000000002E-5</v>
      </c>
      <c r="G1323">
        <f t="shared" si="125"/>
        <v>97.453307403508987</v>
      </c>
      <c r="H1323">
        <f t="shared" si="126"/>
        <v>-7.0150762856105331E-2</v>
      </c>
      <c r="I1323">
        <f t="shared" si="127"/>
        <v>-7.0210762856105335E-2</v>
      </c>
      <c r="K1323">
        <f t="shared" si="128"/>
        <v>-3.9761431411530879E-2</v>
      </c>
      <c r="L1323">
        <f t="shared" si="129"/>
        <v>-1.4134275618374548E-2</v>
      </c>
      <c r="M1323">
        <f t="shared" si="130"/>
        <v>-3.7112299465240639E-2</v>
      </c>
    </row>
    <row r="1324" spans="1:13" x14ac:dyDescent="0.3">
      <c r="A1324" s="3">
        <v>43922</v>
      </c>
      <c r="B1324" s="8">
        <v>4.4000000000000004</v>
      </c>
      <c r="C1324" s="8">
        <v>128.81</v>
      </c>
      <c r="D1324" s="8">
        <v>84.36</v>
      </c>
      <c r="E1324">
        <v>0</v>
      </c>
      <c r="G1324">
        <f t="shared" si="125"/>
        <v>95.778978226410089</v>
      </c>
      <c r="H1324">
        <f t="shared" si="126"/>
        <v>-1.7180834819348623E-2</v>
      </c>
      <c r="I1324">
        <f t="shared" si="127"/>
        <v>-1.7180834819348623E-2</v>
      </c>
      <c r="K1324">
        <f t="shared" si="128"/>
        <v>-8.9026915113871619E-2</v>
      </c>
      <c r="L1324">
        <f t="shared" si="129"/>
        <v>-1.7692366353999844E-2</v>
      </c>
      <c r="M1324">
        <f t="shared" si="130"/>
        <v>-6.2979006997667453E-2</v>
      </c>
    </row>
    <row r="1325" spans="1:13" x14ac:dyDescent="0.3">
      <c r="A1325" s="3">
        <v>43923</v>
      </c>
      <c r="B1325" s="8">
        <v>4.3600000000000003</v>
      </c>
      <c r="C1325" s="8">
        <v>133.15</v>
      </c>
      <c r="D1325" s="8">
        <v>87.51</v>
      </c>
      <c r="E1325">
        <v>0</v>
      </c>
      <c r="G1325">
        <f t="shared" si="125"/>
        <v>103.05815586119095</v>
      </c>
      <c r="H1325">
        <f t="shared" si="126"/>
        <v>7.599974200574322E-2</v>
      </c>
      <c r="I1325">
        <f t="shared" si="127"/>
        <v>7.599974200574322E-2</v>
      </c>
      <c r="K1325">
        <f t="shared" si="128"/>
        <v>-9.0909090909091494E-3</v>
      </c>
      <c r="L1325">
        <f t="shared" si="129"/>
        <v>3.3693036254949238E-2</v>
      </c>
      <c r="M1325">
        <f t="shared" si="130"/>
        <v>3.7339971550497841E-2</v>
      </c>
    </row>
    <row r="1326" spans="1:13" x14ac:dyDescent="0.3">
      <c r="A1326" s="3">
        <v>43924</v>
      </c>
      <c r="B1326" s="8">
        <v>4.24</v>
      </c>
      <c r="C1326" s="8">
        <v>134.16999999999999</v>
      </c>
      <c r="D1326" s="8">
        <v>84.05</v>
      </c>
      <c r="E1326">
        <v>0</v>
      </c>
      <c r="G1326">
        <f t="shared" si="125"/>
        <v>98.621180672233777</v>
      </c>
      <c r="H1326">
        <f t="shared" si="126"/>
        <v>-4.3053120365683095E-2</v>
      </c>
      <c r="I1326">
        <f t="shared" si="127"/>
        <v>-4.3053120365683095E-2</v>
      </c>
      <c r="K1326">
        <f t="shared" si="128"/>
        <v>-2.7522935779816571E-2</v>
      </c>
      <c r="L1326">
        <f t="shared" si="129"/>
        <v>7.6605332331955989E-3</v>
      </c>
      <c r="M1326">
        <f t="shared" si="130"/>
        <v>-3.9538338475602841E-2</v>
      </c>
    </row>
    <row r="1327" spans="1:13" x14ac:dyDescent="0.3">
      <c r="A1327" s="3">
        <v>43927</v>
      </c>
      <c r="B1327" s="8">
        <v>4.53</v>
      </c>
      <c r="C1327" s="8">
        <v>139.76</v>
      </c>
      <c r="D1327" s="8">
        <v>89.46</v>
      </c>
      <c r="E1327">
        <v>0</v>
      </c>
      <c r="G1327">
        <f t="shared" si="125"/>
        <v>105.30085347960801</v>
      </c>
      <c r="H1327">
        <f t="shared" si="126"/>
        <v>6.7730610826634008E-2</v>
      </c>
      <c r="I1327">
        <f t="shared" si="127"/>
        <v>6.7730610826634008E-2</v>
      </c>
      <c r="K1327">
        <f t="shared" si="128"/>
        <v>6.8396226415094352E-2</v>
      </c>
      <c r="L1327">
        <f t="shared" si="129"/>
        <v>4.1663561153760131E-2</v>
      </c>
      <c r="M1327">
        <f t="shared" si="130"/>
        <v>6.4366448542534149E-2</v>
      </c>
    </row>
    <row r="1328" spans="1:13" x14ac:dyDescent="0.3">
      <c r="A1328" s="3">
        <v>43928</v>
      </c>
      <c r="B1328" s="8">
        <v>4.71</v>
      </c>
      <c r="C1328" s="8">
        <v>137.47999999999999</v>
      </c>
      <c r="D1328" s="8">
        <v>90.64</v>
      </c>
      <c r="E1328">
        <v>0</v>
      </c>
      <c r="G1328">
        <f t="shared" si="125"/>
        <v>100.06629928114555</v>
      </c>
      <c r="H1328">
        <f t="shared" si="126"/>
        <v>-4.9710463168051722E-2</v>
      </c>
      <c r="I1328">
        <f t="shared" si="127"/>
        <v>-4.9710463168051722E-2</v>
      </c>
      <c r="K1328">
        <f t="shared" si="128"/>
        <v>3.9735099337748325E-2</v>
      </c>
      <c r="L1328">
        <f t="shared" si="129"/>
        <v>-1.6313680595306246E-2</v>
      </c>
      <c r="M1328">
        <f t="shared" si="130"/>
        <v>1.3190252626872345E-2</v>
      </c>
    </row>
    <row r="1329" spans="1:13" x14ac:dyDescent="0.3">
      <c r="A1329" s="3">
        <v>43929</v>
      </c>
      <c r="B1329" s="8">
        <v>5.03</v>
      </c>
      <c r="C1329" s="8">
        <v>143.26</v>
      </c>
      <c r="D1329" s="8">
        <v>94.3</v>
      </c>
      <c r="E1329">
        <v>0</v>
      </c>
      <c r="G1329">
        <f t="shared" si="125"/>
        <v>104.4130869851668</v>
      </c>
      <c r="H1329">
        <f t="shared" si="126"/>
        <v>4.3439077244263213E-2</v>
      </c>
      <c r="I1329">
        <f t="shared" si="127"/>
        <v>4.3439077244263213E-2</v>
      </c>
      <c r="K1329">
        <f t="shared" si="128"/>
        <v>6.7940552016985123E-2</v>
      </c>
      <c r="L1329">
        <f t="shared" si="129"/>
        <v>4.2042478906022751E-2</v>
      </c>
      <c r="M1329">
        <f t="shared" si="130"/>
        <v>4.0379523389232119E-2</v>
      </c>
    </row>
    <row r="1330" spans="1:13" x14ac:dyDescent="0.3">
      <c r="A1330" s="3">
        <v>43930</v>
      </c>
      <c r="B1330" s="8">
        <v>5.37</v>
      </c>
      <c r="C1330" s="8">
        <v>141.22999999999999</v>
      </c>
      <c r="D1330" s="8">
        <v>102.76</v>
      </c>
      <c r="E1330">
        <v>0</v>
      </c>
      <c r="G1330">
        <f t="shared" si="125"/>
        <v>103.34915706551536</v>
      </c>
      <c r="H1330">
        <f t="shared" si="126"/>
        <v>-1.0189622300915135E-2</v>
      </c>
      <c r="I1330">
        <f t="shared" si="127"/>
        <v>-1.0189622300915135E-2</v>
      </c>
      <c r="K1330">
        <f t="shared" si="128"/>
        <v>6.7594433399602361E-2</v>
      </c>
      <c r="L1330">
        <f t="shared" si="129"/>
        <v>-1.4170040485829927E-2</v>
      </c>
      <c r="M1330">
        <f t="shared" si="130"/>
        <v>8.9713679745493158E-2</v>
      </c>
    </row>
    <row r="1331" spans="1:13" x14ac:dyDescent="0.3">
      <c r="A1331" s="3">
        <v>43934</v>
      </c>
      <c r="B1331" s="8">
        <v>5.16</v>
      </c>
      <c r="C1331" s="8">
        <v>139.77000000000001</v>
      </c>
      <c r="D1331" s="8">
        <v>98.19</v>
      </c>
      <c r="E1331">
        <v>0</v>
      </c>
      <c r="G1331">
        <f t="shared" si="125"/>
        <v>97.380198047867523</v>
      </c>
      <c r="H1331">
        <f t="shared" si="126"/>
        <v>-5.7755275293285391E-2</v>
      </c>
      <c r="I1331">
        <f t="shared" si="127"/>
        <v>-5.7755275293285391E-2</v>
      </c>
      <c r="K1331">
        <f t="shared" si="128"/>
        <v>-3.9106145251396662E-2</v>
      </c>
      <c r="L1331">
        <f t="shared" si="129"/>
        <v>-1.0337746937619352E-2</v>
      </c>
      <c r="M1331">
        <f t="shared" si="130"/>
        <v>-4.4472557415336733E-2</v>
      </c>
    </row>
    <row r="1332" spans="1:13" x14ac:dyDescent="0.3">
      <c r="A1332" s="3">
        <v>43935</v>
      </c>
      <c r="B1332" s="8">
        <v>5.29</v>
      </c>
      <c r="C1332" s="8">
        <v>146.03</v>
      </c>
      <c r="D1332" s="8">
        <v>95.5</v>
      </c>
      <c r="E1332">
        <v>0</v>
      </c>
      <c r="G1332">
        <f t="shared" si="125"/>
        <v>101.55708870289408</v>
      </c>
      <c r="H1332">
        <f t="shared" si="126"/>
        <v>4.2892607930139937E-2</v>
      </c>
      <c r="I1332">
        <f t="shared" si="127"/>
        <v>4.2892607930139937E-2</v>
      </c>
      <c r="K1332">
        <f t="shared" si="128"/>
        <v>2.5193798449612448E-2</v>
      </c>
      <c r="L1332">
        <f t="shared" si="129"/>
        <v>4.4787865779494895E-2</v>
      </c>
      <c r="M1332">
        <f t="shared" si="130"/>
        <v>-2.7395865159384858E-2</v>
      </c>
    </row>
    <row r="1333" spans="1:13" x14ac:dyDescent="0.3">
      <c r="A1333" s="3">
        <v>43936</v>
      </c>
      <c r="B1333" s="8">
        <v>5.03</v>
      </c>
      <c r="C1333" s="8">
        <v>147.66</v>
      </c>
      <c r="D1333" s="8">
        <v>90.79</v>
      </c>
      <c r="E1333">
        <v>0</v>
      </c>
      <c r="G1333">
        <f t="shared" si="125"/>
        <v>98.208152083355273</v>
      </c>
      <c r="H1333">
        <f t="shared" si="126"/>
        <v>-3.2975902148358549E-2</v>
      </c>
      <c r="I1333">
        <f t="shared" si="127"/>
        <v>-3.2975902148358549E-2</v>
      </c>
      <c r="K1333">
        <f t="shared" si="128"/>
        <v>-4.9149338374291029E-2</v>
      </c>
      <c r="L1333">
        <f t="shared" si="129"/>
        <v>1.1162089981510581E-2</v>
      </c>
      <c r="M1333">
        <f t="shared" si="130"/>
        <v>-4.9319371727748584E-2</v>
      </c>
    </row>
    <row r="1334" spans="1:13" x14ac:dyDescent="0.3">
      <c r="A1334" s="3">
        <v>43937</v>
      </c>
      <c r="B1334" s="8">
        <v>4.9400000000000004</v>
      </c>
      <c r="C1334" s="8">
        <v>149.66999999999999</v>
      </c>
      <c r="D1334" s="8">
        <v>87.33</v>
      </c>
      <c r="E1334">
        <v>0</v>
      </c>
      <c r="G1334">
        <f t="shared" si="125"/>
        <v>99.084693510989311</v>
      </c>
      <c r="H1334">
        <f t="shared" si="126"/>
        <v>8.9253428461830708E-3</v>
      </c>
      <c r="I1334">
        <f t="shared" si="127"/>
        <v>8.9253428461830708E-3</v>
      </c>
      <c r="K1334">
        <f t="shared" si="128"/>
        <v>-1.7892644135188873E-2</v>
      </c>
      <c r="L1334">
        <f t="shared" si="129"/>
        <v>1.3612352702153441E-2</v>
      </c>
      <c r="M1334">
        <f t="shared" si="130"/>
        <v>-3.8109924000440665E-2</v>
      </c>
    </row>
    <row r="1335" spans="1:13" x14ac:dyDescent="0.3">
      <c r="A1335" s="3">
        <v>43938</v>
      </c>
      <c r="B1335" s="8">
        <v>5.12</v>
      </c>
      <c r="C1335" s="8">
        <v>152.02000000000001</v>
      </c>
      <c r="D1335" s="8">
        <v>95.18</v>
      </c>
      <c r="E1335">
        <v>0</v>
      </c>
      <c r="G1335">
        <f t="shared" si="125"/>
        <v>104.57919899069714</v>
      </c>
      <c r="H1335">
        <f t="shared" si="126"/>
        <v>5.5452616191404402E-2</v>
      </c>
      <c r="I1335">
        <f t="shared" si="127"/>
        <v>5.5452616191404402E-2</v>
      </c>
      <c r="K1335">
        <f t="shared" si="128"/>
        <v>3.6437246963562764E-2</v>
      </c>
      <c r="L1335">
        <f t="shared" si="129"/>
        <v>1.570120932718666E-2</v>
      </c>
      <c r="M1335">
        <f t="shared" si="130"/>
        <v>8.9888927058284773E-2</v>
      </c>
    </row>
    <row r="1336" spans="1:13" x14ac:dyDescent="0.3">
      <c r="A1336" s="3">
        <v>43941</v>
      </c>
      <c r="B1336" s="8">
        <v>4.9800000000000004</v>
      </c>
      <c r="C1336" s="8">
        <v>151.66999999999999</v>
      </c>
      <c r="D1336" s="8">
        <v>91.71</v>
      </c>
      <c r="E1336">
        <v>0</v>
      </c>
      <c r="G1336">
        <f t="shared" si="125"/>
        <v>98.222043083965957</v>
      </c>
      <c r="H1336">
        <f t="shared" si="126"/>
        <v>-6.0787957529648717E-2</v>
      </c>
      <c r="I1336">
        <f t="shared" si="127"/>
        <v>-6.0787957529648717E-2</v>
      </c>
      <c r="K1336">
        <f t="shared" si="128"/>
        <v>-2.7343749999999889E-2</v>
      </c>
      <c r="L1336">
        <f t="shared" si="129"/>
        <v>-2.3023286409684651E-3</v>
      </c>
      <c r="M1336">
        <f t="shared" si="130"/>
        <v>-3.645723891573871E-2</v>
      </c>
    </row>
    <row r="1337" spans="1:13" x14ac:dyDescent="0.3">
      <c r="A1337" s="3">
        <v>43942</v>
      </c>
      <c r="B1337" s="8">
        <v>4.7699999999999996</v>
      </c>
      <c r="C1337" s="8">
        <v>149.68</v>
      </c>
      <c r="D1337" s="8">
        <v>89.05</v>
      </c>
      <c r="E1337">
        <v>0</v>
      </c>
      <c r="G1337">
        <f t="shared" si="125"/>
        <v>97.785783652540374</v>
      </c>
      <c r="H1337">
        <f t="shared" si="126"/>
        <v>-4.4415633978682756E-3</v>
      </c>
      <c r="I1337">
        <f t="shared" si="127"/>
        <v>-4.4415633978682756E-3</v>
      </c>
      <c r="K1337">
        <f t="shared" si="128"/>
        <v>-4.2168674698795372E-2</v>
      </c>
      <c r="L1337">
        <f t="shared" si="129"/>
        <v>-1.3120590756246941E-2</v>
      </c>
      <c r="M1337">
        <f t="shared" si="130"/>
        <v>-2.9004470613891553E-2</v>
      </c>
    </row>
    <row r="1338" spans="1:13" x14ac:dyDescent="0.3">
      <c r="A1338" s="3">
        <v>43943</v>
      </c>
      <c r="B1338" s="8">
        <v>4.7699999999999996</v>
      </c>
      <c r="C1338" s="8">
        <v>152.99</v>
      </c>
      <c r="D1338" s="8">
        <v>89.34</v>
      </c>
      <c r="E1338">
        <v>0</v>
      </c>
      <c r="G1338">
        <f t="shared" si="125"/>
        <v>101.27000868485521</v>
      </c>
      <c r="H1338">
        <f t="shared" si="126"/>
        <v>3.5631202227669911E-2</v>
      </c>
      <c r="I1338">
        <f t="shared" si="127"/>
        <v>3.5631202227669911E-2</v>
      </c>
      <c r="K1338">
        <f t="shared" si="128"/>
        <v>0</v>
      </c>
      <c r="L1338">
        <f t="shared" si="129"/>
        <v>2.2113842864778244E-2</v>
      </c>
      <c r="M1338">
        <f t="shared" si="130"/>
        <v>3.2565974171814283E-3</v>
      </c>
    </row>
    <row r="1339" spans="1:13" x14ac:dyDescent="0.3">
      <c r="A1339" s="3">
        <v>43944</v>
      </c>
      <c r="B1339" s="8">
        <v>4.8899999999999997</v>
      </c>
      <c r="C1339" s="8">
        <v>155.51</v>
      </c>
      <c r="D1339" s="8">
        <v>89.39</v>
      </c>
      <c r="E1339">
        <v>0</v>
      </c>
      <c r="G1339">
        <f t="shared" si="125"/>
        <v>101.1394082455854</v>
      </c>
      <c r="H1339">
        <f t="shared" si="126"/>
        <v>-1.289626030113511E-3</v>
      </c>
      <c r="I1339">
        <f t="shared" si="127"/>
        <v>-1.289626030113511E-3</v>
      </c>
      <c r="K1339">
        <f t="shared" si="128"/>
        <v>2.515723270440251E-2</v>
      </c>
      <c r="L1339">
        <f t="shared" si="129"/>
        <v>1.6471664814693643E-2</v>
      </c>
      <c r="M1339">
        <f t="shared" si="130"/>
        <v>5.5965972688598598E-4</v>
      </c>
    </row>
    <row r="1340" spans="1:13" x14ac:dyDescent="0.3">
      <c r="A1340" s="3">
        <v>43945</v>
      </c>
      <c r="B1340" s="8">
        <v>4.87</v>
      </c>
      <c r="C1340" s="8">
        <v>154.86000000000001</v>
      </c>
      <c r="D1340" s="8">
        <v>90.71</v>
      </c>
      <c r="E1340">
        <v>0</v>
      </c>
      <c r="G1340">
        <f t="shared" si="125"/>
        <v>100.29593968796706</v>
      </c>
      <c r="H1340">
        <f t="shared" si="126"/>
        <v>-8.3396627709174664E-3</v>
      </c>
      <c r="I1340">
        <f t="shared" si="127"/>
        <v>-8.3396627709174664E-3</v>
      </c>
      <c r="K1340">
        <f t="shared" si="128"/>
        <v>-4.0899795501021519E-3</v>
      </c>
      <c r="L1340">
        <f t="shared" si="129"/>
        <v>-4.1797955115425722E-3</v>
      </c>
      <c r="M1340">
        <f t="shared" si="130"/>
        <v>1.4766752433158059E-2</v>
      </c>
    </row>
    <row r="1341" spans="1:13" x14ac:dyDescent="0.3">
      <c r="A1341" s="3">
        <v>43948</v>
      </c>
      <c r="B1341" s="8">
        <v>5.17</v>
      </c>
      <c r="C1341" s="8">
        <v>154.29</v>
      </c>
      <c r="D1341" s="8">
        <v>94.62</v>
      </c>
      <c r="E1341">
        <v>0</v>
      </c>
      <c r="G1341">
        <f t="shared" si="125"/>
        <v>102.07667284255528</v>
      </c>
      <c r="H1341">
        <f t="shared" si="126"/>
        <v>1.7754788081434825E-2</v>
      </c>
      <c r="I1341">
        <f t="shared" si="127"/>
        <v>1.7754788081434825E-2</v>
      </c>
      <c r="K1341">
        <f t="shared" si="128"/>
        <v>6.1601642710472193E-2</v>
      </c>
      <c r="L1341">
        <f t="shared" si="129"/>
        <v>-3.6807438977142226E-3</v>
      </c>
      <c r="M1341">
        <f t="shared" si="130"/>
        <v>4.3104398633006413E-2</v>
      </c>
    </row>
    <row r="1342" spans="1:13" x14ac:dyDescent="0.3">
      <c r="A1342" s="3">
        <v>43949</v>
      </c>
      <c r="B1342" s="8">
        <v>5.38</v>
      </c>
      <c r="C1342" s="8">
        <v>151.38999999999999</v>
      </c>
      <c r="D1342" s="8">
        <v>95.29</v>
      </c>
      <c r="E1342">
        <v>0</v>
      </c>
      <c r="G1342">
        <f t="shared" si="125"/>
        <v>99.716870478650364</v>
      </c>
      <c r="H1342">
        <f t="shared" si="126"/>
        <v>-2.3117939664282661E-2</v>
      </c>
      <c r="I1342">
        <f t="shared" si="127"/>
        <v>-2.3117939664282661E-2</v>
      </c>
      <c r="K1342">
        <f t="shared" si="128"/>
        <v>4.0618955512572441E-2</v>
      </c>
      <c r="L1342">
        <f t="shared" si="129"/>
        <v>-1.8795774191457726E-2</v>
      </c>
      <c r="M1342">
        <f t="shared" si="130"/>
        <v>7.0809554005495379E-3</v>
      </c>
    </row>
    <row r="1343" spans="1:13" x14ac:dyDescent="0.3">
      <c r="A1343" s="3">
        <v>43950</v>
      </c>
      <c r="B1343" s="8">
        <v>5.26</v>
      </c>
      <c r="C1343" s="8">
        <v>150.24</v>
      </c>
      <c r="D1343" s="8">
        <v>97.86</v>
      </c>
      <c r="E1343">
        <v>0</v>
      </c>
      <c r="G1343">
        <f t="shared" si="125"/>
        <v>100.38699899141388</v>
      </c>
      <c r="H1343">
        <f t="shared" si="126"/>
        <v>6.7203123157277833E-3</v>
      </c>
      <c r="I1343">
        <f t="shared" si="127"/>
        <v>6.7203123157277833E-3</v>
      </c>
      <c r="K1343">
        <f t="shared" si="128"/>
        <v>-2.2304832713754719E-2</v>
      </c>
      <c r="L1343">
        <f t="shared" si="129"/>
        <v>-7.596274522755686E-3</v>
      </c>
      <c r="M1343">
        <f t="shared" si="130"/>
        <v>2.6970301185853529E-2</v>
      </c>
    </row>
    <row r="1344" spans="1:13" x14ac:dyDescent="0.3">
      <c r="A1344" s="3">
        <v>43951</v>
      </c>
      <c r="B1344" s="8">
        <v>5.09</v>
      </c>
      <c r="C1344" s="8">
        <v>150.04</v>
      </c>
      <c r="D1344" s="8">
        <v>95.76</v>
      </c>
      <c r="E1344">
        <v>0</v>
      </c>
      <c r="G1344">
        <f t="shared" si="125"/>
        <v>98.784678164424221</v>
      </c>
      <c r="H1344">
        <f t="shared" si="126"/>
        <v>-1.5961437667109668E-2</v>
      </c>
      <c r="I1344">
        <f t="shared" si="127"/>
        <v>-1.5961437667109668E-2</v>
      </c>
      <c r="K1344">
        <f t="shared" si="128"/>
        <v>-3.2319391634980987E-2</v>
      </c>
      <c r="L1344">
        <f t="shared" si="129"/>
        <v>-1.3312034078808432E-3</v>
      </c>
      <c r="M1344">
        <f t="shared" si="130"/>
        <v>-2.1459227467811148E-2</v>
      </c>
    </row>
    <row r="1345" spans="1:13" x14ac:dyDescent="0.3">
      <c r="A1345" s="3">
        <v>43952</v>
      </c>
      <c r="B1345" s="8">
        <v>4.92</v>
      </c>
      <c r="C1345" s="8">
        <v>148.29</v>
      </c>
      <c r="D1345" s="8">
        <v>93.25</v>
      </c>
      <c r="E1345">
        <v>0</v>
      </c>
      <c r="G1345">
        <f t="shared" si="125"/>
        <v>98.058404976891424</v>
      </c>
      <c r="H1345">
        <f t="shared" si="126"/>
        <v>-7.3520833496459881E-3</v>
      </c>
      <c r="I1345">
        <f t="shared" si="127"/>
        <v>-7.3520833496459881E-3</v>
      </c>
      <c r="K1345">
        <f t="shared" si="128"/>
        <v>-3.3398821218074692E-2</v>
      </c>
      <c r="L1345">
        <f t="shared" si="129"/>
        <v>-1.1663556384963969E-2</v>
      </c>
      <c r="M1345">
        <f t="shared" si="130"/>
        <v>-2.6211361737677574E-2</v>
      </c>
    </row>
    <row r="1346" spans="1:13" x14ac:dyDescent="0.3">
      <c r="A1346" s="3">
        <v>43955</v>
      </c>
      <c r="B1346" s="8">
        <v>4.8600000000000003</v>
      </c>
      <c r="C1346" s="8">
        <v>148.27000000000001</v>
      </c>
      <c r="D1346" s="8">
        <v>92.14</v>
      </c>
      <c r="E1346">
        <v>0</v>
      </c>
      <c r="G1346">
        <f t="shared" si="125"/>
        <v>99.41725370962088</v>
      </c>
      <c r="H1346">
        <f t="shared" si="126"/>
        <v>1.3857544726020077E-2</v>
      </c>
      <c r="I1346">
        <f t="shared" si="127"/>
        <v>1.3857544726020077E-2</v>
      </c>
      <c r="K1346">
        <f t="shared" si="128"/>
        <v>-1.2195121951219412E-2</v>
      </c>
      <c r="L1346">
        <f t="shared" si="129"/>
        <v>-1.3487086115027136E-4</v>
      </c>
      <c r="M1346">
        <f t="shared" si="130"/>
        <v>-1.1903485254691648E-2</v>
      </c>
    </row>
    <row r="1347" spans="1:13" x14ac:dyDescent="0.3">
      <c r="A1347" s="3">
        <v>43956</v>
      </c>
      <c r="B1347" s="8">
        <v>4.97</v>
      </c>
      <c r="C1347" s="8">
        <v>149.5</v>
      </c>
      <c r="D1347" s="8">
        <v>92</v>
      </c>
      <c r="E1347">
        <v>0</v>
      </c>
      <c r="G1347">
        <f t="shared" si="125"/>
        <v>100.61048157934182</v>
      </c>
      <c r="H1347">
        <f t="shared" si="126"/>
        <v>1.2002221195992258E-2</v>
      </c>
      <c r="I1347">
        <f t="shared" si="127"/>
        <v>1.2002221195992258E-2</v>
      </c>
      <c r="K1347">
        <f t="shared" si="128"/>
        <v>2.2633744855967031E-2</v>
      </c>
      <c r="L1347">
        <f t="shared" si="129"/>
        <v>8.2956768058271013E-3</v>
      </c>
      <c r="M1347">
        <f t="shared" si="130"/>
        <v>-1.519426958975445E-3</v>
      </c>
    </row>
    <row r="1348" spans="1:13" x14ac:dyDescent="0.3">
      <c r="A1348" s="3">
        <v>43957</v>
      </c>
      <c r="B1348" s="8">
        <v>4.87</v>
      </c>
      <c r="C1348" s="8">
        <v>148.08000000000001</v>
      </c>
      <c r="D1348" s="8">
        <v>90.27</v>
      </c>
      <c r="E1348">
        <v>0</v>
      </c>
      <c r="G1348">
        <f t="shared" si="125"/>
        <v>98.588647007542846</v>
      </c>
      <c r="H1348">
        <f t="shared" si="126"/>
        <v>-2.0095665382582895E-2</v>
      </c>
      <c r="I1348">
        <f t="shared" si="127"/>
        <v>-2.0095665382582895E-2</v>
      </c>
      <c r="K1348">
        <f t="shared" si="128"/>
        <v>-2.0120724346076369E-2</v>
      </c>
      <c r="L1348">
        <f t="shared" si="129"/>
        <v>-9.4983277591972337E-3</v>
      </c>
      <c r="M1348">
        <f t="shared" si="130"/>
        <v>-1.8804347826086976E-2</v>
      </c>
    </row>
    <row r="1349" spans="1:13" x14ac:dyDescent="0.3">
      <c r="A1349" s="3">
        <v>43958</v>
      </c>
      <c r="B1349" s="8">
        <v>4.87</v>
      </c>
      <c r="C1349" s="8">
        <v>147.59</v>
      </c>
      <c r="D1349" s="8">
        <v>91.21</v>
      </c>
      <c r="E1349">
        <v>0</v>
      </c>
      <c r="G1349">
        <f t="shared" ref="G1349:G1412" si="131">$G$4*(B1349*$P$8/B1348 + C1349*$Q$8/C1348 + D1349*$R$8/D1348)</f>
        <v>100.22015851822852</v>
      </c>
      <c r="H1349">
        <f t="shared" ref="H1349:H1412" si="132">G1349/G1348-1</f>
        <v>1.6548675331357732E-2</v>
      </c>
      <c r="I1349">
        <f t="shared" si="127"/>
        <v>1.6548675331357732E-2</v>
      </c>
      <c r="K1349">
        <f t="shared" si="128"/>
        <v>0</v>
      </c>
      <c r="L1349">
        <f t="shared" si="129"/>
        <v>-3.3090221501891337E-3</v>
      </c>
      <c r="M1349">
        <f t="shared" si="130"/>
        <v>1.0413204829954559E-2</v>
      </c>
    </row>
    <row r="1350" spans="1:13" x14ac:dyDescent="0.3">
      <c r="A1350" s="3">
        <v>43959</v>
      </c>
      <c r="B1350" s="8">
        <v>5.24</v>
      </c>
      <c r="C1350" s="8">
        <v>148.69999999999999</v>
      </c>
      <c r="D1350" s="8">
        <v>92.7</v>
      </c>
      <c r="E1350">
        <v>0</v>
      </c>
      <c r="G1350">
        <f t="shared" si="131"/>
        <v>101.80122372256106</v>
      </c>
      <c r="H1350">
        <f t="shared" si="132"/>
        <v>1.5775920011591005E-2</v>
      </c>
      <c r="I1350">
        <f t="shared" ref="I1350:I1413" si="133">H1350-E1350</f>
        <v>1.5775920011591005E-2</v>
      </c>
      <c r="K1350">
        <f t="shared" ref="K1350:K1413" si="134">B1350/B1349-1</f>
        <v>7.5975359342915771E-2</v>
      </c>
      <c r="L1350">
        <f t="shared" ref="L1350:L1413" si="135">C1350/C1349-1</f>
        <v>7.5208347449013946E-3</v>
      </c>
      <c r="M1350">
        <f t="shared" ref="M1350:M1413" si="136">D1350/D1349-1</f>
        <v>1.6335928078061723E-2</v>
      </c>
    </row>
    <row r="1351" spans="1:13" x14ac:dyDescent="0.3">
      <c r="A1351" s="3">
        <v>43962</v>
      </c>
      <c r="B1351" s="8">
        <v>5.12</v>
      </c>
      <c r="C1351" s="8">
        <v>149.11000000000001</v>
      </c>
      <c r="D1351" s="8">
        <v>89.97</v>
      </c>
      <c r="E1351">
        <v>0</v>
      </c>
      <c r="G1351">
        <f t="shared" si="131"/>
        <v>98.794836382190084</v>
      </c>
      <c r="H1351">
        <f t="shared" si="132"/>
        <v>-2.9531937146102361E-2</v>
      </c>
      <c r="I1351">
        <f t="shared" si="133"/>
        <v>-2.9531937146102361E-2</v>
      </c>
      <c r="K1351">
        <f t="shared" si="134"/>
        <v>-2.2900763358778664E-2</v>
      </c>
      <c r="L1351">
        <f t="shared" si="135"/>
        <v>2.7572293207802634E-3</v>
      </c>
      <c r="M1351">
        <f t="shared" si="136"/>
        <v>-2.9449838187702304E-2</v>
      </c>
    </row>
    <row r="1352" spans="1:13" x14ac:dyDescent="0.3">
      <c r="A1352" s="3">
        <v>43963</v>
      </c>
      <c r="B1352" s="8">
        <v>4.9800000000000004</v>
      </c>
      <c r="C1352" s="8">
        <v>147.13999999999999</v>
      </c>
      <c r="D1352" s="8">
        <v>87.03</v>
      </c>
      <c r="E1352">
        <v>0</v>
      </c>
      <c r="G1352">
        <f t="shared" si="131"/>
        <v>97.798201493429772</v>
      </c>
      <c r="H1352">
        <f t="shared" si="132"/>
        <v>-1.0087924888147026E-2</v>
      </c>
      <c r="I1352">
        <f t="shared" si="133"/>
        <v>-1.0087924888147026E-2</v>
      </c>
      <c r="K1352">
        <f t="shared" si="134"/>
        <v>-2.7343749999999889E-2</v>
      </c>
      <c r="L1352">
        <f t="shared" si="135"/>
        <v>-1.3211722889142408E-2</v>
      </c>
      <c r="M1352">
        <f t="shared" si="136"/>
        <v>-3.2677559186395477E-2</v>
      </c>
    </row>
    <row r="1353" spans="1:13" x14ac:dyDescent="0.3">
      <c r="A1353" s="3">
        <v>43964</v>
      </c>
      <c r="B1353" s="8">
        <v>4.72</v>
      </c>
      <c r="C1353" s="8">
        <v>147.13</v>
      </c>
      <c r="D1353" s="8">
        <v>84.03</v>
      </c>
      <c r="E1353">
        <v>0</v>
      </c>
      <c r="G1353">
        <f t="shared" si="131"/>
        <v>98.15213869787604</v>
      </c>
      <c r="H1353">
        <f t="shared" si="132"/>
        <v>3.6190563736495651E-3</v>
      </c>
      <c r="I1353">
        <f t="shared" si="133"/>
        <v>3.6190563736495651E-3</v>
      </c>
      <c r="K1353">
        <f t="shared" si="134"/>
        <v>-5.2208835341365556E-2</v>
      </c>
      <c r="L1353">
        <f t="shared" si="135"/>
        <v>-6.7962484708417037E-5</v>
      </c>
      <c r="M1353">
        <f t="shared" si="136"/>
        <v>-3.4470872113064432E-2</v>
      </c>
    </row>
    <row r="1354" spans="1:13" x14ac:dyDescent="0.3">
      <c r="A1354" s="3">
        <v>43965</v>
      </c>
      <c r="B1354" s="8">
        <v>4.8899999999999997</v>
      </c>
      <c r="C1354" s="8">
        <v>147.63999999999999</v>
      </c>
      <c r="D1354" s="8">
        <v>87.52</v>
      </c>
      <c r="E1354">
        <v>0</v>
      </c>
      <c r="G1354">
        <f t="shared" si="131"/>
        <v>102.12025024239202</v>
      </c>
      <c r="H1354">
        <f t="shared" si="132"/>
        <v>4.0428171990528838E-2</v>
      </c>
      <c r="I1354">
        <f t="shared" si="133"/>
        <v>4.0428171990528838E-2</v>
      </c>
      <c r="K1354">
        <f t="shared" si="134"/>
        <v>3.6016949152542388E-2</v>
      </c>
      <c r="L1354">
        <f t="shared" si="135"/>
        <v>3.4663223000066523E-3</v>
      </c>
      <c r="M1354">
        <f t="shared" si="136"/>
        <v>4.1532785909794034E-2</v>
      </c>
    </row>
    <row r="1355" spans="1:13" x14ac:dyDescent="0.3">
      <c r="A1355" s="3">
        <v>43966</v>
      </c>
      <c r="B1355" s="8">
        <v>4.9000000000000004</v>
      </c>
      <c r="C1355" s="8">
        <v>150.44</v>
      </c>
      <c r="D1355" s="8">
        <v>85.9</v>
      </c>
      <c r="E1355">
        <v>0</v>
      </c>
      <c r="G1355">
        <f t="shared" si="131"/>
        <v>100.30895238925285</v>
      </c>
      <c r="H1355">
        <f t="shared" si="132"/>
        <v>-1.7736911619780416E-2</v>
      </c>
      <c r="I1355">
        <f t="shared" si="133"/>
        <v>-1.7736911619780416E-2</v>
      </c>
      <c r="K1355">
        <f t="shared" si="134"/>
        <v>2.044989775051187E-3</v>
      </c>
      <c r="L1355">
        <f t="shared" si="135"/>
        <v>1.8965050121918292E-2</v>
      </c>
      <c r="M1355">
        <f t="shared" si="136"/>
        <v>-1.8510054844606882E-2</v>
      </c>
    </row>
    <row r="1356" spans="1:13" x14ac:dyDescent="0.3">
      <c r="A1356" s="3">
        <v>43969</v>
      </c>
      <c r="B1356" s="8">
        <v>5.31</v>
      </c>
      <c r="C1356" s="8">
        <v>150.52000000000001</v>
      </c>
      <c r="D1356" s="8">
        <v>90.45</v>
      </c>
      <c r="E1356">
        <v>0</v>
      </c>
      <c r="G1356">
        <f t="shared" si="131"/>
        <v>102.89777171997656</v>
      </c>
      <c r="H1356">
        <f t="shared" si="132"/>
        <v>2.5808457461281131E-2</v>
      </c>
      <c r="I1356">
        <f t="shared" si="133"/>
        <v>2.5808457461281131E-2</v>
      </c>
      <c r="K1356">
        <f t="shared" si="134"/>
        <v>8.3673469387754995E-2</v>
      </c>
      <c r="L1356">
        <f t="shared" si="135"/>
        <v>5.3177346450428153E-4</v>
      </c>
      <c r="M1356">
        <f t="shared" si="136"/>
        <v>5.2968568102444769E-2</v>
      </c>
    </row>
    <row r="1357" spans="1:13" x14ac:dyDescent="0.3">
      <c r="A1357" s="3">
        <v>43970</v>
      </c>
      <c r="B1357" s="8">
        <v>5.3</v>
      </c>
      <c r="C1357" s="8">
        <v>149.02000000000001</v>
      </c>
      <c r="D1357" s="8">
        <v>88.67</v>
      </c>
      <c r="E1357">
        <v>0</v>
      </c>
      <c r="G1357">
        <f t="shared" si="131"/>
        <v>98.722613143674039</v>
      </c>
      <c r="H1357">
        <f t="shared" si="132"/>
        <v>-4.0575791939058692E-2</v>
      </c>
      <c r="I1357">
        <f t="shared" si="133"/>
        <v>-4.0575791939058692E-2</v>
      </c>
      <c r="K1357">
        <f t="shared" si="134"/>
        <v>-1.8832391713746732E-3</v>
      </c>
      <c r="L1357">
        <f t="shared" si="135"/>
        <v>-9.965453095934107E-3</v>
      </c>
      <c r="M1357">
        <f t="shared" si="136"/>
        <v>-1.9679380873410701E-2</v>
      </c>
    </row>
    <row r="1358" spans="1:13" x14ac:dyDescent="0.3">
      <c r="A1358" s="3">
        <v>43971</v>
      </c>
      <c r="B1358" s="8">
        <v>5.49</v>
      </c>
      <c r="C1358" s="8">
        <v>147.68</v>
      </c>
      <c r="D1358" s="8">
        <v>91.33</v>
      </c>
      <c r="E1358">
        <v>0</v>
      </c>
      <c r="G1358">
        <f t="shared" si="131"/>
        <v>101.0380067708401</v>
      </c>
      <c r="H1358">
        <f t="shared" si="132"/>
        <v>2.3453528562867421E-2</v>
      </c>
      <c r="I1358">
        <f t="shared" si="133"/>
        <v>2.3453528562867421E-2</v>
      </c>
      <c r="K1358">
        <f t="shared" si="134"/>
        <v>3.5849056603773688E-2</v>
      </c>
      <c r="L1358">
        <f t="shared" si="135"/>
        <v>-8.9920815997852621E-3</v>
      </c>
      <c r="M1358">
        <f t="shared" si="136"/>
        <v>2.9998872222848805E-2</v>
      </c>
    </row>
    <row r="1359" spans="1:13" x14ac:dyDescent="0.3">
      <c r="A1359" s="3">
        <v>43972</v>
      </c>
      <c r="B1359" s="8">
        <v>5.63</v>
      </c>
      <c r="C1359" s="8">
        <v>146.71</v>
      </c>
      <c r="D1359" s="8">
        <v>90.17</v>
      </c>
      <c r="E1359">
        <v>0</v>
      </c>
      <c r="G1359">
        <f t="shared" si="131"/>
        <v>99.448478016669071</v>
      </c>
      <c r="H1359">
        <f t="shared" si="132"/>
        <v>-1.5731988436551103E-2</v>
      </c>
      <c r="I1359">
        <f t="shared" si="133"/>
        <v>-1.5731988436551103E-2</v>
      </c>
      <c r="K1359">
        <f t="shared" si="134"/>
        <v>2.5500910746812266E-2</v>
      </c>
      <c r="L1359">
        <f t="shared" si="135"/>
        <v>-6.5682556879740339E-3</v>
      </c>
      <c r="M1359">
        <f t="shared" si="136"/>
        <v>-1.2701193474214389E-2</v>
      </c>
    </row>
    <row r="1360" spans="1:13" x14ac:dyDescent="0.3">
      <c r="A1360" s="3">
        <v>43973</v>
      </c>
      <c r="B1360" s="8">
        <v>5.65</v>
      </c>
      <c r="C1360" s="8">
        <v>144.37</v>
      </c>
      <c r="D1360" s="8">
        <v>89.47</v>
      </c>
      <c r="E1360">
        <v>0</v>
      </c>
      <c r="G1360">
        <f t="shared" si="131"/>
        <v>98.917479191181002</v>
      </c>
      <c r="H1360">
        <f t="shared" si="132"/>
        <v>-5.3394364205259226E-3</v>
      </c>
      <c r="I1360">
        <f t="shared" si="133"/>
        <v>-5.3394364205259226E-3</v>
      </c>
      <c r="K1360">
        <f t="shared" si="134"/>
        <v>3.5523978685614299E-3</v>
      </c>
      <c r="L1360">
        <f t="shared" si="135"/>
        <v>-1.5949833003885194E-2</v>
      </c>
      <c r="M1360">
        <f t="shared" si="136"/>
        <v>-7.7631141177775254E-3</v>
      </c>
    </row>
    <row r="1361" spans="1:13" x14ac:dyDescent="0.3">
      <c r="A1361" s="3">
        <v>43977</v>
      </c>
      <c r="B1361" s="8">
        <v>5.84</v>
      </c>
      <c r="C1361" s="8">
        <v>144.56</v>
      </c>
      <c r="D1361" s="8">
        <v>95.82</v>
      </c>
      <c r="E1361">
        <v>0</v>
      </c>
      <c r="G1361">
        <f t="shared" si="131"/>
        <v>103.091527111217</v>
      </c>
      <c r="H1361">
        <f t="shared" si="132"/>
        <v>4.2197273466388019E-2</v>
      </c>
      <c r="I1361">
        <f t="shared" si="133"/>
        <v>4.2197273466388019E-2</v>
      </c>
      <c r="K1361">
        <f t="shared" si="134"/>
        <v>3.3628318584070671E-2</v>
      </c>
      <c r="L1361">
        <f t="shared" si="135"/>
        <v>1.3160628939530294E-3</v>
      </c>
      <c r="M1361">
        <f t="shared" si="136"/>
        <v>7.0973510673968843E-2</v>
      </c>
    </row>
    <row r="1362" spans="1:13" x14ac:dyDescent="0.3">
      <c r="A1362" s="3">
        <v>43978</v>
      </c>
      <c r="B1362" s="8">
        <v>6.03</v>
      </c>
      <c r="C1362" s="8">
        <v>144.88999999999999</v>
      </c>
      <c r="D1362" s="8">
        <v>101.37</v>
      </c>
      <c r="E1362">
        <v>0</v>
      </c>
      <c r="G1362">
        <f t="shared" si="131"/>
        <v>102.63904773252384</v>
      </c>
      <c r="H1362">
        <f t="shared" si="132"/>
        <v>-4.389103463420696E-3</v>
      </c>
      <c r="I1362">
        <f t="shared" si="133"/>
        <v>-4.389103463420696E-3</v>
      </c>
      <c r="K1362">
        <f t="shared" si="134"/>
        <v>3.2534246575342429E-2</v>
      </c>
      <c r="L1362">
        <f t="shared" si="135"/>
        <v>2.2827891532926081E-3</v>
      </c>
      <c r="M1362">
        <f t="shared" si="136"/>
        <v>5.7921102066374575E-2</v>
      </c>
    </row>
    <row r="1363" spans="1:13" x14ac:dyDescent="0.3">
      <c r="A1363" s="3">
        <v>43979</v>
      </c>
      <c r="B1363" s="8">
        <v>5.85</v>
      </c>
      <c r="C1363" s="8">
        <v>146.97</v>
      </c>
      <c r="D1363" s="8">
        <v>99.86</v>
      </c>
      <c r="E1363">
        <v>0</v>
      </c>
      <c r="G1363">
        <f t="shared" si="131"/>
        <v>99.871508587063971</v>
      </c>
      <c r="H1363">
        <f t="shared" si="132"/>
        <v>-2.6963803801765995E-2</v>
      </c>
      <c r="I1363">
        <f t="shared" si="133"/>
        <v>-2.6963803801765995E-2</v>
      </c>
      <c r="K1363">
        <f t="shared" si="134"/>
        <v>-2.9850746268656803E-2</v>
      </c>
      <c r="L1363">
        <f t="shared" si="135"/>
        <v>1.435571813099612E-2</v>
      </c>
      <c r="M1363">
        <f t="shared" si="136"/>
        <v>-1.4895925816316491E-2</v>
      </c>
    </row>
    <row r="1364" spans="1:13" x14ac:dyDescent="0.3">
      <c r="A1364" s="3">
        <v>43980</v>
      </c>
      <c r="B1364" s="8">
        <v>5.71</v>
      </c>
      <c r="C1364" s="8">
        <v>148.75</v>
      </c>
      <c r="D1364" s="8">
        <v>97.31</v>
      </c>
      <c r="E1364">
        <v>0</v>
      </c>
      <c r="G1364">
        <f t="shared" si="131"/>
        <v>99.41669565582113</v>
      </c>
      <c r="H1364">
        <f t="shared" si="132"/>
        <v>-4.5539807866861182E-3</v>
      </c>
      <c r="I1364">
        <f t="shared" si="133"/>
        <v>-4.5539807866861182E-3</v>
      </c>
      <c r="K1364">
        <f t="shared" si="134"/>
        <v>-2.3931623931623847E-2</v>
      </c>
      <c r="L1364">
        <f t="shared" si="135"/>
        <v>1.2111315234401676E-2</v>
      </c>
      <c r="M1364">
        <f t="shared" si="136"/>
        <v>-2.5535750050070027E-2</v>
      </c>
    </row>
    <row r="1365" spans="1:13" x14ac:dyDescent="0.3">
      <c r="A1365" s="3">
        <v>43983</v>
      </c>
      <c r="B1365" s="8">
        <v>5.87</v>
      </c>
      <c r="C1365" s="8">
        <v>147.19</v>
      </c>
      <c r="D1365" s="8">
        <v>98.6</v>
      </c>
      <c r="E1365">
        <v>0</v>
      </c>
      <c r="G1365">
        <f t="shared" si="131"/>
        <v>100.24834844942738</v>
      </c>
      <c r="H1365">
        <f t="shared" si="132"/>
        <v>8.3653232298670499E-3</v>
      </c>
      <c r="I1365">
        <f t="shared" si="133"/>
        <v>8.3653232298670499E-3</v>
      </c>
      <c r="K1365">
        <f t="shared" si="134"/>
        <v>2.8021015761821477E-2</v>
      </c>
      <c r="L1365">
        <f t="shared" si="135"/>
        <v>-1.0487394957983232E-2</v>
      </c>
      <c r="M1365">
        <f t="shared" si="136"/>
        <v>1.3256602610214774E-2</v>
      </c>
    </row>
    <row r="1366" spans="1:13" x14ac:dyDescent="0.3">
      <c r="A1366" s="3">
        <v>43984</v>
      </c>
      <c r="B1366" s="8">
        <v>5.9</v>
      </c>
      <c r="C1366" s="8">
        <v>148.25</v>
      </c>
      <c r="D1366" s="8">
        <v>98.93</v>
      </c>
      <c r="E1366">
        <v>0</v>
      </c>
      <c r="G1366">
        <f t="shared" si="131"/>
        <v>100.55318803539528</v>
      </c>
      <c r="H1366">
        <f t="shared" si="132"/>
        <v>3.0408439708278223E-3</v>
      </c>
      <c r="I1366">
        <f t="shared" si="133"/>
        <v>3.0408439708278223E-3</v>
      </c>
      <c r="K1366">
        <f t="shared" si="134"/>
        <v>5.110732538330609E-3</v>
      </c>
      <c r="L1366">
        <f t="shared" si="135"/>
        <v>7.2015761940349421E-3</v>
      </c>
      <c r="M1366">
        <f t="shared" si="136"/>
        <v>3.3468559837730449E-3</v>
      </c>
    </row>
    <row r="1367" spans="1:13" x14ac:dyDescent="0.3">
      <c r="A1367" s="3">
        <v>43985</v>
      </c>
      <c r="B1367" s="8">
        <v>6.19</v>
      </c>
      <c r="C1367" s="8">
        <v>148.65</v>
      </c>
      <c r="D1367" s="8">
        <v>104.27</v>
      </c>
      <c r="E1367">
        <v>0</v>
      </c>
      <c r="G1367">
        <f t="shared" si="131"/>
        <v>102.6863641008942</v>
      </c>
      <c r="H1367">
        <f t="shared" si="132"/>
        <v>2.1214405104172496E-2</v>
      </c>
      <c r="I1367">
        <f t="shared" si="133"/>
        <v>2.1214405104172496E-2</v>
      </c>
      <c r="K1367">
        <f t="shared" si="134"/>
        <v>4.9152542372881358E-2</v>
      </c>
      <c r="L1367">
        <f t="shared" si="135"/>
        <v>2.6981450252951955E-3</v>
      </c>
      <c r="M1367">
        <f t="shared" si="136"/>
        <v>5.3977559890831861E-2</v>
      </c>
    </row>
    <row r="1368" spans="1:13" x14ac:dyDescent="0.3">
      <c r="A1368" s="3">
        <v>43986</v>
      </c>
      <c r="B1368" s="8">
        <v>6.57</v>
      </c>
      <c r="C1368" s="8">
        <v>146.72999999999999</v>
      </c>
      <c r="D1368" s="8">
        <v>106.44</v>
      </c>
      <c r="E1368">
        <v>0</v>
      </c>
      <c r="G1368">
        <f t="shared" si="131"/>
        <v>100.75631920060263</v>
      </c>
      <c r="H1368">
        <f t="shared" si="132"/>
        <v>-1.8795532563556372E-2</v>
      </c>
      <c r="I1368">
        <f t="shared" si="133"/>
        <v>-1.8795532563556372E-2</v>
      </c>
      <c r="K1368">
        <f t="shared" si="134"/>
        <v>6.1389337641357011E-2</v>
      </c>
      <c r="L1368">
        <f t="shared" si="135"/>
        <v>-1.2916246215943561E-2</v>
      </c>
      <c r="M1368">
        <f t="shared" si="136"/>
        <v>2.0811355135705423E-2</v>
      </c>
    </row>
    <row r="1369" spans="1:13" x14ac:dyDescent="0.3">
      <c r="A1369" s="3">
        <v>43987</v>
      </c>
      <c r="B1369" s="8">
        <v>7.34</v>
      </c>
      <c r="C1369" s="8">
        <v>147.30000000000001</v>
      </c>
      <c r="D1369" s="8">
        <v>111.23</v>
      </c>
      <c r="E1369">
        <v>0</v>
      </c>
      <c r="G1369">
        <f t="shared" si="131"/>
        <v>103.1233149428696</v>
      </c>
      <c r="H1369">
        <f t="shared" si="132"/>
        <v>2.3492280792377418E-2</v>
      </c>
      <c r="I1369">
        <f t="shared" si="133"/>
        <v>2.3492280792377418E-2</v>
      </c>
      <c r="K1369">
        <f t="shared" si="134"/>
        <v>0.11719939117199374</v>
      </c>
      <c r="L1369">
        <f t="shared" si="135"/>
        <v>3.8846861582499947E-3</v>
      </c>
      <c r="M1369">
        <f t="shared" si="136"/>
        <v>4.5001878992859901E-2</v>
      </c>
    </row>
    <row r="1370" spans="1:13" x14ac:dyDescent="0.3">
      <c r="A1370" s="3">
        <v>43990</v>
      </c>
      <c r="B1370" s="8">
        <v>7.53</v>
      </c>
      <c r="C1370" s="8">
        <v>146.77000000000001</v>
      </c>
      <c r="D1370" s="8">
        <v>113.45</v>
      </c>
      <c r="E1370">
        <v>0</v>
      </c>
      <c r="G1370">
        <f t="shared" si="131"/>
        <v>100.83564996331762</v>
      </c>
      <c r="H1370">
        <f t="shared" si="132"/>
        <v>-2.2183780465352076E-2</v>
      </c>
      <c r="I1370">
        <f t="shared" si="133"/>
        <v>-2.2183780465352076E-2</v>
      </c>
      <c r="K1370">
        <f t="shared" si="134"/>
        <v>2.5885558583106372E-2</v>
      </c>
      <c r="L1370">
        <f t="shared" si="135"/>
        <v>-3.5980991174473509E-3</v>
      </c>
      <c r="M1370">
        <f t="shared" si="136"/>
        <v>1.9958644250651858E-2</v>
      </c>
    </row>
    <row r="1371" spans="1:13" x14ac:dyDescent="0.3">
      <c r="A1371" s="3">
        <v>43991</v>
      </c>
      <c r="B1371" s="8">
        <v>7.24</v>
      </c>
      <c r="C1371" s="8">
        <v>145.96</v>
      </c>
      <c r="D1371" s="8">
        <v>110.54</v>
      </c>
      <c r="E1371">
        <v>0</v>
      </c>
      <c r="G1371">
        <f t="shared" si="131"/>
        <v>98.344775033927874</v>
      </c>
      <c r="H1371">
        <f t="shared" si="132"/>
        <v>-2.4702324329697767E-2</v>
      </c>
      <c r="I1371">
        <f t="shared" si="133"/>
        <v>-2.4702324329697767E-2</v>
      </c>
      <c r="K1371">
        <f t="shared" si="134"/>
        <v>-3.8512616201859196E-2</v>
      </c>
      <c r="L1371">
        <f t="shared" si="135"/>
        <v>-5.5188389997956611E-3</v>
      </c>
      <c r="M1371">
        <f t="shared" si="136"/>
        <v>-2.5650066108417802E-2</v>
      </c>
    </row>
    <row r="1372" spans="1:13" x14ac:dyDescent="0.3">
      <c r="A1372" s="3">
        <v>43992</v>
      </c>
      <c r="B1372" s="8">
        <v>6.81</v>
      </c>
      <c r="C1372" s="8">
        <v>147.80000000000001</v>
      </c>
      <c r="D1372" s="8">
        <v>106.06</v>
      </c>
      <c r="E1372">
        <v>0</v>
      </c>
      <c r="G1372">
        <f t="shared" si="131"/>
        <v>98.506552978742576</v>
      </c>
      <c r="H1372">
        <f t="shared" si="132"/>
        <v>1.645008031782913E-3</v>
      </c>
      <c r="I1372">
        <f t="shared" si="133"/>
        <v>1.645008031782913E-3</v>
      </c>
      <c r="K1372">
        <f t="shared" si="134"/>
        <v>-5.9392265193370264E-2</v>
      </c>
      <c r="L1372">
        <f t="shared" si="135"/>
        <v>1.2606193477665117E-2</v>
      </c>
      <c r="M1372">
        <f t="shared" si="136"/>
        <v>-4.0528315541885296E-2</v>
      </c>
    </row>
    <row r="1373" spans="1:13" x14ac:dyDescent="0.3">
      <c r="A1373" s="3">
        <v>43993</v>
      </c>
      <c r="B1373" s="8">
        <v>6.13</v>
      </c>
      <c r="C1373" s="8">
        <v>140.87</v>
      </c>
      <c r="D1373" s="8">
        <v>97.21</v>
      </c>
      <c r="E1373">
        <v>0</v>
      </c>
      <c r="G1373">
        <f t="shared" si="131"/>
        <v>93.380514620343959</v>
      </c>
      <c r="H1373">
        <f t="shared" si="132"/>
        <v>-5.2037536624642611E-2</v>
      </c>
      <c r="I1373">
        <f t="shared" si="133"/>
        <v>-5.2037536624642611E-2</v>
      </c>
      <c r="K1373">
        <f t="shared" si="134"/>
        <v>-9.9853157121879588E-2</v>
      </c>
      <c r="L1373">
        <f t="shared" si="135"/>
        <v>-4.6887686062246359E-2</v>
      </c>
      <c r="M1373">
        <f t="shared" si="136"/>
        <v>-8.3443333961908395E-2</v>
      </c>
    </row>
    <row r="1374" spans="1:13" x14ac:dyDescent="0.3">
      <c r="A1374" s="3">
        <v>43994</v>
      </c>
      <c r="B1374" s="8">
        <v>6.46</v>
      </c>
      <c r="C1374" s="8">
        <v>142.15</v>
      </c>
      <c r="D1374" s="8">
        <v>99.87</v>
      </c>
      <c r="E1374">
        <v>0</v>
      </c>
      <c r="G1374">
        <f t="shared" si="131"/>
        <v>102.06538433040934</v>
      </c>
      <c r="H1374">
        <f t="shared" si="132"/>
        <v>9.3005160074083548E-2</v>
      </c>
      <c r="I1374">
        <f t="shared" si="133"/>
        <v>9.3005160074083548E-2</v>
      </c>
      <c r="K1374">
        <f t="shared" si="134"/>
        <v>5.3833605220228398E-2</v>
      </c>
      <c r="L1374">
        <f t="shared" si="135"/>
        <v>9.0863917086676516E-3</v>
      </c>
      <c r="M1374">
        <f t="shared" si="136"/>
        <v>2.7363439975311321E-2</v>
      </c>
    </row>
    <row r="1375" spans="1:13" x14ac:dyDescent="0.3">
      <c r="A1375" s="3">
        <v>43997</v>
      </c>
      <c r="B1375" s="8">
        <v>6.5</v>
      </c>
      <c r="C1375" s="8">
        <v>141.25</v>
      </c>
      <c r="D1375" s="8">
        <v>101.25</v>
      </c>
      <c r="E1375">
        <v>0</v>
      </c>
      <c r="G1375">
        <f t="shared" si="131"/>
        <v>100.25635184102131</v>
      </c>
      <c r="H1375">
        <f t="shared" si="132"/>
        <v>-1.7724250991225099E-2</v>
      </c>
      <c r="I1375">
        <f t="shared" si="133"/>
        <v>-1.7724250991225099E-2</v>
      </c>
      <c r="K1375">
        <f t="shared" si="134"/>
        <v>6.1919504643963563E-3</v>
      </c>
      <c r="L1375">
        <f t="shared" si="135"/>
        <v>-6.3313401336616559E-3</v>
      </c>
      <c r="M1375">
        <f t="shared" si="136"/>
        <v>1.3817963352358076E-2</v>
      </c>
    </row>
    <row r="1376" spans="1:13" x14ac:dyDescent="0.3">
      <c r="A1376" s="3">
        <v>43998</v>
      </c>
      <c r="B1376" s="8">
        <v>6.55</v>
      </c>
      <c r="C1376" s="8">
        <v>144.46</v>
      </c>
      <c r="D1376" s="8">
        <v>102.06</v>
      </c>
      <c r="E1376">
        <v>0</v>
      </c>
      <c r="G1376">
        <f t="shared" si="131"/>
        <v>101.56087155288058</v>
      </c>
      <c r="H1376">
        <f t="shared" si="132"/>
        <v>1.3011841024575421E-2</v>
      </c>
      <c r="I1376">
        <f t="shared" si="133"/>
        <v>1.3011841024575421E-2</v>
      </c>
      <c r="K1376">
        <f t="shared" si="134"/>
        <v>7.692307692307665E-3</v>
      </c>
      <c r="L1376">
        <f t="shared" si="135"/>
        <v>2.2725663716814282E-2</v>
      </c>
      <c r="M1376">
        <f t="shared" si="136"/>
        <v>8.0000000000000071E-3</v>
      </c>
    </row>
    <row r="1377" spans="1:13" x14ac:dyDescent="0.3">
      <c r="A1377" s="3">
        <v>43999</v>
      </c>
      <c r="B1377" s="8">
        <v>6.33</v>
      </c>
      <c r="C1377" s="8">
        <v>144.02000000000001</v>
      </c>
      <c r="D1377" s="8">
        <v>99.48</v>
      </c>
      <c r="E1377">
        <v>0</v>
      </c>
      <c r="G1377">
        <f t="shared" si="131"/>
        <v>98.538664230626409</v>
      </c>
      <c r="H1377">
        <f t="shared" si="132"/>
        <v>-2.9757595381411983E-2</v>
      </c>
      <c r="I1377">
        <f t="shared" si="133"/>
        <v>-2.9757595381411983E-2</v>
      </c>
      <c r="K1377">
        <f t="shared" si="134"/>
        <v>-3.3587786259541952E-2</v>
      </c>
      <c r="L1377">
        <f t="shared" si="135"/>
        <v>-3.045825834140925E-3</v>
      </c>
      <c r="M1377">
        <f t="shared" si="136"/>
        <v>-2.5279247501469704E-2</v>
      </c>
    </row>
    <row r="1378" spans="1:13" x14ac:dyDescent="0.3">
      <c r="A1378" s="3">
        <v>44000</v>
      </c>
      <c r="B1378" s="8">
        <v>6.33</v>
      </c>
      <c r="C1378" s="8">
        <v>143.41</v>
      </c>
      <c r="D1378" s="8">
        <v>98.94</v>
      </c>
      <c r="E1378">
        <v>0</v>
      </c>
      <c r="G1378">
        <f t="shared" si="131"/>
        <v>99.575954309658215</v>
      </c>
      <c r="H1378">
        <f t="shared" si="132"/>
        <v>1.0526731685788437E-2</v>
      </c>
      <c r="I1378">
        <f t="shared" si="133"/>
        <v>1.0526731685788437E-2</v>
      </c>
      <c r="K1378">
        <f t="shared" si="134"/>
        <v>0</v>
      </c>
      <c r="L1378">
        <f t="shared" si="135"/>
        <v>-4.2355228440494885E-3</v>
      </c>
      <c r="M1378">
        <f t="shared" si="136"/>
        <v>-5.4282267792521433E-3</v>
      </c>
    </row>
    <row r="1379" spans="1:13" x14ac:dyDescent="0.3">
      <c r="A1379" s="3">
        <v>44001</v>
      </c>
      <c r="B1379" s="8">
        <v>6.23</v>
      </c>
      <c r="C1379" s="8">
        <v>143.83000000000001</v>
      </c>
      <c r="D1379" s="8">
        <v>97.81</v>
      </c>
      <c r="E1379">
        <v>0</v>
      </c>
      <c r="G1379">
        <f t="shared" si="131"/>
        <v>99.556614055527646</v>
      </c>
      <c r="H1379">
        <f t="shared" si="132"/>
        <v>-1.9422614891972945E-4</v>
      </c>
      <c r="I1379">
        <f t="shared" si="133"/>
        <v>-1.9422614891972945E-4</v>
      </c>
      <c r="K1379">
        <f t="shared" si="134"/>
        <v>-1.5797788309636629E-2</v>
      </c>
      <c r="L1379">
        <f t="shared" si="135"/>
        <v>2.9286660623388805E-3</v>
      </c>
      <c r="M1379">
        <f t="shared" si="136"/>
        <v>-1.1421063270669052E-2</v>
      </c>
    </row>
    <row r="1380" spans="1:13" x14ac:dyDescent="0.3">
      <c r="A1380" s="3">
        <v>44004</v>
      </c>
      <c r="B1380" s="8">
        <v>6.28</v>
      </c>
      <c r="C1380" s="8">
        <v>143.38999999999999</v>
      </c>
      <c r="D1380" s="8">
        <v>96.75</v>
      </c>
      <c r="E1380">
        <v>0</v>
      </c>
      <c r="G1380">
        <f t="shared" si="131"/>
        <v>99.517554578729573</v>
      </c>
      <c r="H1380">
        <f t="shared" si="132"/>
        <v>-3.9233432322527406E-4</v>
      </c>
      <c r="I1380">
        <f t="shared" si="133"/>
        <v>-3.9233432322527406E-4</v>
      </c>
      <c r="K1380">
        <f t="shared" si="134"/>
        <v>8.0256821829856051E-3</v>
      </c>
      <c r="L1380">
        <f t="shared" si="135"/>
        <v>-3.0591670722381892E-3</v>
      </c>
      <c r="M1380">
        <f t="shared" si="136"/>
        <v>-1.083733769553219E-2</v>
      </c>
    </row>
    <row r="1381" spans="1:13" x14ac:dyDescent="0.3">
      <c r="A1381" s="3">
        <v>44005</v>
      </c>
      <c r="B1381" s="8">
        <v>6.15</v>
      </c>
      <c r="C1381" s="8">
        <v>142.86000000000001</v>
      </c>
      <c r="D1381" s="8">
        <v>97.93</v>
      </c>
      <c r="E1381">
        <v>0</v>
      </c>
      <c r="G1381">
        <f t="shared" si="131"/>
        <v>100.05022298453761</v>
      </c>
      <c r="H1381">
        <f t="shared" si="132"/>
        <v>5.3525069829427618E-3</v>
      </c>
      <c r="I1381">
        <f t="shared" si="133"/>
        <v>5.3525069829427618E-3</v>
      </c>
      <c r="K1381">
        <f t="shared" si="134"/>
        <v>-2.0700636942675099E-2</v>
      </c>
      <c r="L1381">
        <f t="shared" si="135"/>
        <v>-3.6962131250434238E-3</v>
      </c>
      <c r="M1381">
        <f t="shared" si="136"/>
        <v>1.2196382428940611E-2</v>
      </c>
    </row>
    <row r="1382" spans="1:13" x14ac:dyDescent="0.3">
      <c r="A1382" s="3">
        <v>44006</v>
      </c>
      <c r="B1382" s="8">
        <v>5.95</v>
      </c>
      <c r="C1382" s="8">
        <v>139.82</v>
      </c>
      <c r="D1382" s="8">
        <v>94.66</v>
      </c>
      <c r="E1382">
        <v>0</v>
      </c>
      <c r="G1382">
        <f t="shared" si="131"/>
        <v>97.298464129268609</v>
      </c>
      <c r="H1382">
        <f t="shared" si="132"/>
        <v>-2.7503775335855796E-2</v>
      </c>
      <c r="I1382">
        <f t="shared" si="133"/>
        <v>-2.7503775335855796E-2</v>
      </c>
      <c r="K1382">
        <f t="shared" si="134"/>
        <v>-3.2520325203252098E-2</v>
      </c>
      <c r="L1382">
        <f t="shared" si="135"/>
        <v>-2.1279574408512025E-2</v>
      </c>
      <c r="M1382">
        <f t="shared" si="136"/>
        <v>-3.3391197794342964E-2</v>
      </c>
    </row>
    <row r="1383" spans="1:13" x14ac:dyDescent="0.3">
      <c r="A1383" s="3">
        <v>44007</v>
      </c>
      <c r="B1383" s="8">
        <v>6.03</v>
      </c>
      <c r="C1383" s="8">
        <v>139.66999999999999</v>
      </c>
      <c r="D1383" s="8">
        <v>97.96</v>
      </c>
      <c r="E1383">
        <v>0</v>
      </c>
      <c r="G1383">
        <f t="shared" si="131"/>
        <v>101.39712200516222</v>
      </c>
      <c r="H1383">
        <f t="shared" si="132"/>
        <v>4.2124589658971701E-2</v>
      </c>
      <c r="I1383">
        <f t="shared" si="133"/>
        <v>4.2124589658971701E-2</v>
      </c>
      <c r="K1383">
        <f t="shared" si="134"/>
        <v>1.3445378151260456E-2</v>
      </c>
      <c r="L1383">
        <f t="shared" si="135"/>
        <v>-1.072807895866168E-3</v>
      </c>
      <c r="M1383">
        <f t="shared" si="136"/>
        <v>3.4861609972533181E-2</v>
      </c>
    </row>
    <row r="1384" spans="1:13" x14ac:dyDescent="0.3">
      <c r="A1384" s="3">
        <v>44008</v>
      </c>
      <c r="B1384" s="8">
        <v>5.91</v>
      </c>
      <c r="C1384" s="8">
        <v>137.81</v>
      </c>
      <c r="D1384" s="8">
        <v>92.59</v>
      </c>
      <c r="E1384">
        <v>0</v>
      </c>
      <c r="G1384">
        <f t="shared" si="131"/>
        <v>97.037561949635759</v>
      </c>
      <c r="H1384">
        <f t="shared" si="132"/>
        <v>-4.2994909217487498E-2</v>
      </c>
      <c r="I1384">
        <f t="shared" si="133"/>
        <v>-4.2994909217487498E-2</v>
      </c>
      <c r="K1384">
        <f t="shared" si="134"/>
        <v>-1.9900497512437831E-2</v>
      </c>
      <c r="L1384">
        <f t="shared" si="135"/>
        <v>-1.3317104603708607E-2</v>
      </c>
      <c r="M1384">
        <f t="shared" si="136"/>
        <v>-5.4818293180890043E-2</v>
      </c>
    </row>
    <row r="1385" spans="1:13" x14ac:dyDescent="0.3">
      <c r="A1385" s="3">
        <v>44011</v>
      </c>
      <c r="B1385" s="8">
        <v>6.01</v>
      </c>
      <c r="C1385" s="8">
        <v>139.04</v>
      </c>
      <c r="D1385" s="8">
        <v>93</v>
      </c>
      <c r="E1385">
        <v>0</v>
      </c>
      <c r="G1385">
        <f t="shared" si="131"/>
        <v>100.8070896078149</v>
      </c>
      <c r="H1385">
        <f t="shared" si="132"/>
        <v>3.8846067259352468E-2</v>
      </c>
      <c r="I1385">
        <f t="shared" si="133"/>
        <v>3.8846067259352468E-2</v>
      </c>
      <c r="K1385">
        <f t="shared" si="134"/>
        <v>1.6920473773265554E-2</v>
      </c>
      <c r="L1385">
        <f t="shared" si="135"/>
        <v>8.9253319788114016E-3</v>
      </c>
      <c r="M1385">
        <f t="shared" si="136"/>
        <v>4.4281239874717215E-3</v>
      </c>
    </row>
    <row r="1386" spans="1:13" x14ac:dyDescent="0.3">
      <c r="A1386" s="3">
        <v>44012</v>
      </c>
      <c r="B1386" s="8">
        <v>6.08</v>
      </c>
      <c r="C1386" s="8">
        <v>140.63</v>
      </c>
      <c r="D1386" s="8">
        <v>94.06</v>
      </c>
      <c r="E1386">
        <v>0</v>
      </c>
      <c r="G1386">
        <f t="shared" si="131"/>
        <v>101.14435542425353</v>
      </c>
      <c r="H1386">
        <f t="shared" si="132"/>
        <v>3.3456557247188989E-3</v>
      </c>
      <c r="I1386">
        <f t="shared" si="133"/>
        <v>3.3456557247188989E-3</v>
      </c>
      <c r="K1386">
        <f t="shared" si="134"/>
        <v>1.1647254575707144E-2</v>
      </c>
      <c r="L1386">
        <f t="shared" si="135"/>
        <v>1.1435558112773414E-2</v>
      </c>
      <c r="M1386">
        <f t="shared" si="136"/>
        <v>1.1397849462365661E-2</v>
      </c>
    </row>
    <row r="1387" spans="1:13" x14ac:dyDescent="0.3">
      <c r="A1387" s="3">
        <v>44013</v>
      </c>
      <c r="B1387" s="8">
        <v>5.98</v>
      </c>
      <c r="C1387" s="8">
        <v>140.38</v>
      </c>
      <c r="D1387" s="8">
        <v>93.26</v>
      </c>
      <c r="E1387">
        <v>0</v>
      </c>
      <c r="G1387">
        <f t="shared" si="131"/>
        <v>99.415324668528086</v>
      </c>
      <c r="H1387">
        <f t="shared" si="132"/>
        <v>-1.7094683618012807E-2</v>
      </c>
      <c r="I1387">
        <f t="shared" si="133"/>
        <v>-1.7094683618012807E-2</v>
      </c>
      <c r="K1387">
        <f t="shared" si="134"/>
        <v>-1.6447368421052544E-2</v>
      </c>
      <c r="L1387">
        <f t="shared" si="135"/>
        <v>-1.7777145701486363E-3</v>
      </c>
      <c r="M1387">
        <f t="shared" si="136"/>
        <v>-8.5052094407824796E-3</v>
      </c>
    </row>
    <row r="1388" spans="1:13" x14ac:dyDescent="0.3">
      <c r="A1388" s="3">
        <v>44014</v>
      </c>
      <c r="B1388" s="8">
        <v>6.05</v>
      </c>
      <c r="C1388" s="8">
        <v>140.97</v>
      </c>
      <c r="D1388" s="8">
        <v>92.66</v>
      </c>
      <c r="E1388">
        <v>0</v>
      </c>
      <c r="G1388">
        <f t="shared" si="131"/>
        <v>100.09865643464101</v>
      </c>
      <c r="H1388">
        <f t="shared" si="132"/>
        <v>6.8735053513258038E-3</v>
      </c>
      <c r="I1388">
        <f t="shared" si="133"/>
        <v>6.8735053513258038E-3</v>
      </c>
      <c r="K1388">
        <f t="shared" si="134"/>
        <v>1.1705685618728978E-2</v>
      </c>
      <c r="L1388">
        <f t="shared" si="135"/>
        <v>4.2028779028351337E-3</v>
      </c>
      <c r="M1388">
        <f t="shared" si="136"/>
        <v>-6.4336264207592864E-3</v>
      </c>
    </row>
    <row r="1389" spans="1:13" x14ac:dyDescent="0.3">
      <c r="A1389" s="3">
        <v>44018</v>
      </c>
      <c r="B1389" s="8">
        <v>6.19</v>
      </c>
      <c r="C1389" s="8">
        <v>142.97999999999999</v>
      </c>
      <c r="D1389" s="8">
        <v>95</v>
      </c>
      <c r="E1389">
        <v>0</v>
      </c>
      <c r="G1389">
        <f t="shared" si="131"/>
        <v>101.93268515877216</v>
      </c>
      <c r="H1389">
        <f t="shared" si="132"/>
        <v>1.8322211200993088E-2</v>
      </c>
      <c r="I1389">
        <f t="shared" si="133"/>
        <v>1.8322211200993088E-2</v>
      </c>
      <c r="K1389">
        <f t="shared" si="134"/>
        <v>2.3140495867768784E-2</v>
      </c>
      <c r="L1389">
        <f t="shared" si="135"/>
        <v>1.4258352841029831E-2</v>
      </c>
      <c r="M1389">
        <f t="shared" si="136"/>
        <v>2.5253615368012072E-2</v>
      </c>
    </row>
    <row r="1390" spans="1:13" x14ac:dyDescent="0.3">
      <c r="A1390" s="3">
        <v>44019</v>
      </c>
      <c r="B1390" s="8">
        <v>6.12</v>
      </c>
      <c r="C1390" s="8">
        <v>142.85</v>
      </c>
      <c r="D1390" s="8">
        <v>92.32</v>
      </c>
      <c r="E1390">
        <v>0</v>
      </c>
      <c r="G1390">
        <f t="shared" si="131"/>
        <v>98.772714547180811</v>
      </c>
      <c r="H1390">
        <f t="shared" si="132"/>
        <v>-3.1000562838792267E-2</v>
      </c>
      <c r="I1390">
        <f t="shared" si="133"/>
        <v>-3.1000562838792267E-2</v>
      </c>
      <c r="K1390">
        <f t="shared" si="134"/>
        <v>-1.1308562197092087E-2</v>
      </c>
      <c r="L1390">
        <f t="shared" si="135"/>
        <v>-9.0921807245769592E-4</v>
      </c>
      <c r="M1390">
        <f t="shared" si="136"/>
        <v>-2.8210526315789575E-2</v>
      </c>
    </row>
    <row r="1391" spans="1:13" x14ac:dyDescent="0.3">
      <c r="A1391" s="3">
        <v>44020</v>
      </c>
      <c r="B1391" s="8">
        <v>6.09</v>
      </c>
      <c r="C1391" s="8">
        <v>143.27000000000001</v>
      </c>
      <c r="D1391" s="8">
        <v>93.3</v>
      </c>
      <c r="E1391">
        <v>0</v>
      </c>
      <c r="G1391">
        <f t="shared" si="131"/>
        <v>100.5006496056421</v>
      </c>
      <c r="H1391">
        <f t="shared" si="132"/>
        <v>1.749405254662606E-2</v>
      </c>
      <c r="I1391">
        <f t="shared" si="133"/>
        <v>1.749405254662606E-2</v>
      </c>
      <c r="K1391">
        <f t="shared" si="134"/>
        <v>-4.9019607843138191E-3</v>
      </c>
      <c r="L1391">
        <f t="shared" si="135"/>
        <v>2.9401470073504576E-3</v>
      </c>
      <c r="M1391">
        <f t="shared" si="136"/>
        <v>1.0615251299826767E-2</v>
      </c>
    </row>
    <row r="1392" spans="1:13" x14ac:dyDescent="0.3">
      <c r="A1392" s="3">
        <v>44021</v>
      </c>
      <c r="B1392" s="8">
        <v>5.84</v>
      </c>
      <c r="C1392" s="8">
        <v>142.49</v>
      </c>
      <c r="D1392" s="8">
        <v>91.28</v>
      </c>
      <c r="E1392">
        <v>0</v>
      </c>
      <c r="G1392">
        <f t="shared" si="131"/>
        <v>98.472547083648479</v>
      </c>
      <c r="H1392">
        <f t="shared" si="132"/>
        <v>-2.0179994158761705E-2</v>
      </c>
      <c r="I1392">
        <f t="shared" si="133"/>
        <v>-2.0179994158761705E-2</v>
      </c>
      <c r="K1392">
        <f t="shared" si="134"/>
        <v>-4.1050903119868587E-2</v>
      </c>
      <c r="L1392">
        <f t="shared" si="135"/>
        <v>-5.4442660710546376E-3</v>
      </c>
      <c r="M1392">
        <f t="shared" si="136"/>
        <v>-2.1650589496248651E-2</v>
      </c>
    </row>
    <row r="1393" spans="1:13" x14ac:dyDescent="0.3">
      <c r="A1393" s="3">
        <v>44022</v>
      </c>
      <c r="B1393" s="8">
        <v>6.1</v>
      </c>
      <c r="C1393" s="8">
        <v>142.37</v>
      </c>
      <c r="D1393" s="8">
        <v>96.27</v>
      </c>
      <c r="E1393">
        <v>0</v>
      </c>
      <c r="G1393">
        <f t="shared" si="131"/>
        <v>102.48006029269033</v>
      </c>
      <c r="H1393">
        <f t="shared" si="132"/>
        <v>4.0696755874889856E-2</v>
      </c>
      <c r="I1393">
        <f t="shared" si="133"/>
        <v>4.0696755874889856E-2</v>
      </c>
      <c r="K1393">
        <f t="shared" si="134"/>
        <v>4.4520547945205546E-2</v>
      </c>
      <c r="L1393">
        <f t="shared" si="135"/>
        <v>-8.421643624114683E-4</v>
      </c>
      <c r="M1393">
        <f t="shared" si="136"/>
        <v>5.4666958808063049E-2</v>
      </c>
    </row>
    <row r="1394" spans="1:13" x14ac:dyDescent="0.3">
      <c r="A1394" s="3">
        <v>44025</v>
      </c>
      <c r="B1394" s="8">
        <v>6.06</v>
      </c>
      <c r="C1394" s="8">
        <v>145.21</v>
      </c>
      <c r="D1394" s="8">
        <v>97.65</v>
      </c>
      <c r="E1394">
        <v>0</v>
      </c>
      <c r="G1394">
        <f t="shared" si="131"/>
        <v>101.50578386148277</v>
      </c>
      <c r="H1394">
        <f t="shared" si="132"/>
        <v>-9.5069853435385543E-3</v>
      </c>
      <c r="I1394">
        <f t="shared" si="133"/>
        <v>-9.5069853435385543E-3</v>
      </c>
      <c r="K1394">
        <f t="shared" si="134"/>
        <v>-6.5573770491803574E-3</v>
      </c>
      <c r="L1394">
        <f t="shared" si="135"/>
        <v>1.9948022757603434E-2</v>
      </c>
      <c r="M1394">
        <f t="shared" si="136"/>
        <v>1.4334683702087903E-2</v>
      </c>
    </row>
    <row r="1395" spans="1:13" x14ac:dyDescent="0.3">
      <c r="A1395" s="3">
        <v>44026</v>
      </c>
      <c r="B1395" s="8">
        <v>6.36</v>
      </c>
      <c r="C1395" s="8">
        <v>147.91999999999999</v>
      </c>
      <c r="D1395" s="8">
        <v>98.21</v>
      </c>
      <c r="E1395">
        <v>0</v>
      </c>
      <c r="G1395">
        <f t="shared" si="131"/>
        <v>101.70300880246744</v>
      </c>
      <c r="H1395">
        <f t="shared" si="132"/>
        <v>1.9429921476574741E-3</v>
      </c>
      <c r="I1395">
        <f t="shared" si="133"/>
        <v>1.9429921476574741E-3</v>
      </c>
      <c r="K1395">
        <f t="shared" si="134"/>
        <v>4.9504950495049549E-2</v>
      </c>
      <c r="L1395">
        <f t="shared" si="135"/>
        <v>1.8662626540871807E-2</v>
      </c>
      <c r="M1395">
        <f t="shared" si="136"/>
        <v>5.734767025089571E-3</v>
      </c>
    </row>
    <row r="1396" spans="1:13" x14ac:dyDescent="0.3">
      <c r="A1396" s="3">
        <v>44027</v>
      </c>
      <c r="B1396" s="8">
        <v>6.74</v>
      </c>
      <c r="C1396" s="8">
        <v>148.26</v>
      </c>
      <c r="D1396" s="8">
        <v>99.73</v>
      </c>
      <c r="E1396">
        <v>0</v>
      </c>
      <c r="G1396">
        <f t="shared" si="131"/>
        <v>101.32786250054038</v>
      </c>
      <c r="H1396">
        <f t="shared" si="132"/>
        <v>-3.6886450690528649E-3</v>
      </c>
      <c r="I1396">
        <f t="shared" si="133"/>
        <v>-3.6886450690528649E-3</v>
      </c>
      <c r="K1396">
        <f t="shared" si="134"/>
        <v>5.9748427672955851E-2</v>
      </c>
      <c r="L1396">
        <f t="shared" si="135"/>
        <v>2.2985397512169659E-3</v>
      </c>
      <c r="M1396">
        <f t="shared" si="136"/>
        <v>1.5477038998065407E-2</v>
      </c>
    </row>
    <row r="1397" spans="1:13" x14ac:dyDescent="0.3">
      <c r="A1397" s="3">
        <v>44028</v>
      </c>
      <c r="B1397" s="8">
        <v>6.86</v>
      </c>
      <c r="C1397" s="8">
        <v>149.25</v>
      </c>
      <c r="D1397" s="8">
        <v>100.01</v>
      </c>
      <c r="E1397">
        <v>0</v>
      </c>
      <c r="G1397">
        <f t="shared" si="131"/>
        <v>100.63872873970593</v>
      </c>
      <c r="H1397">
        <f t="shared" si="132"/>
        <v>-6.801029290742E-3</v>
      </c>
      <c r="I1397">
        <f t="shared" si="133"/>
        <v>-6.801029290742E-3</v>
      </c>
      <c r="K1397">
        <f t="shared" si="134"/>
        <v>1.7804154302670572E-2</v>
      </c>
      <c r="L1397">
        <f t="shared" si="135"/>
        <v>6.6774585188182911E-3</v>
      </c>
      <c r="M1397">
        <f t="shared" si="136"/>
        <v>2.8075804672615945E-3</v>
      </c>
    </row>
    <row r="1398" spans="1:13" x14ac:dyDescent="0.3">
      <c r="A1398" s="3">
        <v>44029</v>
      </c>
      <c r="B1398" s="8">
        <v>6.8</v>
      </c>
      <c r="C1398" s="8">
        <v>149.35</v>
      </c>
      <c r="D1398" s="8">
        <v>98.16</v>
      </c>
      <c r="E1398">
        <v>0</v>
      </c>
      <c r="G1398">
        <f t="shared" si="131"/>
        <v>99.246998213435475</v>
      </c>
      <c r="H1398">
        <f t="shared" si="132"/>
        <v>-1.3828975621006157E-2</v>
      </c>
      <c r="I1398">
        <f t="shared" si="133"/>
        <v>-1.3828975621006157E-2</v>
      </c>
      <c r="K1398">
        <f t="shared" si="134"/>
        <v>-8.7463556851312685E-3</v>
      </c>
      <c r="L1398">
        <f t="shared" si="135"/>
        <v>6.7001675041877817E-4</v>
      </c>
      <c r="M1398">
        <f t="shared" si="136"/>
        <v>-1.8498150184981577E-2</v>
      </c>
    </row>
    <row r="1399" spans="1:13" x14ac:dyDescent="0.3">
      <c r="A1399" s="3">
        <v>44032</v>
      </c>
      <c r="B1399" s="8">
        <v>6.66</v>
      </c>
      <c r="C1399" s="8">
        <v>149.6</v>
      </c>
      <c r="D1399" s="8">
        <v>97.3</v>
      </c>
      <c r="E1399">
        <v>0</v>
      </c>
      <c r="G1399">
        <f t="shared" si="131"/>
        <v>99.541395014447261</v>
      </c>
      <c r="H1399">
        <f t="shared" si="132"/>
        <v>2.9663043347534224E-3</v>
      </c>
      <c r="I1399">
        <f t="shared" si="133"/>
        <v>2.9663043347534224E-3</v>
      </c>
      <c r="K1399">
        <f t="shared" si="134"/>
        <v>-2.0588235294117574E-2</v>
      </c>
      <c r="L1399">
        <f t="shared" si="135"/>
        <v>1.6739203213926857E-3</v>
      </c>
      <c r="M1399">
        <f t="shared" si="136"/>
        <v>-8.7612061939690289E-3</v>
      </c>
    </row>
    <row r="1400" spans="1:13" x14ac:dyDescent="0.3">
      <c r="A1400" s="3">
        <v>44033</v>
      </c>
      <c r="B1400" s="8">
        <v>6.68</v>
      </c>
      <c r="C1400" s="8">
        <v>149.74</v>
      </c>
      <c r="D1400" s="8">
        <v>99.41</v>
      </c>
      <c r="E1400">
        <v>0</v>
      </c>
      <c r="G1400">
        <f t="shared" si="131"/>
        <v>100.89607899395251</v>
      </c>
      <c r="H1400">
        <f t="shared" si="132"/>
        <v>1.3609252505539349E-2</v>
      </c>
      <c r="I1400">
        <f t="shared" si="133"/>
        <v>1.3609252505539349E-2</v>
      </c>
      <c r="K1400">
        <f t="shared" si="134"/>
        <v>3.0030030030030463E-3</v>
      </c>
      <c r="L1400">
        <f t="shared" si="135"/>
        <v>9.3582887700538464E-4</v>
      </c>
      <c r="M1400">
        <f t="shared" si="136"/>
        <v>2.1685508735868497E-2</v>
      </c>
    </row>
    <row r="1401" spans="1:13" x14ac:dyDescent="0.3">
      <c r="A1401" s="3">
        <v>44034</v>
      </c>
      <c r="B1401" s="8">
        <v>6.84</v>
      </c>
      <c r="C1401" s="8">
        <v>150.01</v>
      </c>
      <c r="D1401" s="8">
        <v>98.69</v>
      </c>
      <c r="E1401">
        <v>0</v>
      </c>
      <c r="G1401">
        <f t="shared" si="131"/>
        <v>100.07203402853241</v>
      </c>
      <c r="H1401">
        <f t="shared" si="132"/>
        <v>-8.1672645125236976E-3</v>
      </c>
      <c r="I1401">
        <f t="shared" si="133"/>
        <v>-8.1672645125236976E-3</v>
      </c>
      <c r="K1401">
        <f t="shared" si="134"/>
        <v>2.39520958083832E-2</v>
      </c>
      <c r="L1401">
        <f t="shared" si="135"/>
        <v>1.803125417390028E-3</v>
      </c>
      <c r="M1401">
        <f t="shared" si="136"/>
        <v>-7.242732119505102E-3</v>
      </c>
    </row>
    <row r="1402" spans="1:13" x14ac:dyDescent="0.3">
      <c r="A1402" s="3">
        <v>44035</v>
      </c>
      <c r="B1402" s="8">
        <v>6.98</v>
      </c>
      <c r="C1402" s="8">
        <v>149.61000000000001</v>
      </c>
      <c r="D1402" s="8">
        <v>98.98</v>
      </c>
      <c r="E1402">
        <v>0</v>
      </c>
      <c r="G1402">
        <f t="shared" si="131"/>
        <v>100.18672544025067</v>
      </c>
      <c r="H1402">
        <f t="shared" si="132"/>
        <v>1.1460885434342316E-3</v>
      </c>
      <c r="I1402">
        <f t="shared" si="133"/>
        <v>1.1460885434342316E-3</v>
      </c>
      <c r="K1402">
        <f t="shared" si="134"/>
        <v>2.0467836257310079E-2</v>
      </c>
      <c r="L1402">
        <f t="shared" si="135"/>
        <v>-2.6664889007398385E-3</v>
      </c>
      <c r="M1402">
        <f t="shared" si="136"/>
        <v>2.93849427500259E-3</v>
      </c>
    </row>
    <row r="1403" spans="1:13" x14ac:dyDescent="0.3">
      <c r="A1403" s="3">
        <v>44036</v>
      </c>
      <c r="B1403" s="8">
        <v>6.88</v>
      </c>
      <c r="C1403" s="8">
        <v>148.12</v>
      </c>
      <c r="D1403" s="8">
        <v>98.28</v>
      </c>
      <c r="E1403">
        <v>0</v>
      </c>
      <c r="G1403">
        <f t="shared" si="131"/>
        <v>99.066949894040008</v>
      </c>
      <c r="H1403">
        <f t="shared" si="132"/>
        <v>-1.1176885373686329E-2</v>
      </c>
      <c r="I1403">
        <f t="shared" si="133"/>
        <v>-1.1176885373686329E-2</v>
      </c>
      <c r="K1403">
        <f t="shared" si="134"/>
        <v>-1.4326647564469996E-2</v>
      </c>
      <c r="L1403">
        <f t="shared" si="135"/>
        <v>-9.9592273243768181E-3</v>
      </c>
      <c r="M1403">
        <f t="shared" si="136"/>
        <v>-7.0721357850070943E-3</v>
      </c>
    </row>
    <row r="1404" spans="1:13" x14ac:dyDescent="0.3">
      <c r="A1404" s="3">
        <v>44039</v>
      </c>
      <c r="B1404" s="8">
        <v>6.93</v>
      </c>
      <c r="C1404" s="8">
        <v>147.18</v>
      </c>
      <c r="D1404" s="8">
        <v>96.9</v>
      </c>
      <c r="E1404">
        <v>0</v>
      </c>
      <c r="G1404">
        <f t="shared" si="131"/>
        <v>99.218471296492055</v>
      </c>
      <c r="H1404">
        <f t="shared" si="132"/>
        <v>1.5294848848592668E-3</v>
      </c>
      <c r="I1404">
        <f t="shared" si="133"/>
        <v>1.5294848848592668E-3</v>
      </c>
      <c r="K1404">
        <f t="shared" si="134"/>
        <v>7.2674418604650182E-3</v>
      </c>
      <c r="L1404">
        <f t="shared" si="135"/>
        <v>-6.3462057790980575E-3</v>
      </c>
      <c r="M1404">
        <f t="shared" si="136"/>
        <v>-1.4041514041513992E-2</v>
      </c>
    </row>
    <row r="1405" spans="1:13" x14ac:dyDescent="0.3">
      <c r="A1405" s="3">
        <v>44040</v>
      </c>
      <c r="B1405" s="8">
        <v>7.01</v>
      </c>
      <c r="C1405" s="8">
        <v>146.83000000000001</v>
      </c>
      <c r="D1405" s="8">
        <v>97.32</v>
      </c>
      <c r="E1405">
        <v>0</v>
      </c>
      <c r="G1405">
        <f t="shared" si="131"/>
        <v>100.16069696832773</v>
      </c>
      <c r="H1405">
        <f t="shared" si="132"/>
        <v>9.4964743915479932E-3</v>
      </c>
      <c r="I1405">
        <f t="shared" si="133"/>
        <v>9.4964743915479932E-3</v>
      </c>
      <c r="K1405">
        <f t="shared" si="134"/>
        <v>1.1544011544011523E-2</v>
      </c>
      <c r="L1405">
        <f t="shared" si="135"/>
        <v>-2.3780404946324163E-3</v>
      </c>
      <c r="M1405">
        <f t="shared" si="136"/>
        <v>4.3343653250773606E-3</v>
      </c>
    </row>
    <row r="1406" spans="1:13" x14ac:dyDescent="0.3">
      <c r="A1406" s="3">
        <v>44041</v>
      </c>
      <c r="B1406" s="8">
        <v>6.92</v>
      </c>
      <c r="C1406" s="8">
        <v>146.54</v>
      </c>
      <c r="D1406" s="8">
        <v>99.68</v>
      </c>
      <c r="E1406">
        <v>0</v>
      </c>
      <c r="G1406">
        <f t="shared" si="131"/>
        <v>100.67551070483725</v>
      </c>
      <c r="H1406">
        <f t="shared" si="132"/>
        <v>5.1398777373954374E-3</v>
      </c>
      <c r="I1406">
        <f t="shared" si="133"/>
        <v>5.1398777373954374E-3</v>
      </c>
      <c r="K1406">
        <f t="shared" si="134"/>
        <v>-1.2838801711840153E-2</v>
      </c>
      <c r="L1406">
        <f t="shared" si="135"/>
        <v>-1.9750732139209859E-3</v>
      </c>
      <c r="M1406">
        <f t="shared" si="136"/>
        <v>2.4249897246198193E-2</v>
      </c>
    </row>
    <row r="1407" spans="1:13" x14ac:dyDescent="0.3">
      <c r="A1407" s="3">
        <v>44042</v>
      </c>
      <c r="B1407" s="8">
        <v>6.74</v>
      </c>
      <c r="C1407" s="8">
        <v>146.84</v>
      </c>
      <c r="D1407" s="8">
        <v>97.02</v>
      </c>
      <c r="E1407">
        <v>0</v>
      </c>
      <c r="G1407">
        <f t="shared" si="131"/>
        <v>98.829422031730402</v>
      </c>
      <c r="H1407">
        <f t="shared" si="132"/>
        <v>-1.8337018210111244E-2</v>
      </c>
      <c r="I1407">
        <f t="shared" si="133"/>
        <v>-1.8337018210111244E-2</v>
      </c>
      <c r="K1407">
        <f t="shared" si="134"/>
        <v>-2.6011560693641522E-2</v>
      </c>
      <c r="L1407">
        <f t="shared" si="135"/>
        <v>2.047222601337495E-3</v>
      </c>
      <c r="M1407">
        <f t="shared" si="136"/>
        <v>-2.6685393258427115E-2</v>
      </c>
    </row>
    <row r="1408" spans="1:13" x14ac:dyDescent="0.3">
      <c r="A1408" s="3">
        <v>44043</v>
      </c>
      <c r="B1408" s="8">
        <v>6.61</v>
      </c>
      <c r="C1408" s="8">
        <v>145.76</v>
      </c>
      <c r="D1408" s="8">
        <v>96.64</v>
      </c>
      <c r="E1408">
        <v>0</v>
      </c>
      <c r="G1408">
        <f t="shared" si="131"/>
        <v>99.268830088480598</v>
      </c>
      <c r="H1408">
        <f t="shared" si="132"/>
        <v>4.4461259381758378E-3</v>
      </c>
      <c r="I1408">
        <f t="shared" si="133"/>
        <v>4.4461259381758378E-3</v>
      </c>
      <c r="K1408">
        <f t="shared" si="134"/>
        <v>-1.9287833827893119E-2</v>
      </c>
      <c r="L1408">
        <f t="shared" si="135"/>
        <v>-7.3549441569055185E-3</v>
      </c>
      <c r="M1408">
        <f t="shared" si="136"/>
        <v>-3.9167182024324454E-3</v>
      </c>
    </row>
    <row r="1409" spans="1:13" x14ac:dyDescent="0.3">
      <c r="A1409" s="3">
        <v>44046</v>
      </c>
      <c r="B1409" s="8">
        <v>6.69</v>
      </c>
      <c r="C1409" s="8">
        <v>147.35</v>
      </c>
      <c r="D1409" s="8">
        <v>96.1</v>
      </c>
      <c r="E1409">
        <v>0</v>
      </c>
      <c r="G1409">
        <f t="shared" si="131"/>
        <v>100.48258847654503</v>
      </c>
      <c r="H1409">
        <f t="shared" si="132"/>
        <v>1.2226983908066424E-2</v>
      </c>
      <c r="I1409">
        <f t="shared" si="133"/>
        <v>1.2226983908066424E-2</v>
      </c>
      <c r="K1409">
        <f t="shared" si="134"/>
        <v>1.2102874432677879E-2</v>
      </c>
      <c r="L1409">
        <f t="shared" si="135"/>
        <v>1.0908342480790312E-2</v>
      </c>
      <c r="M1409">
        <f t="shared" si="136"/>
        <v>-5.5877483443709242E-3</v>
      </c>
    </row>
    <row r="1410" spans="1:13" x14ac:dyDescent="0.3">
      <c r="A1410" s="3">
        <v>44047</v>
      </c>
      <c r="B1410" s="8">
        <v>6.86</v>
      </c>
      <c r="C1410" s="8">
        <v>147.22</v>
      </c>
      <c r="D1410" s="8">
        <v>95.55</v>
      </c>
      <c r="E1410">
        <v>0</v>
      </c>
      <c r="G1410">
        <f t="shared" si="131"/>
        <v>100.00516475370166</v>
      </c>
      <c r="H1410">
        <f t="shared" si="132"/>
        <v>-4.7513079637155897E-3</v>
      </c>
      <c r="I1410">
        <f t="shared" si="133"/>
        <v>-4.7513079637155897E-3</v>
      </c>
      <c r="K1410">
        <f t="shared" si="134"/>
        <v>2.5411061285500747E-2</v>
      </c>
      <c r="L1410">
        <f t="shared" si="135"/>
        <v>-8.8225313878520506E-4</v>
      </c>
      <c r="M1410">
        <f t="shared" si="136"/>
        <v>-5.7232049947970598E-3</v>
      </c>
    </row>
    <row r="1411" spans="1:13" x14ac:dyDescent="0.3">
      <c r="A1411" s="3">
        <v>44048</v>
      </c>
      <c r="B1411" s="8">
        <v>6.96</v>
      </c>
      <c r="C1411" s="8">
        <v>148.4</v>
      </c>
      <c r="D1411" s="8">
        <v>97.21</v>
      </c>
      <c r="E1411">
        <v>0</v>
      </c>
      <c r="G1411">
        <f t="shared" si="131"/>
        <v>101.22244014869173</v>
      </c>
      <c r="H1411">
        <f t="shared" si="132"/>
        <v>1.2172125289609204E-2</v>
      </c>
      <c r="I1411">
        <f t="shared" si="133"/>
        <v>1.2172125289609204E-2</v>
      </c>
      <c r="K1411">
        <f t="shared" si="134"/>
        <v>1.4577259475218707E-2</v>
      </c>
      <c r="L1411">
        <f t="shared" si="135"/>
        <v>8.015215324004954E-3</v>
      </c>
      <c r="M1411">
        <f t="shared" si="136"/>
        <v>1.7373103087388708E-2</v>
      </c>
    </row>
    <row r="1412" spans="1:13" x14ac:dyDescent="0.3">
      <c r="A1412" s="3">
        <v>44049</v>
      </c>
      <c r="B1412" s="8">
        <v>6.93</v>
      </c>
      <c r="C1412" s="8">
        <v>147.55000000000001</v>
      </c>
      <c r="D1412" s="8">
        <v>97.24</v>
      </c>
      <c r="E1412">
        <v>0</v>
      </c>
      <c r="G1412">
        <f t="shared" si="131"/>
        <v>99.669233469886692</v>
      </c>
      <c r="H1412">
        <f t="shared" si="132"/>
        <v>-1.5344489586730403E-2</v>
      </c>
      <c r="I1412">
        <f t="shared" si="133"/>
        <v>-1.5344489586730403E-2</v>
      </c>
      <c r="K1412">
        <f t="shared" si="134"/>
        <v>-4.3103448275861878E-3</v>
      </c>
      <c r="L1412">
        <f t="shared" si="135"/>
        <v>-5.727762803234504E-3</v>
      </c>
      <c r="M1412">
        <f t="shared" si="136"/>
        <v>3.086102252853884E-4</v>
      </c>
    </row>
    <row r="1413" spans="1:13" x14ac:dyDescent="0.3">
      <c r="A1413" s="3">
        <v>44050</v>
      </c>
      <c r="B1413" s="8">
        <v>6.86</v>
      </c>
      <c r="C1413" s="8">
        <v>148.6</v>
      </c>
      <c r="D1413" s="8">
        <v>99.38</v>
      </c>
      <c r="E1413">
        <v>0</v>
      </c>
      <c r="G1413">
        <f t="shared" ref="G1413:G1476" si="137">$G$4*(B1413*$P$8/B1412 + C1413*$Q$8/C1412 + D1413*$R$8/D1412)</f>
        <v>101.09155252358082</v>
      </c>
      <c r="H1413">
        <f t="shared" ref="H1413:H1476" si="138">G1413/G1412-1</f>
        <v>1.4270392218114658E-2</v>
      </c>
      <c r="I1413">
        <f t="shared" si="133"/>
        <v>1.4270392218114658E-2</v>
      </c>
      <c r="K1413">
        <f t="shared" si="134"/>
        <v>-1.0101010101010055E-2</v>
      </c>
      <c r="L1413">
        <f t="shared" si="135"/>
        <v>7.1162317858350921E-3</v>
      </c>
      <c r="M1413">
        <f t="shared" si="136"/>
        <v>2.2007404360345539E-2</v>
      </c>
    </row>
    <row r="1414" spans="1:13" x14ac:dyDescent="0.3">
      <c r="A1414" s="3">
        <v>44053</v>
      </c>
      <c r="B1414" s="8">
        <v>7.09</v>
      </c>
      <c r="C1414" s="8">
        <v>148.03</v>
      </c>
      <c r="D1414" s="8">
        <v>100.64</v>
      </c>
      <c r="E1414">
        <v>0</v>
      </c>
      <c r="G1414">
        <f t="shared" si="137"/>
        <v>100.62945207795657</v>
      </c>
      <c r="H1414">
        <f t="shared" si="138"/>
        <v>-4.5711084070694241E-3</v>
      </c>
      <c r="I1414">
        <f t="shared" ref="I1414:I1477" si="139">H1414-E1414</f>
        <v>-4.5711084070694241E-3</v>
      </c>
      <c r="K1414">
        <f t="shared" ref="K1414:K1477" si="140">B1414/B1413-1</f>
        <v>3.3527696793002937E-2</v>
      </c>
      <c r="L1414">
        <f t="shared" ref="L1414:L1477" si="141">C1414/C1413-1</f>
        <v>-3.835800807536982E-3</v>
      </c>
      <c r="M1414">
        <f t="shared" ref="M1414:M1477" si="142">D1414/D1413-1</f>
        <v>1.2678607365667283E-2</v>
      </c>
    </row>
    <row r="1415" spans="1:13" x14ac:dyDescent="0.3">
      <c r="A1415" s="3">
        <v>44054</v>
      </c>
      <c r="B1415" s="8">
        <v>7.23</v>
      </c>
      <c r="C1415" s="8">
        <v>146.97</v>
      </c>
      <c r="D1415" s="8">
        <v>103.82</v>
      </c>
      <c r="E1415">
        <v>0</v>
      </c>
      <c r="G1415">
        <f t="shared" si="137"/>
        <v>101.02444013543888</v>
      </c>
      <c r="H1415">
        <f t="shared" si="138"/>
        <v>3.9251734887348899E-3</v>
      </c>
      <c r="I1415">
        <f t="shared" si="139"/>
        <v>3.9251734887348899E-3</v>
      </c>
      <c r="K1415">
        <f t="shared" si="140"/>
        <v>1.9746121297602448E-2</v>
      </c>
      <c r="L1415">
        <f t="shared" si="141"/>
        <v>-7.16071066675672E-3</v>
      </c>
      <c r="M1415">
        <f t="shared" si="142"/>
        <v>3.159777424483301E-2</v>
      </c>
    </row>
    <row r="1416" spans="1:13" x14ac:dyDescent="0.3">
      <c r="A1416" s="3">
        <v>44055</v>
      </c>
      <c r="B1416" s="8">
        <v>7.11</v>
      </c>
      <c r="C1416" s="8">
        <v>149.66</v>
      </c>
      <c r="D1416" s="8">
        <v>102.94</v>
      </c>
      <c r="E1416">
        <v>0</v>
      </c>
      <c r="G1416">
        <f t="shared" si="137"/>
        <v>100.45680844385072</v>
      </c>
      <c r="H1416">
        <f t="shared" si="138"/>
        <v>-5.6187561230447436E-3</v>
      </c>
      <c r="I1416">
        <f t="shared" si="139"/>
        <v>-5.6187561230447436E-3</v>
      </c>
      <c r="K1416">
        <f t="shared" si="140"/>
        <v>-1.6597510373444035E-2</v>
      </c>
      <c r="L1416">
        <f t="shared" si="141"/>
        <v>1.8303055045247207E-2</v>
      </c>
      <c r="M1416">
        <f t="shared" si="142"/>
        <v>-8.4762088229627386E-3</v>
      </c>
    </row>
    <row r="1417" spans="1:13" x14ac:dyDescent="0.3">
      <c r="A1417" s="3">
        <v>44056</v>
      </c>
      <c r="B1417" s="8">
        <v>7.03</v>
      </c>
      <c r="C1417" s="8">
        <v>148</v>
      </c>
      <c r="D1417" s="8">
        <v>102.37</v>
      </c>
      <c r="E1417">
        <v>0</v>
      </c>
      <c r="G1417">
        <f t="shared" si="137"/>
        <v>99.098168221178113</v>
      </c>
      <c r="H1417">
        <f t="shared" si="138"/>
        <v>-1.3524620617745398E-2</v>
      </c>
      <c r="I1417">
        <f t="shared" si="139"/>
        <v>-1.3524620617745398E-2</v>
      </c>
      <c r="K1417">
        <f t="shared" si="140"/>
        <v>-1.1251758087201136E-2</v>
      </c>
      <c r="L1417">
        <f t="shared" si="141"/>
        <v>-1.1091808098356304E-2</v>
      </c>
      <c r="M1417">
        <f t="shared" si="142"/>
        <v>-5.5372061394987071E-3</v>
      </c>
    </row>
    <row r="1418" spans="1:13" x14ac:dyDescent="0.3">
      <c r="A1418" s="3">
        <v>44057</v>
      </c>
      <c r="B1418" s="8">
        <v>7.04</v>
      </c>
      <c r="C1418" s="8">
        <v>148.24</v>
      </c>
      <c r="D1418" s="8">
        <v>102.41</v>
      </c>
      <c r="E1418">
        <v>0</v>
      </c>
      <c r="G1418">
        <f t="shared" si="137"/>
        <v>100.11375570837532</v>
      </c>
      <c r="H1418">
        <f t="shared" si="138"/>
        <v>1.0248297273573348E-2</v>
      </c>
      <c r="I1418">
        <f t="shared" si="139"/>
        <v>1.0248297273573348E-2</v>
      </c>
      <c r="K1418">
        <f t="shared" si="140"/>
        <v>1.4224751066855834E-3</v>
      </c>
      <c r="L1418">
        <f t="shared" si="141"/>
        <v>1.6216216216216051E-3</v>
      </c>
      <c r="M1418">
        <f t="shared" si="142"/>
        <v>3.9073947445533719E-4</v>
      </c>
    </row>
    <row r="1419" spans="1:13" x14ac:dyDescent="0.3">
      <c r="A1419" s="3">
        <v>44060</v>
      </c>
      <c r="B1419" s="8">
        <v>6.98</v>
      </c>
      <c r="C1419" s="8">
        <v>148.99</v>
      </c>
      <c r="D1419" s="8">
        <v>99.71</v>
      </c>
      <c r="E1419">
        <v>0</v>
      </c>
      <c r="G1419">
        <f t="shared" si="137"/>
        <v>99.181076555900219</v>
      </c>
      <c r="H1419">
        <f t="shared" si="138"/>
        <v>-9.3161938224746166E-3</v>
      </c>
      <c r="I1419">
        <f t="shared" si="139"/>
        <v>-9.3161938224746166E-3</v>
      </c>
      <c r="K1419">
        <f t="shared" si="140"/>
        <v>-8.5227272727271819E-3</v>
      </c>
      <c r="L1419">
        <f t="shared" si="141"/>
        <v>5.0593631948192552E-3</v>
      </c>
      <c r="M1419">
        <f t="shared" si="142"/>
        <v>-2.6364612830778289E-2</v>
      </c>
    </row>
    <row r="1420" spans="1:13" x14ac:dyDescent="0.3">
      <c r="A1420" s="3">
        <v>44061</v>
      </c>
      <c r="B1420" s="8">
        <v>6.89</v>
      </c>
      <c r="C1420" s="8">
        <v>150.09</v>
      </c>
      <c r="D1420" s="8">
        <v>98.32</v>
      </c>
      <c r="E1420">
        <v>0</v>
      </c>
      <c r="G1420">
        <f t="shared" si="137"/>
        <v>99.723372556972407</v>
      </c>
      <c r="H1420">
        <f t="shared" si="138"/>
        <v>5.4677365874984396E-3</v>
      </c>
      <c r="I1420">
        <f t="shared" si="139"/>
        <v>5.4677365874984396E-3</v>
      </c>
      <c r="K1420">
        <f t="shared" si="140"/>
        <v>-1.2893982808023008E-2</v>
      </c>
      <c r="L1420">
        <f t="shared" si="141"/>
        <v>7.3830458420027778E-3</v>
      </c>
      <c r="M1420">
        <f t="shared" si="142"/>
        <v>-1.3940427238993136E-2</v>
      </c>
    </row>
    <row r="1421" spans="1:13" x14ac:dyDescent="0.3">
      <c r="A1421" s="3">
        <v>44062</v>
      </c>
      <c r="B1421" s="8">
        <v>6.87</v>
      </c>
      <c r="C1421" s="8">
        <v>150.38999999999999</v>
      </c>
      <c r="D1421" s="8">
        <v>98.55</v>
      </c>
      <c r="E1421">
        <v>0</v>
      </c>
      <c r="G1421">
        <f t="shared" si="137"/>
        <v>100.16132394930099</v>
      </c>
      <c r="H1421">
        <f t="shared" si="138"/>
        <v>4.3916624668742799E-3</v>
      </c>
      <c r="I1421">
        <f t="shared" si="139"/>
        <v>4.3916624668742799E-3</v>
      </c>
      <c r="K1421">
        <f t="shared" si="140"/>
        <v>-2.9027576197386828E-3</v>
      </c>
      <c r="L1421">
        <f t="shared" si="141"/>
        <v>1.9988007195681501E-3</v>
      </c>
      <c r="M1421">
        <f t="shared" si="142"/>
        <v>2.3393002441010058E-3</v>
      </c>
    </row>
    <row r="1422" spans="1:13" x14ac:dyDescent="0.3">
      <c r="A1422" s="3">
        <v>44063</v>
      </c>
      <c r="B1422" s="8">
        <v>6.84</v>
      </c>
      <c r="C1422" s="8">
        <v>151.41999999999999</v>
      </c>
      <c r="D1422" s="8">
        <v>97.37</v>
      </c>
      <c r="E1422">
        <v>0</v>
      </c>
      <c r="G1422">
        <f t="shared" si="137"/>
        <v>99.859034088655264</v>
      </c>
      <c r="H1422">
        <f t="shared" si="138"/>
        <v>-3.0180298015902718E-3</v>
      </c>
      <c r="I1422">
        <f t="shared" si="139"/>
        <v>-3.0180298015902718E-3</v>
      </c>
      <c r="K1422">
        <f t="shared" si="140"/>
        <v>-4.366812227074246E-3</v>
      </c>
      <c r="L1422">
        <f t="shared" si="141"/>
        <v>6.8488596316245154E-3</v>
      </c>
      <c r="M1422">
        <f t="shared" si="142"/>
        <v>-1.1973617453069463E-2</v>
      </c>
    </row>
    <row r="1423" spans="1:13" x14ac:dyDescent="0.3">
      <c r="A1423" s="3">
        <v>44064</v>
      </c>
      <c r="B1423" s="8">
        <v>6.66</v>
      </c>
      <c r="C1423" s="8">
        <v>152.76</v>
      </c>
      <c r="D1423" s="8">
        <v>97.32</v>
      </c>
      <c r="E1423">
        <v>0</v>
      </c>
      <c r="G1423">
        <f t="shared" si="137"/>
        <v>100.16407315398486</v>
      </c>
      <c r="H1423">
        <f t="shared" si="138"/>
        <v>3.0546967343862974E-3</v>
      </c>
      <c r="I1423">
        <f t="shared" si="139"/>
        <v>3.0546967343862974E-3</v>
      </c>
      <c r="K1423">
        <f t="shared" si="140"/>
        <v>-2.6315789473684181E-2</v>
      </c>
      <c r="L1423">
        <f t="shared" si="141"/>
        <v>8.8495575221239076E-3</v>
      </c>
      <c r="M1423">
        <f t="shared" si="142"/>
        <v>-5.1350518640247422E-4</v>
      </c>
    </row>
    <row r="1424" spans="1:13" x14ac:dyDescent="0.3">
      <c r="A1424" s="3">
        <v>44067</v>
      </c>
      <c r="B1424" s="8">
        <v>6.98</v>
      </c>
      <c r="C1424" s="8">
        <v>152.15</v>
      </c>
      <c r="D1424" s="8">
        <v>100.06</v>
      </c>
      <c r="E1424">
        <v>0</v>
      </c>
      <c r="G1424">
        <f t="shared" si="137"/>
        <v>101.35583710964615</v>
      </c>
      <c r="H1424">
        <f t="shared" si="138"/>
        <v>1.1898117939245001E-2</v>
      </c>
      <c r="I1424">
        <f t="shared" si="139"/>
        <v>1.1898117939245001E-2</v>
      </c>
      <c r="K1424">
        <f t="shared" si="140"/>
        <v>4.8048048048048075E-2</v>
      </c>
      <c r="L1424">
        <f t="shared" si="141"/>
        <v>-3.9931919350614242E-3</v>
      </c>
      <c r="M1424">
        <f t="shared" si="142"/>
        <v>2.8154541718043768E-2</v>
      </c>
    </row>
    <row r="1425" spans="1:13" x14ac:dyDescent="0.3">
      <c r="A1425" s="3">
        <v>44068</v>
      </c>
      <c r="B1425" s="8">
        <v>6.94</v>
      </c>
      <c r="C1425" s="8">
        <v>152.06</v>
      </c>
      <c r="D1425" s="8">
        <v>100.5</v>
      </c>
      <c r="E1425">
        <v>0</v>
      </c>
      <c r="G1425">
        <f t="shared" si="137"/>
        <v>100.07472526126793</v>
      </c>
      <c r="H1425">
        <f t="shared" si="138"/>
        <v>-1.2639744142138754E-2</v>
      </c>
      <c r="I1425">
        <f t="shared" si="139"/>
        <v>-1.2639744142138754E-2</v>
      </c>
      <c r="K1425">
        <f t="shared" si="140"/>
        <v>-5.7306590257879542E-3</v>
      </c>
      <c r="L1425">
        <f t="shared" si="141"/>
        <v>-5.9152152481101172E-4</v>
      </c>
      <c r="M1425">
        <f t="shared" si="142"/>
        <v>4.3973615830501522E-3</v>
      </c>
    </row>
    <row r="1426" spans="1:13" x14ac:dyDescent="0.3">
      <c r="A1426" s="3">
        <v>44069</v>
      </c>
      <c r="B1426" s="8">
        <v>6.82</v>
      </c>
      <c r="C1426" s="8">
        <v>152.30000000000001</v>
      </c>
      <c r="D1426" s="8">
        <v>99.09</v>
      </c>
      <c r="E1426">
        <v>0</v>
      </c>
      <c r="G1426">
        <f t="shared" si="137"/>
        <v>99.372725279755713</v>
      </c>
      <c r="H1426">
        <f t="shared" si="138"/>
        <v>-7.014758018865197E-3</v>
      </c>
      <c r="I1426">
        <f t="shared" si="139"/>
        <v>-7.014758018865197E-3</v>
      </c>
      <c r="K1426">
        <f t="shared" si="140"/>
        <v>-1.729106628242072E-2</v>
      </c>
      <c r="L1426">
        <f t="shared" si="141"/>
        <v>1.5783243456530816E-3</v>
      </c>
      <c r="M1426">
        <f t="shared" si="142"/>
        <v>-1.4029850746268613E-2</v>
      </c>
    </row>
    <row r="1427" spans="1:13" x14ac:dyDescent="0.3">
      <c r="A1427" s="3">
        <v>44070</v>
      </c>
      <c r="B1427" s="8">
        <v>6.91</v>
      </c>
      <c r="C1427" s="8">
        <v>152.97999999999999</v>
      </c>
      <c r="D1427" s="8">
        <v>102.35</v>
      </c>
      <c r="E1427">
        <v>0</v>
      </c>
      <c r="G1427">
        <f t="shared" si="137"/>
        <v>101.60801622191573</v>
      </c>
      <c r="H1427">
        <f t="shared" si="138"/>
        <v>2.2494008651440245E-2</v>
      </c>
      <c r="I1427">
        <f t="shared" si="139"/>
        <v>2.2494008651440245E-2</v>
      </c>
      <c r="K1427">
        <f t="shared" si="140"/>
        <v>1.3196480938416411E-2</v>
      </c>
      <c r="L1427">
        <f t="shared" si="141"/>
        <v>4.4648719632303102E-3</v>
      </c>
      <c r="M1427">
        <f t="shared" si="142"/>
        <v>3.2899384398021869E-2</v>
      </c>
    </row>
    <row r="1428" spans="1:13" x14ac:dyDescent="0.3">
      <c r="A1428" s="3">
        <v>44071</v>
      </c>
      <c r="B1428" s="8">
        <v>6.94</v>
      </c>
      <c r="C1428" s="8">
        <v>153.63999999999999</v>
      </c>
      <c r="D1428" s="8">
        <v>102.77</v>
      </c>
      <c r="E1428">
        <v>0</v>
      </c>
      <c r="G1428">
        <f t="shared" si="137"/>
        <v>100.42378474297524</v>
      </c>
      <c r="H1428">
        <f t="shared" si="138"/>
        <v>-1.1654902073416018E-2</v>
      </c>
      <c r="I1428">
        <f t="shared" si="139"/>
        <v>-1.1654902073416018E-2</v>
      </c>
      <c r="K1428">
        <f t="shared" si="140"/>
        <v>4.3415340086832011E-3</v>
      </c>
      <c r="L1428">
        <f t="shared" si="141"/>
        <v>4.3142894496013273E-3</v>
      </c>
      <c r="M1428">
        <f t="shared" si="142"/>
        <v>4.1035661944308632E-3</v>
      </c>
    </row>
    <row r="1429" spans="1:13" x14ac:dyDescent="0.3">
      <c r="A1429" s="3">
        <v>44074</v>
      </c>
      <c r="B1429" s="8">
        <v>6.82</v>
      </c>
      <c r="C1429" s="8">
        <v>153.41</v>
      </c>
      <c r="D1429" s="8">
        <v>100.19</v>
      </c>
      <c r="E1429">
        <v>0</v>
      </c>
      <c r="G1429">
        <f t="shared" si="137"/>
        <v>98.796396023789598</v>
      </c>
      <c r="H1429">
        <f t="shared" si="138"/>
        <v>-1.6205211975935607E-2</v>
      </c>
      <c r="I1429">
        <f t="shared" si="139"/>
        <v>-1.6205211975935607E-2</v>
      </c>
      <c r="K1429">
        <f t="shared" si="140"/>
        <v>-1.729106628242072E-2</v>
      </c>
      <c r="L1429">
        <f t="shared" si="141"/>
        <v>-1.4970059880239361E-3</v>
      </c>
      <c r="M1429">
        <f t="shared" si="142"/>
        <v>-2.5104602510460206E-2</v>
      </c>
    </row>
    <row r="1430" spans="1:13" x14ac:dyDescent="0.3">
      <c r="A1430" s="3">
        <v>44075</v>
      </c>
      <c r="B1430" s="8">
        <v>6.83</v>
      </c>
      <c r="C1430" s="8">
        <v>151.52000000000001</v>
      </c>
      <c r="D1430" s="8">
        <v>100.14</v>
      </c>
      <c r="E1430">
        <v>0</v>
      </c>
      <c r="G1430">
        <f t="shared" si="137"/>
        <v>99.35732150457244</v>
      </c>
      <c r="H1430">
        <f t="shared" si="138"/>
        <v>5.6775905129957671E-3</v>
      </c>
      <c r="I1430">
        <f t="shared" si="139"/>
        <v>5.6775905129957671E-3</v>
      </c>
      <c r="K1430">
        <f t="shared" si="140"/>
        <v>1.4662756598240456E-3</v>
      </c>
      <c r="L1430">
        <f t="shared" si="141"/>
        <v>-1.2319926993025088E-2</v>
      </c>
      <c r="M1430">
        <f t="shared" si="142"/>
        <v>-4.9905180157694407E-4</v>
      </c>
    </row>
    <row r="1431" spans="1:13" x14ac:dyDescent="0.3">
      <c r="A1431" s="3">
        <v>44076</v>
      </c>
      <c r="B1431" s="8">
        <v>6.95</v>
      </c>
      <c r="C1431" s="8">
        <v>153.83000000000001</v>
      </c>
      <c r="D1431" s="8">
        <v>101.65</v>
      </c>
      <c r="E1431">
        <v>0</v>
      </c>
      <c r="G1431">
        <f t="shared" si="137"/>
        <v>101.5426374509218</v>
      </c>
      <c r="H1431">
        <f t="shared" si="138"/>
        <v>2.1994513471750521E-2</v>
      </c>
      <c r="I1431">
        <f t="shared" si="139"/>
        <v>2.1994513471750521E-2</v>
      </c>
      <c r="K1431">
        <f t="shared" si="140"/>
        <v>1.7569546120058677E-2</v>
      </c>
      <c r="L1431">
        <f t="shared" si="141"/>
        <v>1.5245512143611473E-2</v>
      </c>
      <c r="M1431">
        <f t="shared" si="142"/>
        <v>1.5078889554623665E-2</v>
      </c>
    </row>
    <row r="1432" spans="1:13" x14ac:dyDescent="0.3">
      <c r="A1432" s="3">
        <v>44077</v>
      </c>
      <c r="B1432" s="8">
        <v>6.82</v>
      </c>
      <c r="C1432" s="8">
        <v>149.55000000000001</v>
      </c>
      <c r="D1432" s="8">
        <v>101.33</v>
      </c>
      <c r="E1432">
        <v>0</v>
      </c>
      <c r="G1432">
        <f t="shared" si="137"/>
        <v>98.241805754971281</v>
      </c>
      <c r="H1432">
        <f t="shared" si="138"/>
        <v>-3.2506854054740297E-2</v>
      </c>
      <c r="I1432">
        <f t="shared" si="139"/>
        <v>-3.2506854054740297E-2</v>
      </c>
      <c r="K1432">
        <f t="shared" si="140"/>
        <v>-1.8705035971222972E-2</v>
      </c>
      <c r="L1432">
        <f t="shared" si="141"/>
        <v>-2.7822921406747692E-2</v>
      </c>
      <c r="M1432">
        <f t="shared" si="142"/>
        <v>-3.1480570585342704E-3</v>
      </c>
    </row>
    <row r="1433" spans="1:13" x14ac:dyDescent="0.3">
      <c r="A1433" s="3">
        <v>44078</v>
      </c>
      <c r="B1433" s="8">
        <v>6.9</v>
      </c>
      <c r="C1433" s="8">
        <v>148.59</v>
      </c>
      <c r="D1433" s="8">
        <v>103.52</v>
      </c>
      <c r="E1433">
        <v>0</v>
      </c>
      <c r="G1433">
        <f t="shared" si="137"/>
        <v>100.60315046877091</v>
      </c>
      <c r="H1433">
        <f t="shared" si="138"/>
        <v>2.4036047542623118E-2</v>
      </c>
      <c r="I1433">
        <f t="shared" si="139"/>
        <v>2.4036047542623118E-2</v>
      </c>
      <c r="K1433">
        <f t="shared" si="140"/>
        <v>1.1730205278592365E-2</v>
      </c>
      <c r="L1433">
        <f t="shared" si="141"/>
        <v>-6.4192577733199752E-3</v>
      </c>
      <c r="M1433">
        <f t="shared" si="142"/>
        <v>2.1612553044507932E-2</v>
      </c>
    </row>
    <row r="1434" spans="1:13" x14ac:dyDescent="0.3">
      <c r="A1434" s="3">
        <v>44082</v>
      </c>
      <c r="B1434" s="8">
        <v>7.03</v>
      </c>
      <c r="C1434" s="8">
        <v>147.26</v>
      </c>
      <c r="D1434" s="8">
        <v>99.92</v>
      </c>
      <c r="E1434">
        <v>0</v>
      </c>
      <c r="G1434">
        <f t="shared" si="137"/>
        <v>98.42435542099193</v>
      </c>
      <c r="H1434">
        <f t="shared" si="138"/>
        <v>-2.1657324225202168E-2</v>
      </c>
      <c r="I1434">
        <f t="shared" si="139"/>
        <v>-2.1657324225202168E-2</v>
      </c>
      <c r="K1434">
        <f t="shared" si="140"/>
        <v>1.8840579710144967E-2</v>
      </c>
      <c r="L1434">
        <f t="shared" si="141"/>
        <v>-8.9508042263948262E-3</v>
      </c>
      <c r="M1434">
        <f t="shared" si="142"/>
        <v>-3.4775888717156089E-2</v>
      </c>
    </row>
    <row r="1435" spans="1:13" x14ac:dyDescent="0.3">
      <c r="A1435" s="3">
        <v>44083</v>
      </c>
      <c r="B1435" s="8">
        <v>6.97</v>
      </c>
      <c r="C1435" s="8">
        <v>149.69999999999999</v>
      </c>
      <c r="D1435" s="8">
        <v>100.87</v>
      </c>
      <c r="E1435">
        <v>0</v>
      </c>
      <c r="G1435">
        <f t="shared" si="137"/>
        <v>101.12809564959741</v>
      </c>
      <c r="H1435">
        <f t="shared" si="138"/>
        <v>2.747023556355277E-2</v>
      </c>
      <c r="I1435">
        <f t="shared" si="139"/>
        <v>2.747023556355277E-2</v>
      </c>
      <c r="K1435">
        <f t="shared" si="140"/>
        <v>-8.5348506401138335E-3</v>
      </c>
      <c r="L1435">
        <f t="shared" si="141"/>
        <v>1.6569333152247623E-2</v>
      </c>
      <c r="M1435">
        <f t="shared" si="142"/>
        <v>9.5076060848680033E-3</v>
      </c>
    </row>
    <row r="1436" spans="1:13" x14ac:dyDescent="0.3">
      <c r="A1436" s="3">
        <v>44084</v>
      </c>
      <c r="B1436" s="8">
        <v>6.91</v>
      </c>
      <c r="C1436" s="8">
        <v>146.91</v>
      </c>
      <c r="D1436" s="8">
        <v>99.83</v>
      </c>
      <c r="E1436">
        <v>0</v>
      </c>
      <c r="G1436">
        <f t="shared" si="137"/>
        <v>98.554730839921902</v>
      </c>
      <c r="H1436">
        <f t="shared" si="138"/>
        <v>-2.5446586264138316E-2</v>
      </c>
      <c r="I1436">
        <f t="shared" si="139"/>
        <v>-2.5446586264138316E-2</v>
      </c>
      <c r="K1436">
        <f t="shared" si="140"/>
        <v>-8.6083213773313627E-3</v>
      </c>
      <c r="L1436">
        <f t="shared" si="141"/>
        <v>-1.8637274549098137E-2</v>
      </c>
      <c r="M1436">
        <f t="shared" si="142"/>
        <v>-1.0310300386636273E-2</v>
      </c>
    </row>
    <row r="1437" spans="1:13" x14ac:dyDescent="0.3">
      <c r="A1437" s="3">
        <v>44085</v>
      </c>
      <c r="B1437" s="8">
        <v>7</v>
      </c>
      <c r="C1437" s="8">
        <v>147.78</v>
      </c>
      <c r="D1437" s="8">
        <v>101.07</v>
      </c>
      <c r="E1437">
        <v>0</v>
      </c>
      <c r="G1437">
        <f t="shared" si="137"/>
        <v>100.91120492318801</v>
      </c>
      <c r="H1437">
        <f t="shared" si="138"/>
        <v>2.3910309156986331E-2</v>
      </c>
      <c r="I1437">
        <f t="shared" si="139"/>
        <v>2.3910309156986331E-2</v>
      </c>
      <c r="K1437">
        <f t="shared" si="140"/>
        <v>1.3024602026049159E-2</v>
      </c>
      <c r="L1437">
        <f t="shared" si="141"/>
        <v>5.9219930569736068E-3</v>
      </c>
      <c r="M1437">
        <f t="shared" si="142"/>
        <v>1.2421115897024881E-2</v>
      </c>
    </row>
    <row r="1438" spans="1:13" x14ac:dyDescent="0.3">
      <c r="A1438" s="3">
        <v>44088</v>
      </c>
      <c r="B1438" s="8">
        <v>7.12</v>
      </c>
      <c r="C1438" s="8">
        <v>148.35</v>
      </c>
      <c r="D1438" s="8">
        <v>102.47</v>
      </c>
      <c r="E1438">
        <v>0</v>
      </c>
      <c r="G1438">
        <f t="shared" si="137"/>
        <v>100.90105726487893</v>
      </c>
      <c r="H1438">
        <f t="shared" si="138"/>
        <v>-1.0056027293303682E-4</v>
      </c>
      <c r="I1438">
        <f t="shared" si="139"/>
        <v>-1.0056027293303682E-4</v>
      </c>
      <c r="K1438">
        <f t="shared" si="140"/>
        <v>1.7142857142857126E-2</v>
      </c>
      <c r="L1438">
        <f t="shared" si="141"/>
        <v>3.857084855866777E-3</v>
      </c>
      <c r="M1438">
        <f t="shared" si="142"/>
        <v>1.3851785890966806E-2</v>
      </c>
    </row>
    <row r="1439" spans="1:13" x14ac:dyDescent="0.3">
      <c r="A1439" s="3">
        <v>44089</v>
      </c>
      <c r="B1439" s="8">
        <v>7.04</v>
      </c>
      <c r="C1439" s="8">
        <v>148.88999999999999</v>
      </c>
      <c r="D1439" s="8">
        <v>99.28</v>
      </c>
      <c r="E1439">
        <v>0</v>
      </c>
      <c r="G1439">
        <f t="shared" si="137"/>
        <v>98.899628042847326</v>
      </c>
      <c r="H1439">
        <f t="shared" si="138"/>
        <v>-1.9835562443885846E-2</v>
      </c>
      <c r="I1439">
        <f t="shared" si="139"/>
        <v>-1.9835562443885846E-2</v>
      </c>
      <c r="K1439">
        <f t="shared" si="140"/>
        <v>-1.1235955056179803E-2</v>
      </c>
      <c r="L1439">
        <f t="shared" si="141"/>
        <v>3.640040444893744E-3</v>
      </c>
      <c r="M1439">
        <f t="shared" si="142"/>
        <v>-3.1131062750073157E-2</v>
      </c>
    </row>
    <row r="1440" spans="1:13" x14ac:dyDescent="0.3">
      <c r="A1440" s="3">
        <v>44090</v>
      </c>
      <c r="B1440" s="8">
        <v>7.02</v>
      </c>
      <c r="C1440" s="8">
        <v>148.4</v>
      </c>
      <c r="D1440" s="8">
        <v>99.7</v>
      </c>
      <c r="E1440">
        <v>0</v>
      </c>
      <c r="G1440">
        <f t="shared" si="137"/>
        <v>99.958656202552007</v>
      </c>
      <c r="H1440">
        <f t="shared" si="138"/>
        <v>1.0708110643711022E-2</v>
      </c>
      <c r="I1440">
        <f t="shared" si="139"/>
        <v>1.0708110643711022E-2</v>
      </c>
      <c r="K1440">
        <f t="shared" si="140"/>
        <v>-2.8409090909091717E-3</v>
      </c>
      <c r="L1440">
        <f t="shared" si="141"/>
        <v>-3.2910202162669266E-3</v>
      </c>
      <c r="M1440">
        <f t="shared" si="142"/>
        <v>4.2304593070106034E-3</v>
      </c>
    </row>
    <row r="1441" spans="1:13" x14ac:dyDescent="0.3">
      <c r="A1441" s="3">
        <v>44091</v>
      </c>
      <c r="B1441" s="8">
        <v>7.28</v>
      </c>
      <c r="C1441" s="8">
        <v>147.16999999999999</v>
      </c>
      <c r="D1441" s="8">
        <v>98.56</v>
      </c>
      <c r="E1441">
        <v>0</v>
      </c>
      <c r="G1441">
        <f t="shared" si="137"/>
        <v>99.527797043151352</v>
      </c>
      <c r="H1441">
        <f t="shared" si="138"/>
        <v>-4.3103736661643799E-3</v>
      </c>
      <c r="I1441">
        <f t="shared" si="139"/>
        <v>-4.3103736661643799E-3</v>
      </c>
      <c r="K1441">
        <f t="shared" si="140"/>
        <v>3.7037037037037202E-2</v>
      </c>
      <c r="L1441">
        <f t="shared" si="141"/>
        <v>-8.2884097035041959E-3</v>
      </c>
      <c r="M1441">
        <f t="shared" si="142"/>
        <v>-1.1434302908726157E-2</v>
      </c>
    </row>
    <row r="1442" spans="1:13" x14ac:dyDescent="0.3">
      <c r="A1442" s="3">
        <v>44092</v>
      </c>
      <c r="B1442" s="8">
        <v>7.23</v>
      </c>
      <c r="C1442" s="8">
        <v>149.18</v>
      </c>
      <c r="D1442" s="8">
        <v>98.35</v>
      </c>
      <c r="E1442">
        <v>0</v>
      </c>
      <c r="G1442">
        <f t="shared" si="137"/>
        <v>100.55652028622495</v>
      </c>
      <c r="H1442">
        <f t="shared" si="138"/>
        <v>1.0336039514946549E-2</v>
      </c>
      <c r="I1442">
        <f t="shared" si="139"/>
        <v>1.0336039514946549E-2</v>
      </c>
      <c r="K1442">
        <f t="shared" si="140"/>
        <v>-6.8681318681318437E-3</v>
      </c>
      <c r="L1442">
        <f t="shared" si="141"/>
        <v>1.3657674797852959E-2</v>
      </c>
      <c r="M1442">
        <f t="shared" si="142"/>
        <v>-2.1306818181818787E-3</v>
      </c>
    </row>
    <row r="1443" spans="1:13" x14ac:dyDescent="0.3">
      <c r="A1443" s="3">
        <v>44095</v>
      </c>
      <c r="B1443" s="8">
        <v>6.87</v>
      </c>
      <c r="C1443" s="8">
        <v>145.1</v>
      </c>
      <c r="D1443" s="8">
        <v>95.31</v>
      </c>
      <c r="E1443">
        <v>0</v>
      </c>
      <c r="G1443">
        <f t="shared" si="137"/>
        <v>96.895855454131109</v>
      </c>
      <c r="H1443">
        <f t="shared" si="138"/>
        <v>-3.6404052384411245E-2</v>
      </c>
      <c r="I1443">
        <f t="shared" si="139"/>
        <v>-3.6404052384411245E-2</v>
      </c>
      <c r="K1443">
        <f t="shared" si="140"/>
        <v>-4.9792531120331995E-2</v>
      </c>
      <c r="L1443">
        <f t="shared" si="141"/>
        <v>-2.7349510658265297E-2</v>
      </c>
      <c r="M1443">
        <f t="shared" si="142"/>
        <v>-3.0910015251652156E-2</v>
      </c>
    </row>
    <row r="1444" spans="1:13" x14ac:dyDescent="0.3">
      <c r="A1444" s="3">
        <v>44096</v>
      </c>
      <c r="B1444" s="8">
        <v>6.78</v>
      </c>
      <c r="C1444" s="8">
        <v>144.21</v>
      </c>
      <c r="D1444" s="8">
        <v>94.27</v>
      </c>
      <c r="E1444">
        <v>0</v>
      </c>
      <c r="G1444">
        <f t="shared" si="137"/>
        <v>99.133813600317254</v>
      </c>
      <c r="H1444">
        <f t="shared" si="138"/>
        <v>2.3096531174602752E-2</v>
      </c>
      <c r="I1444">
        <f t="shared" si="139"/>
        <v>2.3096531174602752E-2</v>
      </c>
      <c r="K1444">
        <f t="shared" si="140"/>
        <v>-1.3100436681222738E-2</v>
      </c>
      <c r="L1444">
        <f t="shared" si="141"/>
        <v>-6.1337008959337913E-3</v>
      </c>
      <c r="M1444">
        <f t="shared" si="142"/>
        <v>-1.0911761619976978E-2</v>
      </c>
    </row>
    <row r="1445" spans="1:13" x14ac:dyDescent="0.3">
      <c r="A1445" s="3">
        <v>44097</v>
      </c>
      <c r="B1445" s="8">
        <v>6.64</v>
      </c>
      <c r="C1445" s="8">
        <v>144.44</v>
      </c>
      <c r="D1445" s="8">
        <v>92.74</v>
      </c>
      <c r="E1445">
        <v>0</v>
      </c>
      <c r="G1445">
        <f t="shared" si="137"/>
        <v>99.25560057087128</v>
      </c>
      <c r="H1445">
        <f t="shared" si="138"/>
        <v>1.228510899873525E-3</v>
      </c>
      <c r="I1445">
        <f t="shared" si="139"/>
        <v>1.228510899873525E-3</v>
      </c>
      <c r="K1445">
        <f t="shared" si="140"/>
        <v>-2.0648967551622488E-2</v>
      </c>
      <c r="L1445">
        <f t="shared" si="141"/>
        <v>1.5948963317382603E-3</v>
      </c>
      <c r="M1445">
        <f t="shared" si="142"/>
        <v>-1.6229977723560052E-2</v>
      </c>
    </row>
    <row r="1446" spans="1:13" x14ac:dyDescent="0.3">
      <c r="A1446" s="3">
        <v>44098</v>
      </c>
      <c r="B1446" s="8">
        <v>6.66</v>
      </c>
      <c r="C1446" s="8">
        <v>144.66999999999999</v>
      </c>
      <c r="D1446" s="8">
        <v>92.66</v>
      </c>
      <c r="E1446">
        <v>0</v>
      </c>
      <c r="G1446">
        <f t="shared" si="137"/>
        <v>100.08173083300933</v>
      </c>
      <c r="H1446">
        <f t="shared" si="138"/>
        <v>8.3232609282151149E-3</v>
      </c>
      <c r="I1446">
        <f t="shared" si="139"/>
        <v>8.3232609282151149E-3</v>
      </c>
      <c r="K1446">
        <f t="shared" si="140"/>
        <v>3.0120481927711218E-3</v>
      </c>
      <c r="L1446">
        <f t="shared" si="141"/>
        <v>1.5923566878979223E-3</v>
      </c>
      <c r="M1446">
        <f t="shared" si="142"/>
        <v>-8.6262669829628713E-4</v>
      </c>
    </row>
    <row r="1447" spans="1:13" x14ac:dyDescent="0.3">
      <c r="A1447" s="3">
        <v>44099</v>
      </c>
      <c r="B1447" s="8">
        <v>6.51</v>
      </c>
      <c r="C1447" s="8">
        <v>145.66</v>
      </c>
      <c r="D1447" s="8">
        <v>93.47</v>
      </c>
      <c r="E1447">
        <v>0</v>
      </c>
      <c r="G1447">
        <f t="shared" si="137"/>
        <v>100.44799845007198</v>
      </c>
      <c r="H1447">
        <f t="shared" si="138"/>
        <v>3.6596850795254099E-3</v>
      </c>
      <c r="I1447">
        <f t="shared" si="139"/>
        <v>3.6596850795254099E-3</v>
      </c>
      <c r="K1447">
        <f t="shared" si="140"/>
        <v>-2.2522522522522626E-2</v>
      </c>
      <c r="L1447">
        <f t="shared" si="141"/>
        <v>6.8431602958458626E-3</v>
      </c>
      <c r="M1447">
        <f t="shared" si="142"/>
        <v>8.741636088927196E-3</v>
      </c>
    </row>
    <row r="1448" spans="1:13" x14ac:dyDescent="0.3">
      <c r="A1448" s="3">
        <v>44102</v>
      </c>
      <c r="B1448" s="8">
        <v>6.69</v>
      </c>
      <c r="C1448" s="8">
        <v>147.11000000000001</v>
      </c>
      <c r="D1448" s="8">
        <v>96.16</v>
      </c>
      <c r="E1448">
        <v>0</v>
      </c>
      <c r="G1448">
        <f t="shared" si="137"/>
        <v>101.88930630981467</v>
      </c>
      <c r="H1448">
        <f t="shared" si="138"/>
        <v>1.4348796212789727E-2</v>
      </c>
      <c r="I1448">
        <f t="shared" si="139"/>
        <v>1.4348796212789727E-2</v>
      </c>
      <c r="K1448">
        <f t="shared" si="140"/>
        <v>2.7649769585253559E-2</v>
      </c>
      <c r="L1448">
        <f t="shared" si="141"/>
        <v>9.9546890017851997E-3</v>
      </c>
      <c r="M1448">
        <f t="shared" si="142"/>
        <v>2.877928747191616E-2</v>
      </c>
    </row>
    <row r="1449" spans="1:13" x14ac:dyDescent="0.3">
      <c r="A1449" s="3">
        <v>44103</v>
      </c>
      <c r="B1449" s="8">
        <v>6.6</v>
      </c>
      <c r="C1449" s="8">
        <v>147.06</v>
      </c>
      <c r="D1449" s="8">
        <v>95.35</v>
      </c>
      <c r="E1449">
        <v>0</v>
      </c>
      <c r="G1449">
        <f t="shared" si="137"/>
        <v>99.524390862659473</v>
      </c>
      <c r="H1449">
        <f t="shared" si="138"/>
        <v>-2.3210634489592152E-2</v>
      </c>
      <c r="I1449">
        <f t="shared" si="139"/>
        <v>-2.3210634489592152E-2</v>
      </c>
      <c r="K1449">
        <f t="shared" si="140"/>
        <v>-1.3452914798206428E-2</v>
      </c>
      <c r="L1449">
        <f t="shared" si="141"/>
        <v>-3.3988172116106163E-4</v>
      </c>
      <c r="M1449">
        <f t="shared" si="142"/>
        <v>-8.4234608985025439E-3</v>
      </c>
    </row>
    <row r="1450" spans="1:13" x14ac:dyDescent="0.3">
      <c r="A1450" s="3">
        <v>44104</v>
      </c>
      <c r="B1450" s="8">
        <v>6.66</v>
      </c>
      <c r="C1450" s="8">
        <v>148.88</v>
      </c>
      <c r="D1450" s="8">
        <v>96.27</v>
      </c>
      <c r="E1450">
        <v>0</v>
      </c>
      <c r="G1450">
        <f t="shared" si="137"/>
        <v>101.10053386535083</v>
      </c>
      <c r="H1450">
        <f t="shared" si="138"/>
        <v>1.5836751062022314E-2</v>
      </c>
      <c r="I1450">
        <f t="shared" si="139"/>
        <v>1.5836751062022314E-2</v>
      </c>
      <c r="K1450">
        <f t="shared" si="140"/>
        <v>9.0909090909092605E-3</v>
      </c>
      <c r="L1450">
        <f t="shared" si="141"/>
        <v>1.2375900992791955E-2</v>
      </c>
      <c r="M1450">
        <f t="shared" si="142"/>
        <v>9.64866282118515E-3</v>
      </c>
    </row>
    <row r="1451" spans="1:13" x14ac:dyDescent="0.3">
      <c r="A1451" s="3">
        <v>44105</v>
      </c>
      <c r="B1451" s="8">
        <v>6.75</v>
      </c>
      <c r="C1451" s="8">
        <v>147.32</v>
      </c>
      <c r="D1451" s="8">
        <v>96.97</v>
      </c>
      <c r="E1451">
        <v>0</v>
      </c>
      <c r="G1451">
        <f t="shared" si="137"/>
        <v>99.871545435635142</v>
      </c>
      <c r="H1451">
        <f t="shared" si="138"/>
        <v>-1.2156102274914704E-2</v>
      </c>
      <c r="I1451">
        <f t="shared" si="139"/>
        <v>-1.2156102274914704E-2</v>
      </c>
      <c r="K1451">
        <f t="shared" si="140"/>
        <v>1.3513513513513598E-2</v>
      </c>
      <c r="L1451">
        <f t="shared" si="141"/>
        <v>-1.0478237506716837E-2</v>
      </c>
      <c r="M1451">
        <f t="shared" si="142"/>
        <v>7.2712163706243338E-3</v>
      </c>
    </row>
    <row r="1452" spans="1:13" x14ac:dyDescent="0.3">
      <c r="A1452" s="3">
        <v>44106</v>
      </c>
      <c r="B1452" s="8">
        <v>6.89</v>
      </c>
      <c r="C1452" s="8">
        <v>146.24</v>
      </c>
      <c r="D1452" s="8">
        <v>97.89</v>
      </c>
      <c r="E1452">
        <v>0</v>
      </c>
      <c r="G1452">
        <f t="shared" si="137"/>
        <v>100.19399559193656</v>
      </c>
      <c r="H1452">
        <f t="shared" si="138"/>
        <v>3.2286489099062621E-3</v>
      </c>
      <c r="I1452">
        <f t="shared" si="139"/>
        <v>3.2286489099062621E-3</v>
      </c>
      <c r="K1452">
        <f t="shared" si="140"/>
        <v>2.0740740740740726E-2</v>
      </c>
      <c r="L1452">
        <f t="shared" si="141"/>
        <v>-7.3309801792016405E-3</v>
      </c>
      <c r="M1452">
        <f t="shared" si="142"/>
        <v>9.4874703516552028E-3</v>
      </c>
    </row>
    <row r="1453" spans="1:13" x14ac:dyDescent="0.3">
      <c r="A1453" s="3">
        <v>44109</v>
      </c>
      <c r="B1453" s="8">
        <v>7.02</v>
      </c>
      <c r="C1453" s="8">
        <v>148.22999999999999</v>
      </c>
      <c r="D1453" s="8">
        <v>99.04</v>
      </c>
      <c r="E1453">
        <v>0</v>
      </c>
      <c r="G1453">
        <f t="shared" si="137"/>
        <v>101.34591498791603</v>
      </c>
      <c r="H1453">
        <f t="shared" si="138"/>
        <v>1.1496890499016921E-2</v>
      </c>
      <c r="I1453">
        <f t="shared" si="139"/>
        <v>1.1496890499016921E-2</v>
      </c>
      <c r="K1453">
        <f t="shared" si="140"/>
        <v>1.8867924528301883E-2</v>
      </c>
      <c r="L1453">
        <f t="shared" si="141"/>
        <v>1.3607768052516178E-2</v>
      </c>
      <c r="M1453">
        <f t="shared" si="142"/>
        <v>1.1747880273776712E-2</v>
      </c>
    </row>
    <row r="1454" spans="1:13" x14ac:dyDescent="0.3">
      <c r="A1454" s="3">
        <v>44110</v>
      </c>
      <c r="B1454" s="8">
        <v>6.98</v>
      </c>
      <c r="C1454" s="8">
        <v>146.26</v>
      </c>
      <c r="D1454" s="8">
        <v>98.02</v>
      </c>
      <c r="E1454">
        <v>0</v>
      </c>
      <c r="G1454">
        <f t="shared" si="137"/>
        <v>98.863117012263785</v>
      </c>
      <c r="H1454">
        <f t="shared" si="138"/>
        <v>-2.4498254083041071E-2</v>
      </c>
      <c r="I1454">
        <f t="shared" si="139"/>
        <v>-2.4498254083041071E-2</v>
      </c>
      <c r="K1454">
        <f t="shared" si="140"/>
        <v>-5.6980056980056037E-3</v>
      </c>
      <c r="L1454">
        <f t="shared" si="141"/>
        <v>-1.3290157188153517E-2</v>
      </c>
      <c r="M1454">
        <f t="shared" si="142"/>
        <v>-1.029886914378042E-2</v>
      </c>
    </row>
    <row r="1455" spans="1:13" x14ac:dyDescent="0.3">
      <c r="A1455" s="3">
        <v>44111</v>
      </c>
      <c r="B1455" s="8">
        <v>7.23</v>
      </c>
      <c r="C1455" s="8">
        <v>147.88</v>
      </c>
      <c r="D1455" s="8">
        <v>99.73</v>
      </c>
      <c r="E1455">
        <v>0</v>
      </c>
      <c r="G1455">
        <f t="shared" si="137"/>
        <v>101.60658377286849</v>
      </c>
      <c r="H1455">
        <f t="shared" si="138"/>
        <v>2.7750154390381754E-2</v>
      </c>
      <c r="I1455">
        <f t="shared" si="139"/>
        <v>2.7750154390381754E-2</v>
      </c>
      <c r="K1455">
        <f t="shared" si="140"/>
        <v>3.5816618911174825E-2</v>
      </c>
      <c r="L1455">
        <f t="shared" si="141"/>
        <v>1.1076165732257559E-2</v>
      </c>
      <c r="M1455">
        <f t="shared" si="142"/>
        <v>1.7445419302183351E-2</v>
      </c>
    </row>
    <row r="1456" spans="1:13" x14ac:dyDescent="0.3">
      <c r="A1456" s="3">
        <v>44112</v>
      </c>
      <c r="B1456" s="8">
        <v>7.35</v>
      </c>
      <c r="C1456" s="8">
        <v>148.88999999999999</v>
      </c>
      <c r="D1456" s="8">
        <v>101.78</v>
      </c>
      <c r="E1456">
        <v>0</v>
      </c>
      <c r="G1456">
        <f t="shared" si="137"/>
        <v>101.30186319015438</v>
      </c>
      <c r="H1456">
        <f t="shared" si="138"/>
        <v>-2.9990239943041841E-3</v>
      </c>
      <c r="I1456">
        <f t="shared" si="139"/>
        <v>-2.9990239943041841E-3</v>
      </c>
      <c r="K1456">
        <f t="shared" si="140"/>
        <v>1.6597510373443924E-2</v>
      </c>
      <c r="L1456">
        <f t="shared" si="141"/>
        <v>6.8298620503111085E-3</v>
      </c>
      <c r="M1456">
        <f t="shared" si="142"/>
        <v>2.0555499849593817E-2</v>
      </c>
    </row>
    <row r="1457" spans="1:13" x14ac:dyDescent="0.3">
      <c r="A1457" s="3">
        <v>44113</v>
      </c>
      <c r="B1457" s="8">
        <v>7.25</v>
      </c>
      <c r="C1457" s="8">
        <v>150.97</v>
      </c>
      <c r="D1457" s="8">
        <v>101.2</v>
      </c>
      <c r="E1457">
        <v>0</v>
      </c>
      <c r="G1457">
        <f t="shared" si="137"/>
        <v>100.36785710333902</v>
      </c>
      <c r="H1457">
        <f t="shared" si="138"/>
        <v>-9.2200287082788712E-3</v>
      </c>
      <c r="I1457">
        <f t="shared" si="139"/>
        <v>-9.2200287082788712E-3</v>
      </c>
      <c r="K1457">
        <f t="shared" si="140"/>
        <v>-1.3605442176870652E-2</v>
      </c>
      <c r="L1457">
        <f t="shared" si="141"/>
        <v>1.3970044999664255E-2</v>
      </c>
      <c r="M1457">
        <f t="shared" si="142"/>
        <v>-5.6985655335035634E-3</v>
      </c>
    </row>
    <row r="1458" spans="1:13" x14ac:dyDescent="0.3">
      <c r="A1458" s="3">
        <v>44116</v>
      </c>
      <c r="B1458" s="8">
        <v>7.67</v>
      </c>
      <c r="C1458" s="8">
        <v>151.84</v>
      </c>
      <c r="D1458" s="8">
        <v>102.44</v>
      </c>
      <c r="E1458">
        <v>0</v>
      </c>
      <c r="G1458">
        <f t="shared" si="137"/>
        <v>101.36724329576636</v>
      </c>
      <c r="H1458">
        <f t="shared" si="138"/>
        <v>9.9572335334245921E-3</v>
      </c>
      <c r="I1458">
        <f t="shared" si="139"/>
        <v>9.9572335334245921E-3</v>
      </c>
      <c r="K1458">
        <f t="shared" si="140"/>
        <v>5.7931034482758603E-2</v>
      </c>
      <c r="L1458">
        <f t="shared" si="141"/>
        <v>5.7627343180763901E-3</v>
      </c>
      <c r="M1458">
        <f t="shared" si="142"/>
        <v>1.22529644268774E-2</v>
      </c>
    </row>
    <row r="1459" spans="1:13" x14ac:dyDescent="0.3">
      <c r="A1459" s="3">
        <v>44117</v>
      </c>
      <c r="B1459" s="8">
        <v>7.76</v>
      </c>
      <c r="C1459" s="8">
        <v>148.36000000000001</v>
      </c>
      <c r="D1459" s="8">
        <v>100.78</v>
      </c>
      <c r="E1459">
        <v>0</v>
      </c>
      <c r="G1459">
        <f t="shared" si="137"/>
        <v>98.323948378742159</v>
      </c>
      <c r="H1459">
        <f t="shared" si="138"/>
        <v>-3.0022468975944849E-2</v>
      </c>
      <c r="I1459">
        <f t="shared" si="139"/>
        <v>-3.0022468975944849E-2</v>
      </c>
      <c r="K1459">
        <f t="shared" si="140"/>
        <v>1.1734028683181297E-2</v>
      </c>
      <c r="L1459">
        <f t="shared" si="141"/>
        <v>-2.2918861959957737E-2</v>
      </c>
      <c r="M1459">
        <f t="shared" si="142"/>
        <v>-1.6204607575165952E-2</v>
      </c>
    </row>
    <row r="1460" spans="1:13" x14ac:dyDescent="0.3">
      <c r="A1460" s="3">
        <v>44118</v>
      </c>
      <c r="B1460" s="8">
        <v>7.57</v>
      </c>
      <c r="C1460" s="8">
        <v>148.1</v>
      </c>
      <c r="D1460" s="8">
        <v>100.22</v>
      </c>
      <c r="E1460">
        <v>0</v>
      </c>
      <c r="G1460">
        <f t="shared" si="137"/>
        <v>99.443358955012499</v>
      </c>
      <c r="H1460">
        <f t="shared" si="138"/>
        <v>1.1384922948358245E-2</v>
      </c>
      <c r="I1460">
        <f t="shared" si="139"/>
        <v>1.1384922948358245E-2</v>
      </c>
      <c r="K1460">
        <f t="shared" si="140"/>
        <v>-2.448453608247414E-2</v>
      </c>
      <c r="L1460">
        <f t="shared" si="141"/>
        <v>-1.7524939336749368E-3</v>
      </c>
      <c r="M1460">
        <f t="shared" si="142"/>
        <v>-5.5566580670768362E-3</v>
      </c>
    </row>
    <row r="1461" spans="1:13" x14ac:dyDescent="0.3">
      <c r="A1461" s="3">
        <v>44119</v>
      </c>
      <c r="B1461" s="8">
        <v>7.62</v>
      </c>
      <c r="C1461" s="8">
        <v>147.19</v>
      </c>
      <c r="D1461" s="8">
        <v>101.72</v>
      </c>
      <c r="E1461">
        <v>0</v>
      </c>
      <c r="G1461">
        <f t="shared" si="137"/>
        <v>100.3136181100937</v>
      </c>
      <c r="H1461">
        <f t="shared" si="138"/>
        <v>8.751304905890267E-3</v>
      </c>
      <c r="I1461">
        <f t="shared" si="139"/>
        <v>8.751304905890267E-3</v>
      </c>
      <c r="K1461">
        <f t="shared" si="140"/>
        <v>6.6050198150593431E-3</v>
      </c>
      <c r="L1461">
        <f t="shared" si="141"/>
        <v>-6.1444969615124245E-3</v>
      </c>
      <c r="M1461">
        <f t="shared" si="142"/>
        <v>1.4967072440630558E-2</v>
      </c>
    </row>
    <row r="1462" spans="1:13" x14ac:dyDescent="0.3">
      <c r="A1462" s="3">
        <v>44120</v>
      </c>
      <c r="B1462" s="8">
        <v>7.67</v>
      </c>
      <c r="C1462" s="8">
        <v>148.1</v>
      </c>
      <c r="D1462" s="8">
        <v>101.51</v>
      </c>
      <c r="E1462">
        <v>0</v>
      </c>
      <c r="G1462">
        <f t="shared" si="137"/>
        <v>100.31188044139934</v>
      </c>
      <c r="H1462">
        <f t="shared" si="138"/>
        <v>-1.7322360882809917E-5</v>
      </c>
      <c r="I1462">
        <f t="shared" si="139"/>
        <v>-1.7322360882809917E-5</v>
      </c>
      <c r="K1462">
        <f t="shared" si="140"/>
        <v>6.5616797900263091E-3</v>
      </c>
      <c r="L1462">
        <f t="shared" si="141"/>
        <v>6.182485223180878E-3</v>
      </c>
      <c r="M1462">
        <f t="shared" si="142"/>
        <v>-2.0644907589461026E-3</v>
      </c>
    </row>
    <row r="1463" spans="1:13" x14ac:dyDescent="0.3">
      <c r="A1463" s="3">
        <v>44123</v>
      </c>
      <c r="B1463" s="8">
        <v>7.59</v>
      </c>
      <c r="C1463" s="8">
        <v>144.32</v>
      </c>
      <c r="D1463" s="8">
        <v>99.8</v>
      </c>
      <c r="E1463">
        <v>0</v>
      </c>
      <c r="G1463">
        <f t="shared" si="137"/>
        <v>97.932398488922814</v>
      </c>
      <c r="H1463">
        <f t="shared" si="138"/>
        <v>-2.3720838867800742E-2</v>
      </c>
      <c r="I1463">
        <f t="shared" si="139"/>
        <v>-2.3720838867800742E-2</v>
      </c>
      <c r="K1463">
        <f t="shared" si="140"/>
        <v>-1.0430247718383301E-2</v>
      </c>
      <c r="L1463">
        <f t="shared" si="141"/>
        <v>-2.5523295070898011E-2</v>
      </c>
      <c r="M1463">
        <f t="shared" si="142"/>
        <v>-1.684563097231806E-2</v>
      </c>
    </row>
    <row r="1464" spans="1:13" x14ac:dyDescent="0.3">
      <c r="A1464" s="3">
        <v>44124</v>
      </c>
      <c r="B1464" s="8">
        <v>7.74</v>
      </c>
      <c r="C1464" s="8">
        <v>144.55000000000001</v>
      </c>
      <c r="D1464" s="8">
        <v>100.37</v>
      </c>
      <c r="E1464">
        <v>0</v>
      </c>
      <c r="G1464">
        <f t="shared" si="137"/>
        <v>100.50473997440723</v>
      </c>
      <c r="H1464">
        <f t="shared" si="138"/>
        <v>2.626650143543019E-2</v>
      </c>
      <c r="I1464">
        <f t="shared" si="139"/>
        <v>2.626650143543019E-2</v>
      </c>
      <c r="K1464">
        <f t="shared" si="140"/>
        <v>1.9762845849802479E-2</v>
      </c>
      <c r="L1464">
        <f t="shared" si="141"/>
        <v>1.5936807095344729E-3</v>
      </c>
      <c r="M1464">
        <f t="shared" si="142"/>
        <v>5.7114228456913718E-3</v>
      </c>
    </row>
    <row r="1465" spans="1:13" x14ac:dyDescent="0.3">
      <c r="A1465" s="3">
        <v>44125</v>
      </c>
      <c r="B1465" s="8">
        <v>7.85</v>
      </c>
      <c r="C1465" s="8">
        <v>143.93</v>
      </c>
      <c r="D1465" s="8">
        <v>99.37</v>
      </c>
      <c r="E1465">
        <v>0</v>
      </c>
      <c r="G1465">
        <f t="shared" si="137"/>
        <v>99.551461037582641</v>
      </c>
      <c r="H1465">
        <f t="shared" si="138"/>
        <v>-9.4849152096442291E-3</v>
      </c>
      <c r="I1465">
        <f t="shared" si="139"/>
        <v>-9.4849152096442291E-3</v>
      </c>
      <c r="K1465">
        <f t="shared" si="140"/>
        <v>1.4211886304909438E-2</v>
      </c>
      <c r="L1465">
        <f t="shared" si="141"/>
        <v>-4.2891732964372986E-3</v>
      </c>
      <c r="M1465">
        <f t="shared" si="142"/>
        <v>-9.963136395337302E-3</v>
      </c>
    </row>
    <row r="1466" spans="1:13" x14ac:dyDescent="0.3">
      <c r="A1466" s="3">
        <v>44126</v>
      </c>
      <c r="B1466" s="8">
        <v>8.2100000000000009</v>
      </c>
      <c r="C1466" s="8">
        <v>145.08000000000001</v>
      </c>
      <c r="D1466" s="8">
        <v>102.88</v>
      </c>
      <c r="E1466">
        <v>0</v>
      </c>
      <c r="G1466">
        <f t="shared" si="137"/>
        <v>102.22443587887238</v>
      </c>
      <c r="H1466">
        <f t="shared" si="138"/>
        <v>2.6850181940379914E-2</v>
      </c>
      <c r="I1466">
        <f t="shared" si="139"/>
        <v>2.6850181940379914E-2</v>
      </c>
      <c r="K1466">
        <f t="shared" si="140"/>
        <v>4.585987261146518E-2</v>
      </c>
      <c r="L1466">
        <f t="shared" si="141"/>
        <v>7.9899951365247635E-3</v>
      </c>
      <c r="M1466">
        <f t="shared" si="142"/>
        <v>3.532253195129309E-2</v>
      </c>
    </row>
    <row r="1467" spans="1:13" x14ac:dyDescent="0.3">
      <c r="A1467" s="3">
        <v>44127</v>
      </c>
      <c r="B1467" s="8">
        <v>8.16</v>
      </c>
      <c r="C1467" s="8">
        <v>145.24</v>
      </c>
      <c r="D1467" s="8">
        <v>103.81</v>
      </c>
      <c r="E1467">
        <v>0</v>
      </c>
      <c r="G1467">
        <f t="shared" si="137"/>
        <v>100.33357051652007</v>
      </c>
      <c r="H1467">
        <f t="shared" si="138"/>
        <v>-1.8497195373059716E-2</v>
      </c>
      <c r="I1467">
        <f t="shared" si="139"/>
        <v>-1.8497195373059716E-2</v>
      </c>
      <c r="K1467">
        <f t="shared" si="140"/>
        <v>-6.0901339829476653E-3</v>
      </c>
      <c r="L1467">
        <f t="shared" si="141"/>
        <v>1.1028398125172423E-3</v>
      </c>
      <c r="M1467">
        <f t="shared" si="142"/>
        <v>9.0396578538103345E-3</v>
      </c>
    </row>
    <row r="1468" spans="1:13" x14ac:dyDescent="0.3">
      <c r="A1468" s="3">
        <v>44130</v>
      </c>
      <c r="B1468" s="8">
        <v>8.0299999999999994</v>
      </c>
      <c r="C1468" s="8">
        <v>143.97</v>
      </c>
      <c r="D1468" s="8">
        <v>101.24</v>
      </c>
      <c r="E1468">
        <v>0</v>
      </c>
      <c r="G1468">
        <f t="shared" si="137"/>
        <v>98.447690229520006</v>
      </c>
      <c r="H1468">
        <f t="shared" si="138"/>
        <v>-1.8796104606778163E-2</v>
      </c>
      <c r="I1468">
        <f t="shared" si="139"/>
        <v>-1.8796104606778163E-2</v>
      </c>
      <c r="K1468">
        <f t="shared" si="140"/>
        <v>-1.5931372549019662E-2</v>
      </c>
      <c r="L1468">
        <f t="shared" si="141"/>
        <v>-8.7441476177362309E-3</v>
      </c>
      <c r="M1468">
        <f t="shared" si="142"/>
        <v>-2.4756767170792893E-2</v>
      </c>
    </row>
    <row r="1469" spans="1:13" x14ac:dyDescent="0.3">
      <c r="A1469" s="3">
        <v>44131</v>
      </c>
      <c r="B1469" s="8">
        <v>7.92</v>
      </c>
      <c r="C1469" s="8">
        <v>143.15</v>
      </c>
      <c r="D1469" s="8">
        <v>99.33</v>
      </c>
      <c r="E1469">
        <v>0</v>
      </c>
      <c r="G1469">
        <f t="shared" si="137"/>
        <v>98.850946887848437</v>
      </c>
      <c r="H1469">
        <f t="shared" si="138"/>
        <v>4.0961515439141838E-3</v>
      </c>
      <c r="I1469">
        <f t="shared" si="139"/>
        <v>4.0961515439141838E-3</v>
      </c>
      <c r="K1469">
        <f t="shared" si="140"/>
        <v>-1.3698630136986245E-2</v>
      </c>
      <c r="L1469">
        <f t="shared" si="141"/>
        <v>-5.6956310342431982E-3</v>
      </c>
      <c r="M1469">
        <f t="shared" si="142"/>
        <v>-1.8866060845515564E-2</v>
      </c>
    </row>
    <row r="1470" spans="1:13" x14ac:dyDescent="0.3">
      <c r="A1470" s="3">
        <v>44132</v>
      </c>
      <c r="B1470" s="8">
        <v>7.7</v>
      </c>
      <c r="C1470" s="8">
        <v>138.36000000000001</v>
      </c>
      <c r="D1470" s="8">
        <v>96.54</v>
      </c>
      <c r="E1470">
        <v>0</v>
      </c>
      <c r="G1470">
        <f t="shared" si="137"/>
        <v>96.915624810623484</v>
      </c>
      <c r="H1470">
        <f t="shared" si="138"/>
        <v>-1.957818451067217E-2</v>
      </c>
      <c r="I1470">
        <f t="shared" si="139"/>
        <v>-1.957818451067217E-2</v>
      </c>
      <c r="K1470">
        <f t="shared" si="140"/>
        <v>-2.777777777777779E-2</v>
      </c>
      <c r="L1470">
        <f t="shared" si="141"/>
        <v>-3.3461404121550742E-2</v>
      </c>
      <c r="M1470">
        <f t="shared" si="142"/>
        <v>-2.8088190878888475E-2</v>
      </c>
    </row>
    <row r="1471" spans="1:13" x14ac:dyDescent="0.3">
      <c r="A1471" s="3">
        <v>44133</v>
      </c>
      <c r="B1471" s="8">
        <v>7.9</v>
      </c>
      <c r="C1471" s="8">
        <v>137.19</v>
      </c>
      <c r="D1471" s="8">
        <v>97.17</v>
      </c>
      <c r="E1471">
        <v>0</v>
      </c>
      <c r="G1471">
        <f t="shared" si="137"/>
        <v>100.07900435943162</v>
      </c>
      <c r="H1471">
        <f t="shared" si="138"/>
        <v>3.2640552593965033E-2</v>
      </c>
      <c r="I1471">
        <f t="shared" si="139"/>
        <v>3.2640552593965033E-2</v>
      </c>
      <c r="K1471">
        <f t="shared" si="140"/>
        <v>2.5974025974025983E-2</v>
      </c>
      <c r="L1471">
        <f t="shared" si="141"/>
        <v>-8.4562012142238574E-3</v>
      </c>
      <c r="M1471">
        <f t="shared" si="142"/>
        <v>6.525792417650722E-3</v>
      </c>
    </row>
    <row r="1472" spans="1:13" x14ac:dyDescent="0.3">
      <c r="A1472" s="3">
        <v>44134</v>
      </c>
      <c r="B1472" s="8">
        <v>7.73</v>
      </c>
      <c r="C1472" s="8">
        <v>137.11000000000001</v>
      </c>
      <c r="D1472" s="8">
        <v>98.04</v>
      </c>
      <c r="E1472">
        <v>0</v>
      </c>
      <c r="G1472">
        <f t="shared" si="137"/>
        <v>100.0811428481839</v>
      </c>
      <c r="H1472">
        <f t="shared" si="138"/>
        <v>2.136800586671761E-5</v>
      </c>
      <c r="I1472">
        <f t="shared" si="139"/>
        <v>2.136800586671761E-5</v>
      </c>
      <c r="K1472">
        <f t="shared" si="140"/>
        <v>-2.1518987341772156E-2</v>
      </c>
      <c r="L1472">
        <f t="shared" si="141"/>
        <v>-5.831328814052128E-4</v>
      </c>
      <c r="M1472">
        <f t="shared" si="142"/>
        <v>8.9533806730472953E-3</v>
      </c>
    </row>
    <row r="1473" spans="1:13" x14ac:dyDescent="0.3">
      <c r="A1473" s="3">
        <v>44137</v>
      </c>
      <c r="B1473" s="8">
        <v>7.71</v>
      </c>
      <c r="C1473" s="8">
        <v>138.69</v>
      </c>
      <c r="D1473" s="8">
        <v>100.25</v>
      </c>
      <c r="E1473">
        <v>0</v>
      </c>
      <c r="G1473">
        <f t="shared" si="137"/>
        <v>101.41910082191762</v>
      </c>
      <c r="H1473">
        <f t="shared" si="138"/>
        <v>1.3368731967452696E-2</v>
      </c>
      <c r="I1473">
        <f t="shared" si="139"/>
        <v>1.3368731967452696E-2</v>
      </c>
      <c r="K1473">
        <f t="shared" si="140"/>
        <v>-2.5873221216041742E-3</v>
      </c>
      <c r="L1473">
        <f t="shared" si="141"/>
        <v>1.1523594194442266E-2</v>
      </c>
      <c r="M1473">
        <f t="shared" si="142"/>
        <v>2.2541819665442553E-2</v>
      </c>
    </row>
    <row r="1474" spans="1:13" x14ac:dyDescent="0.3">
      <c r="A1474" s="3">
        <v>44138</v>
      </c>
      <c r="B1474" s="8">
        <v>7.88</v>
      </c>
      <c r="C1474" s="8">
        <v>138.5</v>
      </c>
      <c r="D1474" s="8">
        <v>103.41</v>
      </c>
      <c r="E1474">
        <v>0</v>
      </c>
      <c r="G1474">
        <f t="shared" si="137"/>
        <v>101.34617086629716</v>
      </c>
      <c r="H1474">
        <f t="shared" si="138"/>
        <v>-7.1909487492427537E-4</v>
      </c>
      <c r="I1474">
        <f t="shared" si="139"/>
        <v>-7.1909487492427537E-4</v>
      </c>
      <c r="K1474">
        <f t="shared" si="140"/>
        <v>2.2049286640726251E-2</v>
      </c>
      <c r="L1474">
        <f t="shared" si="141"/>
        <v>-1.3699617852764856E-3</v>
      </c>
      <c r="M1474">
        <f t="shared" si="142"/>
        <v>3.152119700748135E-2</v>
      </c>
    </row>
    <row r="1475" spans="1:13" x14ac:dyDescent="0.3">
      <c r="A1475" s="3">
        <v>44139</v>
      </c>
      <c r="B1475" s="8">
        <v>7.64</v>
      </c>
      <c r="C1475" s="8">
        <v>139.4</v>
      </c>
      <c r="D1475" s="8">
        <v>100.25</v>
      </c>
      <c r="E1475">
        <v>0</v>
      </c>
      <c r="G1475">
        <f t="shared" si="137"/>
        <v>98.86806058360014</v>
      </c>
      <c r="H1475">
        <f t="shared" si="138"/>
        <v>-2.4451937961882275E-2</v>
      </c>
      <c r="I1475">
        <f t="shared" si="139"/>
        <v>-2.4451937961882275E-2</v>
      </c>
      <c r="K1475">
        <f t="shared" si="140"/>
        <v>-3.0456852791878153E-2</v>
      </c>
      <c r="L1475">
        <f t="shared" si="141"/>
        <v>6.4981949458484678E-3</v>
      </c>
      <c r="M1475">
        <f t="shared" si="142"/>
        <v>-3.0557973116719817E-2</v>
      </c>
    </row>
    <row r="1476" spans="1:13" x14ac:dyDescent="0.3">
      <c r="A1476" s="3">
        <v>44140</v>
      </c>
      <c r="B1476" s="8">
        <v>7.99</v>
      </c>
      <c r="C1476" s="8">
        <v>139.76</v>
      </c>
      <c r="D1476" s="8">
        <v>104.35</v>
      </c>
      <c r="E1476">
        <v>0</v>
      </c>
      <c r="G1476">
        <f t="shared" si="137"/>
        <v>102.15314214100107</v>
      </c>
      <c r="H1476">
        <f t="shared" si="138"/>
        <v>3.3226924226182675E-2</v>
      </c>
      <c r="I1476">
        <f t="shared" si="139"/>
        <v>3.3226924226182675E-2</v>
      </c>
      <c r="K1476">
        <f t="shared" si="140"/>
        <v>4.5811518324607503E-2</v>
      </c>
      <c r="L1476">
        <f t="shared" si="141"/>
        <v>2.5824964131992978E-3</v>
      </c>
      <c r="M1476">
        <f t="shared" si="142"/>
        <v>4.0897755610972419E-2</v>
      </c>
    </row>
    <row r="1477" spans="1:13" x14ac:dyDescent="0.3">
      <c r="A1477" s="3">
        <v>44141</v>
      </c>
      <c r="B1477" s="8">
        <v>7.79</v>
      </c>
      <c r="C1477" s="8">
        <v>142.25</v>
      </c>
      <c r="D1477" s="8">
        <v>102.96</v>
      </c>
      <c r="E1477">
        <v>0</v>
      </c>
      <c r="G1477">
        <f t="shared" ref="G1477:G1540" si="143">$G$4*(B1477*$P$8/B1476 + C1477*$Q$8/C1476 + D1477*$R$8/D1476)</f>
        <v>100.16086339367138</v>
      </c>
      <c r="H1477">
        <f t="shared" ref="H1477:H1540" si="144">G1477/G1476-1</f>
        <v>-1.9502863108995405E-2</v>
      </c>
      <c r="I1477">
        <f t="shared" si="139"/>
        <v>-1.9502863108995405E-2</v>
      </c>
      <c r="K1477">
        <f t="shared" si="140"/>
        <v>-2.5031289111389299E-2</v>
      </c>
      <c r="L1477">
        <f t="shared" si="141"/>
        <v>1.7816256439610934E-2</v>
      </c>
      <c r="M1477">
        <f t="shared" si="142"/>
        <v>-1.3320555821753732E-2</v>
      </c>
    </row>
    <row r="1478" spans="1:13" x14ac:dyDescent="0.3">
      <c r="A1478" s="3">
        <v>44144</v>
      </c>
      <c r="B1478" s="8">
        <v>8.1999999999999993</v>
      </c>
      <c r="C1478" s="8">
        <v>146.08000000000001</v>
      </c>
      <c r="D1478" s="8">
        <v>116.9</v>
      </c>
      <c r="E1478">
        <v>0</v>
      </c>
      <c r="G1478">
        <f t="shared" si="143"/>
        <v>107.04361974516647</v>
      </c>
      <c r="H1478">
        <f t="shared" si="144"/>
        <v>6.8717022979755793E-2</v>
      </c>
      <c r="I1478">
        <f t="shared" ref="I1478:I1541" si="145">H1478-E1478</f>
        <v>6.8717022979755793E-2</v>
      </c>
      <c r="K1478">
        <f t="shared" ref="K1478:K1541" si="146">B1478/B1477-1</f>
        <v>5.2631578947368363E-2</v>
      </c>
      <c r="L1478">
        <f t="shared" ref="L1478:L1541" si="147">C1478/C1477-1</f>
        <v>2.6924428822495683E-2</v>
      </c>
      <c r="M1478">
        <f t="shared" ref="M1478:M1541" si="148">D1478/D1477-1</f>
        <v>0.13539238539238552</v>
      </c>
    </row>
    <row r="1479" spans="1:13" x14ac:dyDescent="0.3">
      <c r="A1479" s="3">
        <v>44145</v>
      </c>
      <c r="B1479" s="8">
        <v>8.3800000000000008</v>
      </c>
      <c r="C1479" s="8">
        <v>148.28</v>
      </c>
      <c r="D1479" s="8">
        <v>116.52</v>
      </c>
      <c r="E1479">
        <v>0</v>
      </c>
      <c r="G1479">
        <f t="shared" si="143"/>
        <v>100.88918594012033</v>
      </c>
      <c r="H1479">
        <f t="shared" si="144"/>
        <v>-5.7494634614353446E-2</v>
      </c>
      <c r="I1479">
        <f t="shared" si="145"/>
        <v>-5.7494634614353446E-2</v>
      </c>
      <c r="K1479">
        <f t="shared" si="146"/>
        <v>2.1951219512195363E-2</v>
      </c>
      <c r="L1479">
        <f t="shared" si="147"/>
        <v>1.5060240963855387E-2</v>
      </c>
      <c r="M1479">
        <f t="shared" si="148"/>
        <v>-3.2506415739949057E-3</v>
      </c>
    </row>
    <row r="1480" spans="1:13" x14ac:dyDescent="0.3">
      <c r="A1480" s="3">
        <v>44146</v>
      </c>
      <c r="B1480" s="8">
        <v>8.33</v>
      </c>
      <c r="C1480" s="8">
        <v>147.80000000000001</v>
      </c>
      <c r="D1480" s="8">
        <v>114.78</v>
      </c>
      <c r="E1480">
        <v>0</v>
      </c>
      <c r="G1480">
        <f t="shared" si="143"/>
        <v>99.207552488731565</v>
      </c>
      <c r="H1480">
        <f t="shared" si="144"/>
        <v>-1.6668123899689746E-2</v>
      </c>
      <c r="I1480">
        <f t="shared" si="145"/>
        <v>-1.6668123899689746E-2</v>
      </c>
      <c r="K1480">
        <f t="shared" si="146"/>
        <v>-5.9665871121719061E-3</v>
      </c>
      <c r="L1480">
        <f t="shared" si="147"/>
        <v>-3.2371189641218212E-3</v>
      </c>
      <c r="M1480">
        <f t="shared" si="148"/>
        <v>-1.4933058702368607E-2</v>
      </c>
    </row>
    <row r="1481" spans="1:13" x14ac:dyDescent="0.3">
      <c r="A1481" s="3">
        <v>44147</v>
      </c>
      <c r="B1481" s="8">
        <v>8.2100000000000009</v>
      </c>
      <c r="C1481" s="8">
        <v>148.30000000000001</v>
      </c>
      <c r="D1481" s="8">
        <v>113.37</v>
      </c>
      <c r="E1481">
        <v>0</v>
      </c>
      <c r="G1481">
        <f t="shared" si="143"/>
        <v>99.562287913958997</v>
      </c>
      <c r="H1481">
        <f t="shared" si="144"/>
        <v>3.5756897164429535E-3</v>
      </c>
      <c r="I1481">
        <f t="shared" si="145"/>
        <v>3.5756897164429535E-3</v>
      </c>
      <c r="K1481">
        <f t="shared" si="146"/>
        <v>-1.4405762304921854E-2</v>
      </c>
      <c r="L1481">
        <f t="shared" si="147"/>
        <v>3.3829499323410062E-3</v>
      </c>
      <c r="M1481">
        <f t="shared" si="148"/>
        <v>-1.2284370099320374E-2</v>
      </c>
    </row>
    <row r="1482" spans="1:13" x14ac:dyDescent="0.3">
      <c r="A1482" s="3">
        <v>44148</v>
      </c>
      <c r="B1482" s="8">
        <v>8.5399999999999991</v>
      </c>
      <c r="C1482" s="8">
        <v>149.9</v>
      </c>
      <c r="D1482" s="8">
        <v>114.08</v>
      </c>
      <c r="E1482">
        <v>0</v>
      </c>
      <c r="G1482">
        <f t="shared" si="143"/>
        <v>101.21674738467807</v>
      </c>
      <c r="H1482">
        <f t="shared" si="144"/>
        <v>1.6617330772358718E-2</v>
      </c>
      <c r="I1482">
        <f t="shared" si="145"/>
        <v>1.6617330772358718E-2</v>
      </c>
      <c r="K1482">
        <f t="shared" si="146"/>
        <v>4.0194884287454213E-2</v>
      </c>
      <c r="L1482">
        <f t="shared" si="147"/>
        <v>1.0788941335131419E-2</v>
      </c>
      <c r="M1482">
        <f t="shared" si="148"/>
        <v>6.2626797212665952E-3</v>
      </c>
    </row>
    <row r="1483" spans="1:13" x14ac:dyDescent="0.3">
      <c r="A1483" s="3">
        <v>44151</v>
      </c>
      <c r="B1483" s="8">
        <v>8.8000000000000007</v>
      </c>
      <c r="C1483" s="8">
        <v>150.85</v>
      </c>
      <c r="D1483" s="8">
        <v>117.3</v>
      </c>
      <c r="E1483">
        <v>0</v>
      </c>
      <c r="G1483">
        <f t="shared" si="143"/>
        <v>101.71008417203838</v>
      </c>
      <c r="H1483">
        <f t="shared" si="144"/>
        <v>4.874062841452087E-3</v>
      </c>
      <c r="I1483">
        <f t="shared" si="145"/>
        <v>4.874062841452087E-3</v>
      </c>
      <c r="K1483">
        <f t="shared" si="146"/>
        <v>3.0444964871194635E-2</v>
      </c>
      <c r="L1483">
        <f t="shared" si="147"/>
        <v>6.3375583722480311E-3</v>
      </c>
      <c r="M1483">
        <f t="shared" si="148"/>
        <v>2.8225806451612989E-2</v>
      </c>
    </row>
    <row r="1484" spans="1:13" x14ac:dyDescent="0.3">
      <c r="A1484" s="3">
        <v>44152</v>
      </c>
      <c r="B1484" s="8">
        <v>8.75</v>
      </c>
      <c r="C1484" s="8">
        <v>149.35</v>
      </c>
      <c r="D1484" s="8">
        <v>116.11</v>
      </c>
      <c r="E1484">
        <v>0</v>
      </c>
      <c r="G1484">
        <f t="shared" si="143"/>
        <v>99.042725569299392</v>
      </c>
      <c r="H1484">
        <f t="shared" si="144"/>
        <v>-2.6225114495306623E-2</v>
      </c>
      <c r="I1484">
        <f t="shared" si="145"/>
        <v>-2.6225114495306623E-2</v>
      </c>
      <c r="K1484">
        <f t="shared" si="146"/>
        <v>-5.6818181818182323E-3</v>
      </c>
      <c r="L1484">
        <f t="shared" si="147"/>
        <v>-9.9436526350679122E-3</v>
      </c>
      <c r="M1484">
        <f t="shared" si="148"/>
        <v>-1.0144927536231862E-2</v>
      </c>
    </row>
    <row r="1485" spans="1:13" x14ac:dyDescent="0.3">
      <c r="A1485" s="3">
        <v>44153</v>
      </c>
      <c r="B1485" s="8">
        <v>8.82</v>
      </c>
      <c r="C1485" s="8">
        <v>147.37</v>
      </c>
      <c r="D1485" s="8">
        <v>115.25</v>
      </c>
      <c r="E1485">
        <v>0</v>
      </c>
      <c r="G1485">
        <f t="shared" si="143"/>
        <v>99.1172051417348</v>
      </c>
      <c r="H1485">
        <f t="shared" si="144"/>
        <v>7.5199437421868964E-4</v>
      </c>
      <c r="I1485">
        <f t="shared" si="145"/>
        <v>7.5199437421868964E-4</v>
      </c>
      <c r="K1485">
        <f t="shared" si="146"/>
        <v>8.0000000000000071E-3</v>
      </c>
      <c r="L1485">
        <f t="shared" si="147"/>
        <v>-1.3257448945430128E-2</v>
      </c>
      <c r="M1485">
        <f t="shared" si="148"/>
        <v>-7.406769442769745E-3</v>
      </c>
    </row>
    <row r="1486" spans="1:13" x14ac:dyDescent="0.3">
      <c r="A1486" s="3">
        <v>44154</v>
      </c>
      <c r="B1486" s="8">
        <v>8.82</v>
      </c>
      <c r="C1486" s="8">
        <v>147.13999999999999</v>
      </c>
      <c r="D1486" s="8">
        <v>115.56</v>
      </c>
      <c r="E1486">
        <v>0</v>
      </c>
      <c r="G1486">
        <f t="shared" si="143"/>
        <v>100.02023745925838</v>
      </c>
      <c r="H1486">
        <f t="shared" si="144"/>
        <v>9.1107524292304287E-3</v>
      </c>
      <c r="I1486">
        <f t="shared" si="145"/>
        <v>9.1107524292304287E-3</v>
      </c>
      <c r="K1486">
        <f t="shared" si="146"/>
        <v>0</v>
      </c>
      <c r="L1486">
        <f t="shared" si="147"/>
        <v>-1.5606975639548271E-3</v>
      </c>
      <c r="M1486">
        <f t="shared" si="148"/>
        <v>2.6898047722343499E-3</v>
      </c>
    </row>
    <row r="1487" spans="1:13" x14ac:dyDescent="0.3">
      <c r="A1487" s="3">
        <v>44155</v>
      </c>
      <c r="B1487" s="8">
        <v>8.74</v>
      </c>
      <c r="C1487" s="8">
        <v>146.36000000000001</v>
      </c>
      <c r="D1487" s="8">
        <v>114.57</v>
      </c>
      <c r="E1487">
        <v>0</v>
      </c>
      <c r="G1487">
        <f t="shared" si="143"/>
        <v>99.30749099268138</v>
      </c>
      <c r="H1487">
        <f t="shared" si="144"/>
        <v>-7.1260225398617205E-3</v>
      </c>
      <c r="I1487">
        <f t="shared" si="145"/>
        <v>-7.1260225398617205E-3</v>
      </c>
      <c r="K1487">
        <f t="shared" si="146"/>
        <v>-9.0702947845805459E-3</v>
      </c>
      <c r="L1487">
        <f t="shared" si="147"/>
        <v>-5.3010738072581942E-3</v>
      </c>
      <c r="M1487">
        <f t="shared" si="148"/>
        <v>-8.5669781931464462E-3</v>
      </c>
    </row>
    <row r="1488" spans="1:13" x14ac:dyDescent="0.3">
      <c r="A1488" s="3">
        <v>44158</v>
      </c>
      <c r="B1488" s="8">
        <v>8.86</v>
      </c>
      <c r="C1488" s="8">
        <v>143.87</v>
      </c>
      <c r="D1488" s="8">
        <v>117.87</v>
      </c>
      <c r="E1488">
        <v>0</v>
      </c>
      <c r="G1488">
        <f t="shared" si="143"/>
        <v>100.34501766636026</v>
      </c>
      <c r="H1488">
        <f t="shared" si="144"/>
        <v>1.0447617428531508E-2</v>
      </c>
      <c r="I1488">
        <f t="shared" si="145"/>
        <v>1.0447617428531508E-2</v>
      </c>
      <c r="K1488">
        <f t="shared" si="146"/>
        <v>1.3729977116704761E-2</v>
      </c>
      <c r="L1488">
        <f t="shared" si="147"/>
        <v>-1.701284503962841E-2</v>
      </c>
      <c r="M1488">
        <f t="shared" si="148"/>
        <v>2.8803351662739063E-2</v>
      </c>
    </row>
    <row r="1489" spans="1:13" x14ac:dyDescent="0.3">
      <c r="A1489" s="3">
        <v>44159</v>
      </c>
      <c r="B1489" s="8">
        <v>9.4499999999999993</v>
      </c>
      <c r="C1489" s="8">
        <v>143.87</v>
      </c>
      <c r="D1489" s="8">
        <v>123.32</v>
      </c>
      <c r="E1489">
        <v>0</v>
      </c>
      <c r="G1489">
        <f t="shared" si="143"/>
        <v>102.43785337071527</v>
      </c>
      <c r="H1489">
        <f t="shared" si="144"/>
        <v>2.0856398783181573E-2</v>
      </c>
      <c r="I1489">
        <f t="shared" si="145"/>
        <v>2.0856398783181573E-2</v>
      </c>
      <c r="K1489">
        <f t="shared" si="146"/>
        <v>6.6591422121896171E-2</v>
      </c>
      <c r="L1489">
        <f t="shared" si="147"/>
        <v>0</v>
      </c>
      <c r="M1489">
        <f t="shared" si="148"/>
        <v>4.6237380164588116E-2</v>
      </c>
    </row>
    <row r="1490" spans="1:13" x14ac:dyDescent="0.3">
      <c r="A1490" s="3">
        <v>44160</v>
      </c>
      <c r="B1490" s="8">
        <v>9.08</v>
      </c>
      <c r="C1490" s="8">
        <v>143.68</v>
      </c>
      <c r="D1490" s="8">
        <v>122.03</v>
      </c>
      <c r="E1490">
        <v>0</v>
      </c>
      <c r="G1490">
        <f t="shared" si="143"/>
        <v>99.127494003353164</v>
      </c>
      <c r="H1490">
        <f t="shared" si="144"/>
        <v>-3.2315782285891492E-2</v>
      </c>
      <c r="I1490">
        <f t="shared" si="145"/>
        <v>-3.2315782285891492E-2</v>
      </c>
      <c r="K1490">
        <f t="shared" si="146"/>
        <v>-3.9153439153439051E-2</v>
      </c>
      <c r="L1490">
        <f t="shared" si="147"/>
        <v>-1.320636685896992E-3</v>
      </c>
      <c r="M1490">
        <f t="shared" si="148"/>
        <v>-1.0460590334090081E-2</v>
      </c>
    </row>
    <row r="1491" spans="1:13" x14ac:dyDescent="0.3">
      <c r="A1491" s="3">
        <v>44162</v>
      </c>
      <c r="B1491" s="8">
        <v>9.09</v>
      </c>
      <c r="C1491" s="8">
        <v>144</v>
      </c>
      <c r="D1491" s="8">
        <v>121.22</v>
      </c>
      <c r="E1491">
        <v>0</v>
      </c>
      <c r="G1491">
        <f t="shared" si="143"/>
        <v>99.877323361353973</v>
      </c>
      <c r="H1491">
        <f t="shared" si="144"/>
        <v>7.5642924855483518E-3</v>
      </c>
      <c r="I1491">
        <f t="shared" si="145"/>
        <v>7.5642924855483518E-3</v>
      </c>
      <c r="K1491">
        <f t="shared" si="146"/>
        <v>1.1013215859030367E-3</v>
      </c>
      <c r="L1491">
        <f t="shared" si="147"/>
        <v>2.2271714922048602E-3</v>
      </c>
      <c r="M1491">
        <f t="shared" si="148"/>
        <v>-6.6377120380234356E-3</v>
      </c>
    </row>
    <row r="1492" spans="1:13" x14ac:dyDescent="0.3">
      <c r="A1492" s="3">
        <v>44165</v>
      </c>
      <c r="B1492" s="8">
        <v>9.08</v>
      </c>
      <c r="C1492" s="8">
        <v>144.68</v>
      </c>
      <c r="D1492" s="8">
        <v>117.88</v>
      </c>
      <c r="E1492">
        <v>0</v>
      </c>
      <c r="G1492">
        <f t="shared" si="143"/>
        <v>99.196645393389986</v>
      </c>
      <c r="H1492">
        <f t="shared" si="144"/>
        <v>-6.8151402646355885E-3</v>
      </c>
      <c r="I1492">
        <f t="shared" si="145"/>
        <v>-6.8151402646355885E-3</v>
      </c>
      <c r="K1492">
        <f t="shared" si="146"/>
        <v>-1.1001100110010764E-3</v>
      </c>
      <c r="L1492">
        <f t="shared" si="147"/>
        <v>4.7222222222222943E-3</v>
      </c>
      <c r="M1492">
        <f t="shared" si="148"/>
        <v>-2.7553209041412341E-2</v>
      </c>
    </row>
    <row r="1493" spans="1:13" x14ac:dyDescent="0.3">
      <c r="A1493" s="3">
        <v>44166</v>
      </c>
      <c r="B1493" s="8">
        <v>9.24</v>
      </c>
      <c r="C1493" s="8">
        <v>147.44999999999999</v>
      </c>
      <c r="D1493" s="8">
        <v>119.74</v>
      </c>
      <c r="E1493">
        <v>0</v>
      </c>
      <c r="G1493">
        <f t="shared" si="143"/>
        <v>101.77189089513807</v>
      </c>
      <c r="H1493">
        <f t="shared" si="144"/>
        <v>2.5961014019529438E-2</v>
      </c>
      <c r="I1493">
        <f t="shared" si="145"/>
        <v>2.5961014019529438E-2</v>
      </c>
      <c r="K1493">
        <f t="shared" si="146"/>
        <v>1.7621145374449254E-2</v>
      </c>
      <c r="L1493">
        <f t="shared" si="147"/>
        <v>1.9145700857063686E-2</v>
      </c>
      <c r="M1493">
        <f t="shared" si="148"/>
        <v>1.5778758059043163E-2</v>
      </c>
    </row>
    <row r="1494" spans="1:13" x14ac:dyDescent="0.3">
      <c r="A1494" s="3">
        <v>44167</v>
      </c>
      <c r="B1494" s="8">
        <v>9.1999999999999993</v>
      </c>
      <c r="C1494" s="8">
        <v>148.13999999999999</v>
      </c>
      <c r="D1494" s="8">
        <v>122.04</v>
      </c>
      <c r="E1494">
        <v>0</v>
      </c>
      <c r="G1494">
        <f t="shared" si="143"/>
        <v>100.92027450678644</v>
      </c>
      <c r="H1494">
        <f t="shared" si="144"/>
        <v>-8.3678939328061253E-3</v>
      </c>
      <c r="I1494">
        <f t="shared" si="145"/>
        <v>-8.3678939328061253E-3</v>
      </c>
      <c r="K1494">
        <f t="shared" si="146"/>
        <v>-4.3290043290044045E-3</v>
      </c>
      <c r="L1494">
        <f t="shared" si="147"/>
        <v>4.6795523906408842E-3</v>
      </c>
      <c r="M1494">
        <f t="shared" si="148"/>
        <v>1.9208284616669458E-2</v>
      </c>
    </row>
    <row r="1495" spans="1:13" x14ac:dyDescent="0.3">
      <c r="A1495" s="3">
        <v>44168</v>
      </c>
      <c r="B1495" s="8">
        <v>9.2100000000000009</v>
      </c>
      <c r="C1495" s="8">
        <v>149</v>
      </c>
      <c r="D1495" s="8">
        <v>121.24</v>
      </c>
      <c r="E1495">
        <v>0</v>
      </c>
      <c r="G1495">
        <f t="shared" si="143"/>
        <v>100.06594238456033</v>
      </c>
      <c r="H1495">
        <f t="shared" si="144"/>
        <v>-8.4654161554887919E-3</v>
      </c>
      <c r="I1495">
        <f t="shared" si="145"/>
        <v>-8.4654161554887919E-3</v>
      </c>
      <c r="K1495">
        <f t="shared" si="146"/>
        <v>1.0869565217392907E-3</v>
      </c>
      <c r="L1495">
        <f t="shared" si="147"/>
        <v>5.8053192925611175E-3</v>
      </c>
      <c r="M1495">
        <f t="shared" si="148"/>
        <v>-6.555227794165952E-3</v>
      </c>
    </row>
    <row r="1496" spans="1:13" x14ac:dyDescent="0.3">
      <c r="A1496" s="3">
        <v>44169</v>
      </c>
      <c r="B1496" s="8">
        <v>9.34</v>
      </c>
      <c r="C1496" s="8">
        <v>150.27000000000001</v>
      </c>
      <c r="D1496" s="8">
        <v>122.34</v>
      </c>
      <c r="E1496">
        <v>0</v>
      </c>
      <c r="G1496">
        <f t="shared" si="143"/>
        <v>100.93162564174925</v>
      </c>
      <c r="H1496">
        <f t="shared" si="144"/>
        <v>8.6511278119185686E-3</v>
      </c>
      <c r="I1496">
        <f t="shared" si="145"/>
        <v>8.6511278119185686E-3</v>
      </c>
      <c r="K1496">
        <f t="shared" si="146"/>
        <v>1.4115092290987841E-2</v>
      </c>
      <c r="L1496">
        <f t="shared" si="147"/>
        <v>8.5234899328858749E-3</v>
      </c>
      <c r="M1496">
        <f t="shared" si="148"/>
        <v>9.0729132299571802E-3</v>
      </c>
    </row>
    <row r="1497" spans="1:13" x14ac:dyDescent="0.3">
      <c r="A1497" s="3">
        <v>44172</v>
      </c>
      <c r="B1497" s="8">
        <v>9.2200000000000006</v>
      </c>
      <c r="C1497" s="8">
        <v>148.97</v>
      </c>
      <c r="D1497" s="8">
        <v>121.88</v>
      </c>
      <c r="E1497">
        <v>0</v>
      </c>
      <c r="G1497">
        <f t="shared" si="143"/>
        <v>99.274962745069885</v>
      </c>
      <c r="H1497">
        <f t="shared" si="144"/>
        <v>-1.6413714592882767E-2</v>
      </c>
      <c r="I1497">
        <f t="shared" si="145"/>
        <v>-1.6413714592882767E-2</v>
      </c>
      <c r="K1497">
        <f t="shared" si="146"/>
        <v>-1.2847965738757905E-2</v>
      </c>
      <c r="L1497">
        <f t="shared" si="147"/>
        <v>-8.6510946962136126E-3</v>
      </c>
      <c r="M1497">
        <f t="shared" si="148"/>
        <v>-3.7600130783064234E-3</v>
      </c>
    </row>
    <row r="1498" spans="1:13" x14ac:dyDescent="0.3">
      <c r="A1498" s="3">
        <v>44173</v>
      </c>
      <c r="B1498" s="8">
        <v>9.25</v>
      </c>
      <c r="C1498" s="8">
        <v>151.55000000000001</v>
      </c>
      <c r="D1498" s="8">
        <v>122</v>
      </c>
      <c r="E1498">
        <v>0</v>
      </c>
      <c r="G1498">
        <f t="shared" si="143"/>
        <v>100.96980832832072</v>
      </c>
      <c r="H1498">
        <f t="shared" si="144"/>
        <v>1.7072235903055066E-2</v>
      </c>
      <c r="I1498">
        <f t="shared" si="145"/>
        <v>1.7072235903055066E-2</v>
      </c>
      <c r="K1498">
        <f t="shared" si="146"/>
        <v>3.2537960954446277E-3</v>
      </c>
      <c r="L1498">
        <f t="shared" si="147"/>
        <v>1.7318923273142328E-2</v>
      </c>
      <c r="M1498">
        <f t="shared" si="148"/>
        <v>9.8457499179516184E-4</v>
      </c>
    </row>
    <row r="1499" spans="1:13" x14ac:dyDescent="0.3">
      <c r="A1499" s="3">
        <v>44174</v>
      </c>
      <c r="B1499" s="8">
        <v>9.4499999999999993</v>
      </c>
      <c r="C1499" s="8">
        <v>153.1</v>
      </c>
      <c r="D1499" s="8">
        <v>121.05</v>
      </c>
      <c r="E1499">
        <v>0</v>
      </c>
      <c r="G1499">
        <f t="shared" si="143"/>
        <v>100.46427098366068</v>
      </c>
      <c r="H1499">
        <f t="shared" si="144"/>
        <v>-5.0068169191348488E-3</v>
      </c>
      <c r="I1499">
        <f t="shared" si="145"/>
        <v>-5.0068169191348488E-3</v>
      </c>
      <c r="K1499">
        <f t="shared" si="146"/>
        <v>2.1621621621621623E-2</v>
      </c>
      <c r="L1499">
        <f t="shared" si="147"/>
        <v>1.0227647641042337E-2</v>
      </c>
      <c r="M1499">
        <f t="shared" si="148"/>
        <v>-7.7868852459016535E-3</v>
      </c>
    </row>
    <row r="1500" spans="1:13" x14ac:dyDescent="0.3">
      <c r="A1500" s="3">
        <v>44175</v>
      </c>
      <c r="B1500" s="8">
        <v>9.1199999999999992</v>
      </c>
      <c r="C1500" s="8">
        <v>152.25</v>
      </c>
      <c r="D1500" s="8">
        <v>120.27</v>
      </c>
      <c r="E1500">
        <v>0</v>
      </c>
      <c r="G1500">
        <f t="shared" si="143"/>
        <v>99.103461186279034</v>
      </c>
      <c r="H1500">
        <f t="shared" si="144"/>
        <v>-1.3545211487205888E-2</v>
      </c>
      <c r="I1500">
        <f t="shared" si="145"/>
        <v>-1.3545211487205888E-2</v>
      </c>
      <c r="K1500">
        <f t="shared" si="146"/>
        <v>-3.4920634920634908E-2</v>
      </c>
      <c r="L1500">
        <f t="shared" si="147"/>
        <v>-5.5519268451992287E-3</v>
      </c>
      <c r="M1500">
        <f t="shared" si="148"/>
        <v>-6.4436183395291113E-3</v>
      </c>
    </row>
    <row r="1501" spans="1:13" x14ac:dyDescent="0.3">
      <c r="A1501" s="3">
        <v>44176</v>
      </c>
      <c r="B1501" s="8">
        <v>9.02</v>
      </c>
      <c r="C1501" s="8">
        <v>152.94999999999999</v>
      </c>
      <c r="D1501" s="8">
        <v>119.56</v>
      </c>
      <c r="E1501">
        <v>0</v>
      </c>
      <c r="G1501">
        <f t="shared" si="143"/>
        <v>99.901503759435755</v>
      </c>
      <c r="H1501">
        <f t="shared" si="144"/>
        <v>8.0526206007749401E-3</v>
      </c>
      <c r="I1501">
        <f t="shared" si="145"/>
        <v>8.0526206007749401E-3</v>
      </c>
      <c r="K1501">
        <f t="shared" si="146"/>
        <v>-1.0964912280701733E-2</v>
      </c>
      <c r="L1501">
        <f t="shared" si="147"/>
        <v>4.5977011494251485E-3</v>
      </c>
      <c r="M1501">
        <f t="shared" si="148"/>
        <v>-5.9033840525484216E-3</v>
      </c>
    </row>
    <row r="1502" spans="1:13" x14ac:dyDescent="0.3">
      <c r="A1502" s="3">
        <v>44179</v>
      </c>
      <c r="B1502" s="8">
        <v>8.91</v>
      </c>
      <c r="C1502" s="8">
        <v>149.07</v>
      </c>
      <c r="D1502" s="8">
        <v>118.3</v>
      </c>
      <c r="E1502">
        <v>0</v>
      </c>
      <c r="G1502">
        <f t="shared" si="143"/>
        <v>98.159310789378097</v>
      </c>
      <c r="H1502">
        <f t="shared" si="144"/>
        <v>-1.7439106564931084E-2</v>
      </c>
      <c r="I1502">
        <f t="shared" si="145"/>
        <v>-1.7439106564931084E-2</v>
      </c>
      <c r="K1502">
        <f t="shared" si="146"/>
        <v>-1.2195121951219412E-2</v>
      </c>
      <c r="L1502">
        <f t="shared" si="147"/>
        <v>-2.5367767244197426E-2</v>
      </c>
      <c r="M1502">
        <f t="shared" si="148"/>
        <v>-1.0538641686182681E-2</v>
      </c>
    </row>
    <row r="1503" spans="1:13" x14ac:dyDescent="0.3">
      <c r="A1503" s="3">
        <v>44180</v>
      </c>
      <c r="B1503" s="8">
        <v>9.15</v>
      </c>
      <c r="C1503" s="8">
        <v>150.57</v>
      </c>
      <c r="D1503" s="8">
        <v>120.32</v>
      </c>
      <c r="E1503">
        <v>0</v>
      </c>
      <c r="G1503">
        <f t="shared" si="143"/>
        <v>101.44697888306071</v>
      </c>
      <c r="H1503">
        <f t="shared" si="144"/>
        <v>3.349318640528165E-2</v>
      </c>
      <c r="I1503">
        <f t="shared" si="145"/>
        <v>3.349318640528165E-2</v>
      </c>
      <c r="K1503">
        <f t="shared" si="146"/>
        <v>2.6936026936027035E-2</v>
      </c>
      <c r="L1503">
        <f t="shared" si="147"/>
        <v>1.0062386798148415E-2</v>
      </c>
      <c r="M1503">
        <f t="shared" si="148"/>
        <v>1.7075232459847767E-2</v>
      </c>
    </row>
    <row r="1504" spans="1:13" x14ac:dyDescent="0.3">
      <c r="A1504" s="3">
        <v>44181</v>
      </c>
      <c r="B1504" s="8">
        <v>9.0399999999999991</v>
      </c>
      <c r="C1504" s="8">
        <v>149.66999999999999</v>
      </c>
      <c r="D1504" s="8">
        <v>120.67</v>
      </c>
      <c r="E1504">
        <v>0</v>
      </c>
      <c r="G1504">
        <f t="shared" si="143"/>
        <v>99.67331948293274</v>
      </c>
      <c r="H1504">
        <f t="shared" si="144"/>
        <v>-1.7483609858628624E-2</v>
      </c>
      <c r="I1504">
        <f t="shared" si="145"/>
        <v>-1.7483609858628624E-2</v>
      </c>
      <c r="K1504">
        <f t="shared" si="146"/>
        <v>-1.2021857923497414E-2</v>
      </c>
      <c r="L1504">
        <f t="shared" si="147"/>
        <v>-5.9772863120143294E-3</v>
      </c>
      <c r="M1504">
        <f t="shared" si="148"/>
        <v>2.9089095744680993E-3</v>
      </c>
    </row>
    <row r="1505" spans="1:13" x14ac:dyDescent="0.3">
      <c r="A1505" s="3">
        <v>44182</v>
      </c>
      <c r="B1505" s="8">
        <v>9.08</v>
      </c>
      <c r="C1505" s="8">
        <v>153.62</v>
      </c>
      <c r="D1505" s="8">
        <v>119.67</v>
      </c>
      <c r="E1505">
        <v>0</v>
      </c>
      <c r="G1505">
        <f t="shared" si="143"/>
        <v>101.10393841816499</v>
      </c>
      <c r="H1505">
        <f t="shared" si="144"/>
        <v>1.4353078061950297E-2</v>
      </c>
      <c r="I1505">
        <f t="shared" si="145"/>
        <v>1.4353078061950297E-2</v>
      </c>
      <c r="K1505">
        <f t="shared" si="146"/>
        <v>4.4247787610620648E-3</v>
      </c>
      <c r="L1505">
        <f t="shared" si="147"/>
        <v>2.6391394401015678E-2</v>
      </c>
      <c r="M1505">
        <f t="shared" si="148"/>
        <v>-8.2870638932626139E-3</v>
      </c>
    </row>
    <row r="1506" spans="1:13" x14ac:dyDescent="0.3">
      <c r="A1506" s="3">
        <v>44183</v>
      </c>
      <c r="B1506" s="8">
        <v>8.9499999999999993</v>
      </c>
      <c r="C1506" s="8">
        <v>154.51</v>
      </c>
      <c r="D1506" s="8">
        <v>119.08</v>
      </c>
      <c r="E1506">
        <v>0</v>
      </c>
      <c r="G1506">
        <f t="shared" si="143"/>
        <v>99.965041545938007</v>
      </c>
      <c r="H1506">
        <f t="shared" si="144"/>
        <v>-1.1264614317164523E-2</v>
      </c>
      <c r="I1506">
        <f t="shared" si="145"/>
        <v>-1.1264614317164523E-2</v>
      </c>
      <c r="K1506">
        <f t="shared" si="146"/>
        <v>-1.4317180616740144E-2</v>
      </c>
      <c r="L1506">
        <f t="shared" si="147"/>
        <v>5.7935164692095587E-3</v>
      </c>
      <c r="M1506">
        <f t="shared" si="148"/>
        <v>-4.9302247848249658E-3</v>
      </c>
    </row>
    <row r="1507" spans="1:13" x14ac:dyDescent="0.3">
      <c r="A1507" s="3">
        <v>44186</v>
      </c>
      <c r="B1507" s="8">
        <v>8.93</v>
      </c>
      <c r="C1507" s="8">
        <v>153.02000000000001</v>
      </c>
      <c r="D1507" s="8">
        <v>123.55</v>
      </c>
      <c r="E1507">
        <v>0</v>
      </c>
      <c r="G1507">
        <f t="shared" si="143"/>
        <v>100.88878248688835</v>
      </c>
      <c r="H1507">
        <f t="shared" si="144"/>
        <v>9.2406397943209928E-3</v>
      </c>
      <c r="I1507">
        <f t="shared" si="145"/>
        <v>9.2406397943209928E-3</v>
      </c>
      <c r="K1507">
        <f t="shared" si="146"/>
        <v>-2.2346368715083775E-3</v>
      </c>
      <c r="L1507">
        <f t="shared" si="147"/>
        <v>-9.6433887774253213E-3</v>
      </c>
      <c r="M1507">
        <f t="shared" si="148"/>
        <v>3.7537789721195924E-2</v>
      </c>
    </row>
    <row r="1508" spans="1:13" x14ac:dyDescent="0.3">
      <c r="A1508" s="3">
        <v>44187</v>
      </c>
      <c r="B1508" s="8">
        <v>8.7899999999999991</v>
      </c>
      <c r="C1508" s="8">
        <v>152.72</v>
      </c>
      <c r="D1508" s="8">
        <v>121.67</v>
      </c>
      <c r="E1508">
        <v>0</v>
      </c>
      <c r="G1508">
        <f t="shared" si="143"/>
        <v>99.161354043159477</v>
      </c>
      <c r="H1508">
        <f t="shared" si="144"/>
        <v>-1.712210615638432E-2</v>
      </c>
      <c r="I1508">
        <f t="shared" si="145"/>
        <v>-1.712210615638432E-2</v>
      </c>
      <c r="K1508">
        <f t="shared" si="146"/>
        <v>-1.5677491601343796E-2</v>
      </c>
      <c r="L1508">
        <f t="shared" si="147"/>
        <v>-1.9605280355510235E-3</v>
      </c>
      <c r="M1508">
        <f t="shared" si="148"/>
        <v>-1.5216511533791999E-2</v>
      </c>
    </row>
    <row r="1509" spans="1:13" x14ac:dyDescent="0.3">
      <c r="A1509" s="3">
        <v>44188</v>
      </c>
      <c r="B1509" s="8">
        <v>8.99</v>
      </c>
      <c r="C1509" s="8">
        <v>151.94</v>
      </c>
      <c r="D1509" s="8">
        <v>125.07</v>
      </c>
      <c r="E1509">
        <v>0</v>
      </c>
      <c r="G1509">
        <f t="shared" si="143"/>
        <v>101.02502000632893</v>
      </c>
      <c r="H1509">
        <f t="shared" si="144"/>
        <v>1.8794277076514154E-2</v>
      </c>
      <c r="I1509">
        <f t="shared" si="145"/>
        <v>1.8794277076514154E-2</v>
      </c>
      <c r="K1509">
        <f t="shared" si="146"/>
        <v>2.2753128555176527E-2</v>
      </c>
      <c r="L1509">
        <f t="shared" si="147"/>
        <v>-5.1073860660031389E-3</v>
      </c>
      <c r="M1509">
        <f t="shared" si="148"/>
        <v>2.7944439878359484E-2</v>
      </c>
    </row>
    <row r="1510" spans="1:13" x14ac:dyDescent="0.3">
      <c r="A1510" s="3">
        <v>44189</v>
      </c>
      <c r="B1510" s="8">
        <v>8.86</v>
      </c>
      <c r="C1510" s="8">
        <v>152.47</v>
      </c>
      <c r="D1510" s="8">
        <v>124.52</v>
      </c>
      <c r="E1510">
        <v>0</v>
      </c>
      <c r="G1510">
        <f t="shared" si="143"/>
        <v>99.863965978752972</v>
      </c>
      <c r="H1510">
        <f t="shared" si="144"/>
        <v>-1.149273741795076E-2</v>
      </c>
      <c r="I1510">
        <f t="shared" si="145"/>
        <v>-1.149273741795076E-2</v>
      </c>
      <c r="K1510">
        <f t="shared" si="146"/>
        <v>-1.4460511679644128E-2</v>
      </c>
      <c r="L1510">
        <f t="shared" si="147"/>
        <v>3.4882190338292318E-3</v>
      </c>
      <c r="M1510">
        <f t="shared" si="148"/>
        <v>-4.3975373790676731E-3</v>
      </c>
    </row>
    <row r="1511" spans="1:13" x14ac:dyDescent="0.3">
      <c r="A1511" s="3">
        <v>44193</v>
      </c>
      <c r="B1511" s="8">
        <v>8.89</v>
      </c>
      <c r="C1511" s="8">
        <v>153.19</v>
      </c>
      <c r="D1511" s="8">
        <v>125.34</v>
      </c>
      <c r="E1511">
        <v>0</v>
      </c>
      <c r="G1511">
        <f t="shared" si="143"/>
        <v>100.52832834535776</v>
      </c>
      <c r="H1511">
        <f t="shared" si="144"/>
        <v>6.6526735654193203E-3</v>
      </c>
      <c r="I1511">
        <f t="shared" si="145"/>
        <v>6.6526735654193203E-3</v>
      </c>
      <c r="K1511">
        <f t="shared" si="146"/>
        <v>3.3860045146727469E-3</v>
      </c>
      <c r="L1511">
        <f t="shared" si="147"/>
        <v>4.7222404407425422E-3</v>
      </c>
      <c r="M1511">
        <f t="shared" si="148"/>
        <v>6.5852875040155467E-3</v>
      </c>
    </row>
    <row r="1512" spans="1:13" x14ac:dyDescent="0.3">
      <c r="A1512" s="3">
        <v>44194</v>
      </c>
      <c r="B1512" s="8">
        <v>8.82</v>
      </c>
      <c r="C1512" s="8">
        <v>154.13999999999999</v>
      </c>
      <c r="D1512" s="8">
        <v>125.01</v>
      </c>
      <c r="E1512">
        <v>0</v>
      </c>
      <c r="G1512">
        <f t="shared" si="143"/>
        <v>100.1401875096516</v>
      </c>
      <c r="H1512">
        <f t="shared" si="144"/>
        <v>-3.8610095491963259E-3</v>
      </c>
      <c r="I1512">
        <f t="shared" si="145"/>
        <v>-3.8610095491963259E-3</v>
      </c>
      <c r="K1512">
        <f t="shared" si="146"/>
        <v>-7.8740157480314821E-3</v>
      </c>
      <c r="L1512">
        <f t="shared" si="147"/>
        <v>6.2014491807558247E-3</v>
      </c>
      <c r="M1512">
        <f t="shared" si="148"/>
        <v>-2.6328386787937141E-3</v>
      </c>
    </row>
    <row r="1513" spans="1:13" x14ac:dyDescent="0.3">
      <c r="A1513" s="3">
        <v>44195</v>
      </c>
      <c r="B1513" s="8">
        <v>8.86</v>
      </c>
      <c r="C1513" s="8">
        <v>156.05000000000001</v>
      </c>
      <c r="D1513" s="8">
        <v>125.36</v>
      </c>
      <c r="E1513">
        <v>0</v>
      </c>
      <c r="G1513">
        <f t="shared" si="143"/>
        <v>100.79585854687127</v>
      </c>
      <c r="H1513">
        <f t="shared" si="144"/>
        <v>6.5475315507721454E-3</v>
      </c>
      <c r="I1513">
        <f t="shared" si="145"/>
        <v>6.5475315507721454E-3</v>
      </c>
      <c r="K1513">
        <f t="shared" si="146"/>
        <v>4.5351473922901064E-3</v>
      </c>
      <c r="L1513">
        <f t="shared" si="147"/>
        <v>1.2391332554820389E-2</v>
      </c>
      <c r="M1513">
        <f t="shared" si="148"/>
        <v>2.7997760179185871E-3</v>
      </c>
    </row>
    <row r="1514" spans="1:13" x14ac:dyDescent="0.3">
      <c r="A1514" s="3">
        <v>44196</v>
      </c>
      <c r="B1514" s="8">
        <v>8.7899999999999991</v>
      </c>
      <c r="C1514" s="8">
        <v>157.38</v>
      </c>
      <c r="D1514" s="8">
        <v>127.07</v>
      </c>
      <c r="E1514">
        <v>0</v>
      </c>
      <c r="G1514">
        <f t="shared" si="143"/>
        <v>100.87275618303921</v>
      </c>
      <c r="H1514">
        <f t="shared" si="144"/>
        <v>7.6290471926654391E-4</v>
      </c>
      <c r="I1514">
        <f t="shared" si="145"/>
        <v>7.6290471926654391E-4</v>
      </c>
      <c r="K1514">
        <f t="shared" si="146"/>
        <v>-7.900677200902928E-3</v>
      </c>
      <c r="L1514">
        <f t="shared" si="147"/>
        <v>8.5229093239345133E-3</v>
      </c>
      <c r="M1514">
        <f t="shared" si="148"/>
        <v>1.3640714741544269E-2</v>
      </c>
    </row>
    <row r="1515" spans="1:13" x14ac:dyDescent="0.3">
      <c r="A1515" s="3">
        <v>44200</v>
      </c>
      <c r="B1515" s="8">
        <v>8.52</v>
      </c>
      <c r="C1515" s="8">
        <v>156.5</v>
      </c>
      <c r="D1515" s="8">
        <v>125.87</v>
      </c>
      <c r="E1515">
        <v>0</v>
      </c>
      <c r="G1515">
        <f t="shared" si="143"/>
        <v>99.03256965132401</v>
      </c>
      <c r="H1515">
        <f t="shared" si="144"/>
        <v>-1.8242651448683422E-2</v>
      </c>
      <c r="I1515">
        <f t="shared" si="145"/>
        <v>-1.8242651448683422E-2</v>
      </c>
      <c r="K1515">
        <f t="shared" si="146"/>
        <v>-3.0716723549487956E-2</v>
      </c>
      <c r="L1515">
        <f t="shared" si="147"/>
        <v>-5.5915618248824073E-3</v>
      </c>
      <c r="M1515">
        <f t="shared" si="148"/>
        <v>-9.4436137561972888E-3</v>
      </c>
    </row>
    <row r="1516" spans="1:13" x14ac:dyDescent="0.3">
      <c r="A1516" s="3">
        <v>44201</v>
      </c>
      <c r="B1516" s="8">
        <v>8.65</v>
      </c>
      <c r="C1516" s="8">
        <v>158.34</v>
      </c>
      <c r="D1516" s="8">
        <v>125.65</v>
      </c>
      <c r="E1516">
        <v>0</v>
      </c>
      <c r="G1516">
        <f t="shared" si="143"/>
        <v>100.7042026012447</v>
      </c>
      <c r="H1516">
        <f t="shared" si="144"/>
        <v>1.6879628144621739E-2</v>
      </c>
      <c r="I1516">
        <f t="shared" si="145"/>
        <v>1.6879628144621739E-2</v>
      </c>
      <c r="K1516">
        <f t="shared" si="146"/>
        <v>1.5258215962441479E-2</v>
      </c>
      <c r="L1516">
        <f t="shared" si="147"/>
        <v>1.1757188498402682E-2</v>
      </c>
      <c r="M1516">
        <f t="shared" si="148"/>
        <v>-1.7478350679271948E-3</v>
      </c>
    </row>
    <row r="1517" spans="1:13" x14ac:dyDescent="0.3">
      <c r="A1517" s="3">
        <v>44202</v>
      </c>
      <c r="B1517" s="8">
        <v>8.84</v>
      </c>
      <c r="C1517" s="8">
        <v>159.83000000000001</v>
      </c>
      <c r="D1517" s="8">
        <v>131.55000000000001</v>
      </c>
      <c r="E1517">
        <v>0</v>
      </c>
      <c r="G1517">
        <f t="shared" si="143"/>
        <v>102.48547730475633</v>
      </c>
      <c r="H1517">
        <f t="shared" si="144"/>
        <v>1.7688186366609626E-2</v>
      </c>
      <c r="I1517">
        <f t="shared" si="145"/>
        <v>1.7688186366609626E-2</v>
      </c>
      <c r="K1517">
        <f t="shared" si="146"/>
        <v>2.1965317919075078E-2</v>
      </c>
      <c r="L1517">
        <f t="shared" si="147"/>
        <v>9.4101300997853077E-3</v>
      </c>
      <c r="M1517">
        <f t="shared" si="148"/>
        <v>4.695582968563472E-2</v>
      </c>
    </row>
    <row r="1518" spans="1:13" x14ac:dyDescent="0.3">
      <c r="A1518" s="3">
        <v>44203</v>
      </c>
      <c r="B1518" s="8">
        <v>9.06</v>
      </c>
      <c r="C1518" s="8">
        <v>160.37</v>
      </c>
      <c r="D1518" s="8">
        <v>135.87</v>
      </c>
      <c r="E1518">
        <v>0</v>
      </c>
      <c r="G1518">
        <f t="shared" si="143"/>
        <v>101.67190459449343</v>
      </c>
      <c r="H1518">
        <f t="shared" si="144"/>
        <v>-7.9384194879008607E-3</v>
      </c>
      <c r="I1518">
        <f t="shared" si="145"/>
        <v>-7.9384194879008607E-3</v>
      </c>
      <c r="K1518">
        <f t="shared" si="146"/>
        <v>2.4886877828054432E-2</v>
      </c>
      <c r="L1518">
        <f t="shared" si="147"/>
        <v>3.3785897516109831E-3</v>
      </c>
      <c r="M1518">
        <f t="shared" si="148"/>
        <v>3.2839224629418462E-2</v>
      </c>
    </row>
    <row r="1519" spans="1:13" x14ac:dyDescent="0.3">
      <c r="A1519" s="3">
        <v>44204</v>
      </c>
      <c r="B1519" s="8">
        <v>9</v>
      </c>
      <c r="C1519" s="8">
        <v>160.04</v>
      </c>
      <c r="D1519" s="8">
        <v>136.02000000000001</v>
      </c>
      <c r="E1519">
        <v>0</v>
      </c>
      <c r="G1519">
        <f t="shared" si="143"/>
        <v>99.865365379213841</v>
      </c>
      <c r="H1519">
        <f t="shared" si="144"/>
        <v>-1.77683227484009E-2</v>
      </c>
      <c r="I1519">
        <f t="shared" si="145"/>
        <v>-1.77683227484009E-2</v>
      </c>
      <c r="K1519">
        <f t="shared" si="146"/>
        <v>-6.6225165562914245E-3</v>
      </c>
      <c r="L1519">
        <f t="shared" si="147"/>
        <v>-2.057741472844099E-3</v>
      </c>
      <c r="M1519">
        <f t="shared" si="148"/>
        <v>1.1039964672112657E-3</v>
      </c>
    </row>
    <row r="1520" spans="1:13" x14ac:dyDescent="0.3">
      <c r="A1520" s="3">
        <v>44207</v>
      </c>
      <c r="B1520" s="8">
        <v>9.3000000000000007</v>
      </c>
      <c r="C1520" s="8">
        <v>159.37</v>
      </c>
      <c r="D1520" s="8">
        <v>138.05000000000001</v>
      </c>
      <c r="E1520">
        <v>0</v>
      </c>
      <c r="G1520">
        <f t="shared" si="143"/>
        <v>100.69372697886556</v>
      </c>
      <c r="H1520">
        <f t="shared" si="144"/>
        <v>8.2947836470252945E-3</v>
      </c>
      <c r="I1520">
        <f t="shared" si="145"/>
        <v>8.2947836470252945E-3</v>
      </c>
      <c r="K1520">
        <f t="shared" si="146"/>
        <v>3.3333333333333437E-2</v>
      </c>
      <c r="L1520">
        <f t="shared" si="147"/>
        <v>-4.1864533866532438E-3</v>
      </c>
      <c r="M1520">
        <f t="shared" si="148"/>
        <v>1.4924275841788015E-2</v>
      </c>
    </row>
    <row r="1521" spans="1:13" x14ac:dyDescent="0.3">
      <c r="A1521" s="3">
        <v>44208</v>
      </c>
      <c r="B1521" s="8">
        <v>9.7799999999999994</v>
      </c>
      <c r="C1521" s="8">
        <v>158.13</v>
      </c>
      <c r="D1521" s="8">
        <v>140.22</v>
      </c>
      <c r="E1521">
        <v>0</v>
      </c>
      <c r="G1521">
        <f t="shared" si="143"/>
        <v>100.72870757702729</v>
      </c>
      <c r="H1521">
        <f t="shared" si="144"/>
        <v>3.4739600182920327E-4</v>
      </c>
      <c r="I1521">
        <f t="shared" si="145"/>
        <v>3.4739600182920327E-4</v>
      </c>
      <c r="K1521">
        <f t="shared" si="146"/>
        <v>5.1612903225806361E-2</v>
      </c>
      <c r="L1521">
        <f t="shared" si="147"/>
        <v>-7.7806362552551578E-3</v>
      </c>
      <c r="M1521">
        <f t="shared" si="148"/>
        <v>1.5718942412169312E-2</v>
      </c>
    </row>
    <row r="1522" spans="1:13" x14ac:dyDescent="0.3">
      <c r="A1522" s="3">
        <v>44209</v>
      </c>
      <c r="B1522" s="8">
        <v>9.7799999999999994</v>
      </c>
      <c r="C1522" s="8">
        <v>157.88999999999999</v>
      </c>
      <c r="D1522" s="8">
        <v>140.35</v>
      </c>
      <c r="E1522">
        <v>0</v>
      </c>
      <c r="G1522">
        <f t="shared" si="143"/>
        <v>99.956134713972645</v>
      </c>
      <c r="H1522">
        <f t="shared" si="144"/>
        <v>-7.6698379403296046E-3</v>
      </c>
      <c r="I1522">
        <f t="shared" si="145"/>
        <v>-7.6698379403296046E-3</v>
      </c>
      <c r="K1522">
        <f t="shared" si="146"/>
        <v>0</v>
      </c>
      <c r="L1522">
        <f t="shared" si="147"/>
        <v>-1.5177385695314127E-3</v>
      </c>
      <c r="M1522">
        <f t="shared" si="148"/>
        <v>9.2711453430327495E-4</v>
      </c>
    </row>
    <row r="1523" spans="1:13" x14ac:dyDescent="0.3">
      <c r="A1523" s="3">
        <v>44210</v>
      </c>
      <c r="B1523" s="8">
        <v>10.17</v>
      </c>
      <c r="C1523" s="8">
        <v>160.65</v>
      </c>
      <c r="D1523" s="8">
        <v>141.16999999999999</v>
      </c>
      <c r="E1523">
        <v>0</v>
      </c>
      <c r="G1523">
        <f t="shared" si="143"/>
        <v>101.5448264780626</v>
      </c>
      <c r="H1523">
        <f t="shared" si="144"/>
        <v>1.5893889541007677E-2</v>
      </c>
      <c r="I1523">
        <f t="shared" si="145"/>
        <v>1.5893889541007677E-2</v>
      </c>
      <c r="K1523">
        <f t="shared" si="146"/>
        <v>3.9877300613496924E-2</v>
      </c>
      <c r="L1523">
        <f t="shared" si="147"/>
        <v>1.7480524415732557E-2</v>
      </c>
      <c r="M1523">
        <f t="shared" si="148"/>
        <v>5.8425365158532028E-3</v>
      </c>
    </row>
    <row r="1524" spans="1:13" x14ac:dyDescent="0.3">
      <c r="A1524" s="3">
        <v>44211</v>
      </c>
      <c r="B1524" s="8">
        <v>9.83</v>
      </c>
      <c r="C1524" s="8">
        <v>160.30000000000001</v>
      </c>
      <c r="D1524" s="8">
        <v>138.63999999999999</v>
      </c>
      <c r="E1524">
        <v>0</v>
      </c>
      <c r="G1524">
        <f t="shared" si="143"/>
        <v>98.862170887691931</v>
      </c>
      <c r="H1524">
        <f t="shared" si="144"/>
        <v>-2.6418436895455422E-2</v>
      </c>
      <c r="I1524">
        <f t="shared" si="145"/>
        <v>-2.6418436895455422E-2</v>
      </c>
      <c r="K1524">
        <f t="shared" si="146"/>
        <v>-3.3431661750245811E-2</v>
      </c>
      <c r="L1524">
        <f t="shared" si="147"/>
        <v>-2.1786492374726851E-3</v>
      </c>
      <c r="M1524">
        <f t="shared" si="148"/>
        <v>-1.7921654742509063E-2</v>
      </c>
    </row>
    <row r="1525" spans="1:13" x14ac:dyDescent="0.3">
      <c r="A1525" s="3">
        <v>44215</v>
      </c>
      <c r="B1525" s="8">
        <v>10.02</v>
      </c>
      <c r="C1525" s="8">
        <v>162.78</v>
      </c>
      <c r="D1525" s="8">
        <v>138.04</v>
      </c>
      <c r="E1525">
        <v>0</v>
      </c>
      <c r="G1525">
        <f t="shared" si="143"/>
        <v>100.84248059269649</v>
      </c>
      <c r="H1525">
        <f t="shared" si="144"/>
        <v>2.0031015779070849E-2</v>
      </c>
      <c r="I1525">
        <f t="shared" si="145"/>
        <v>2.0031015779070849E-2</v>
      </c>
      <c r="K1525">
        <f t="shared" si="146"/>
        <v>1.9328585961342792E-2</v>
      </c>
      <c r="L1525">
        <f t="shared" si="147"/>
        <v>1.5470991890205843E-2</v>
      </c>
      <c r="M1525">
        <f t="shared" si="148"/>
        <v>-4.3277553375649092E-3</v>
      </c>
    </row>
    <row r="1526" spans="1:13" x14ac:dyDescent="0.3">
      <c r="A1526" s="3">
        <v>44216</v>
      </c>
      <c r="B1526" s="8">
        <v>10.86</v>
      </c>
      <c r="C1526" s="8">
        <v>162.38</v>
      </c>
      <c r="D1526" s="8">
        <v>135.97</v>
      </c>
      <c r="E1526">
        <v>0</v>
      </c>
      <c r="G1526">
        <f t="shared" si="143"/>
        <v>100.18677410970631</v>
      </c>
      <c r="H1526">
        <f t="shared" si="144"/>
        <v>-6.5022843462031465E-3</v>
      </c>
      <c r="I1526">
        <f t="shared" si="145"/>
        <v>-6.5022843462031465E-3</v>
      </c>
      <c r="K1526">
        <f t="shared" si="146"/>
        <v>8.3832335329341312E-2</v>
      </c>
      <c r="L1526">
        <f t="shared" si="147"/>
        <v>-2.4573043371421965E-3</v>
      </c>
      <c r="M1526">
        <f t="shared" si="148"/>
        <v>-1.4995653433787282E-2</v>
      </c>
    </row>
    <row r="1527" spans="1:13" x14ac:dyDescent="0.3">
      <c r="A1527" s="3">
        <v>44217</v>
      </c>
      <c r="B1527" s="8">
        <v>11.53</v>
      </c>
      <c r="C1527" s="8">
        <v>161.72999999999999</v>
      </c>
      <c r="D1527" s="8">
        <v>134.83000000000001</v>
      </c>
      <c r="E1527">
        <v>0</v>
      </c>
      <c r="G1527">
        <f t="shared" si="143"/>
        <v>100.1233559980753</v>
      </c>
      <c r="H1527">
        <f t="shared" si="144"/>
        <v>-6.3299883836531734E-4</v>
      </c>
      <c r="I1527">
        <f t="shared" si="145"/>
        <v>-6.3299883836531734E-4</v>
      </c>
      <c r="K1527">
        <f t="shared" si="146"/>
        <v>6.1694290976058941E-2</v>
      </c>
      <c r="L1527">
        <f t="shared" si="147"/>
        <v>-4.0029560290676391E-3</v>
      </c>
      <c r="M1527">
        <f t="shared" si="148"/>
        <v>-8.3842023975876367E-3</v>
      </c>
    </row>
    <row r="1528" spans="1:13" x14ac:dyDescent="0.3">
      <c r="A1528" s="3">
        <v>44218</v>
      </c>
      <c r="B1528" s="8">
        <v>11.52</v>
      </c>
      <c r="C1528" s="8">
        <v>163.55000000000001</v>
      </c>
      <c r="D1528" s="8">
        <v>133.79</v>
      </c>
      <c r="E1528">
        <v>0</v>
      </c>
      <c r="G1528">
        <f t="shared" si="143"/>
        <v>100.28456756556862</v>
      </c>
      <c r="H1528">
        <f t="shared" si="144"/>
        <v>1.6101294836383673E-3</v>
      </c>
      <c r="I1528">
        <f t="shared" si="145"/>
        <v>1.6101294836383673E-3</v>
      </c>
      <c r="K1528">
        <f t="shared" si="146"/>
        <v>-8.6730268863832727E-4</v>
      </c>
      <c r="L1528">
        <f t="shared" si="147"/>
        <v>1.1253323440301832E-2</v>
      </c>
      <c r="M1528">
        <f t="shared" si="148"/>
        <v>-7.7134168953498783E-3</v>
      </c>
    </row>
    <row r="1529" spans="1:13" x14ac:dyDescent="0.3">
      <c r="A1529" s="3">
        <v>44221</v>
      </c>
      <c r="B1529" s="8">
        <v>11.29</v>
      </c>
      <c r="C1529" s="8">
        <v>165.98</v>
      </c>
      <c r="D1529" s="8">
        <v>132.12</v>
      </c>
      <c r="E1529">
        <v>0</v>
      </c>
      <c r="G1529">
        <f t="shared" si="143"/>
        <v>100.09199429752474</v>
      </c>
      <c r="H1529">
        <f t="shared" si="144"/>
        <v>-1.9202682199130905E-3</v>
      </c>
      <c r="I1529">
        <f t="shared" si="145"/>
        <v>-1.9202682199130905E-3</v>
      </c>
      <c r="K1529">
        <f t="shared" si="146"/>
        <v>-1.996527777777779E-2</v>
      </c>
      <c r="L1529">
        <f t="shared" si="147"/>
        <v>1.4857841638642455E-2</v>
      </c>
      <c r="M1529">
        <f t="shared" si="148"/>
        <v>-1.2482248299573895E-2</v>
      </c>
    </row>
    <row r="1530" spans="1:13" x14ac:dyDescent="0.3">
      <c r="A1530" s="3">
        <v>44222</v>
      </c>
      <c r="B1530" s="8">
        <v>11.19</v>
      </c>
      <c r="C1530" s="8">
        <v>170.48</v>
      </c>
      <c r="D1530" s="8">
        <v>131.58000000000001</v>
      </c>
      <c r="E1530">
        <v>0</v>
      </c>
      <c r="G1530">
        <f t="shared" si="143"/>
        <v>101.16015932777684</v>
      </c>
      <c r="H1530">
        <f t="shared" si="144"/>
        <v>1.0671832824880711E-2</v>
      </c>
      <c r="I1530">
        <f t="shared" si="145"/>
        <v>1.0671832824880711E-2</v>
      </c>
      <c r="K1530">
        <f t="shared" si="146"/>
        <v>-8.8573959255978663E-3</v>
      </c>
      <c r="L1530">
        <f t="shared" si="147"/>
        <v>2.7111700204843991E-2</v>
      </c>
      <c r="M1530">
        <f t="shared" si="148"/>
        <v>-4.087193460490357E-3</v>
      </c>
    </row>
    <row r="1531" spans="1:13" x14ac:dyDescent="0.3">
      <c r="A1531" s="3">
        <v>44223</v>
      </c>
      <c r="B1531" s="8">
        <v>10.79</v>
      </c>
      <c r="C1531" s="8">
        <v>167.88</v>
      </c>
      <c r="D1531" s="8">
        <v>127.86</v>
      </c>
      <c r="E1531">
        <v>0</v>
      </c>
      <c r="G1531">
        <f t="shared" si="143"/>
        <v>97.770117619801368</v>
      </c>
      <c r="H1531">
        <f t="shared" si="144"/>
        <v>-3.3511628792429415E-2</v>
      </c>
      <c r="I1531">
        <f t="shared" si="145"/>
        <v>-3.3511628792429415E-2</v>
      </c>
      <c r="K1531">
        <f t="shared" si="146"/>
        <v>-3.5746201966041169E-2</v>
      </c>
      <c r="L1531">
        <f t="shared" si="147"/>
        <v>-1.5251055842327554E-2</v>
      </c>
      <c r="M1531">
        <f t="shared" si="148"/>
        <v>-2.8271773825809476E-2</v>
      </c>
    </row>
    <row r="1532" spans="1:13" x14ac:dyDescent="0.3">
      <c r="A1532" s="3">
        <v>44224</v>
      </c>
      <c r="B1532" s="8">
        <v>10.72</v>
      </c>
      <c r="C1532" s="8">
        <v>169.16</v>
      </c>
      <c r="D1532" s="8">
        <v>130.11000000000001</v>
      </c>
      <c r="E1532">
        <v>0</v>
      </c>
      <c r="G1532">
        <f t="shared" si="143"/>
        <v>100.98984212512146</v>
      </c>
      <c r="H1532">
        <f t="shared" si="144"/>
        <v>3.2931580565757512E-2</v>
      </c>
      <c r="I1532">
        <f t="shared" si="145"/>
        <v>3.2931580565757512E-2</v>
      </c>
      <c r="K1532">
        <f t="shared" si="146"/>
        <v>-6.487488415199083E-3</v>
      </c>
      <c r="L1532">
        <f t="shared" si="147"/>
        <v>7.6244936859661827E-3</v>
      </c>
      <c r="M1532">
        <f t="shared" si="148"/>
        <v>1.7597372125762734E-2</v>
      </c>
    </row>
    <row r="1533" spans="1:13" x14ac:dyDescent="0.3">
      <c r="A1533" s="3">
        <v>44225</v>
      </c>
      <c r="B1533" s="8">
        <v>10.53</v>
      </c>
      <c r="C1533" s="8">
        <v>163.13</v>
      </c>
      <c r="D1533" s="8">
        <v>128.66999999999999</v>
      </c>
      <c r="E1533">
        <v>0</v>
      </c>
      <c r="G1533">
        <f t="shared" si="143"/>
        <v>97.54810220952406</v>
      </c>
      <c r="H1533">
        <f t="shared" si="144"/>
        <v>-3.4080060362241649E-2</v>
      </c>
      <c r="I1533">
        <f t="shared" si="145"/>
        <v>-3.4080060362241649E-2</v>
      </c>
      <c r="K1533">
        <f t="shared" si="146"/>
        <v>-1.7723880597015018E-2</v>
      </c>
      <c r="L1533">
        <f t="shared" si="147"/>
        <v>-3.5646724994088497E-2</v>
      </c>
      <c r="M1533">
        <f t="shared" si="148"/>
        <v>-1.1067558219967966E-2</v>
      </c>
    </row>
    <row r="1534" spans="1:13" x14ac:dyDescent="0.3">
      <c r="A1534" s="3">
        <v>44228</v>
      </c>
      <c r="B1534" s="8">
        <v>10.83</v>
      </c>
      <c r="C1534" s="8">
        <v>162.71</v>
      </c>
      <c r="D1534" s="8">
        <v>129.62</v>
      </c>
      <c r="E1534">
        <v>0</v>
      </c>
      <c r="G1534">
        <f t="shared" si="143"/>
        <v>100.44282600858921</v>
      </c>
      <c r="H1534">
        <f t="shared" si="144"/>
        <v>2.9674834604650258E-2</v>
      </c>
      <c r="I1534">
        <f t="shared" si="145"/>
        <v>2.9674834604650258E-2</v>
      </c>
      <c r="K1534">
        <f t="shared" si="146"/>
        <v>2.8490028490028463E-2</v>
      </c>
      <c r="L1534">
        <f t="shared" si="147"/>
        <v>-2.574633727701725E-3</v>
      </c>
      <c r="M1534">
        <f t="shared" si="148"/>
        <v>7.383228413771814E-3</v>
      </c>
    </row>
    <row r="1535" spans="1:13" x14ac:dyDescent="0.3">
      <c r="A1535" s="3">
        <v>44229</v>
      </c>
      <c r="B1535" s="8">
        <v>10.86</v>
      </c>
      <c r="C1535" s="8">
        <v>161.25</v>
      </c>
      <c r="D1535" s="8">
        <v>133.61000000000001</v>
      </c>
      <c r="E1535">
        <v>0</v>
      </c>
      <c r="G1535">
        <f t="shared" si="143"/>
        <v>100.72180125709255</v>
      </c>
      <c r="H1535">
        <f t="shared" si="144"/>
        <v>2.7774531998878693E-3</v>
      </c>
      <c r="I1535">
        <f t="shared" si="145"/>
        <v>2.7774531998878693E-3</v>
      </c>
      <c r="K1535">
        <f t="shared" si="146"/>
        <v>2.7700831024930483E-3</v>
      </c>
      <c r="L1535">
        <f t="shared" si="147"/>
        <v>-8.9730194825149434E-3</v>
      </c>
      <c r="M1535">
        <f t="shared" si="148"/>
        <v>3.0782286684153837E-2</v>
      </c>
    </row>
    <row r="1536" spans="1:13" x14ac:dyDescent="0.3">
      <c r="A1536" s="3">
        <v>44230</v>
      </c>
      <c r="B1536" s="8">
        <v>11.2</v>
      </c>
      <c r="C1536" s="8">
        <v>160.5</v>
      </c>
      <c r="D1536" s="8">
        <v>135.13999999999999</v>
      </c>
      <c r="E1536">
        <v>0</v>
      </c>
      <c r="G1536">
        <f t="shared" si="143"/>
        <v>100.51768918302963</v>
      </c>
      <c r="H1536">
        <f t="shared" si="144"/>
        <v>-2.026493485178249E-3</v>
      </c>
      <c r="I1536">
        <f t="shared" si="145"/>
        <v>-2.026493485178249E-3</v>
      </c>
      <c r="K1536">
        <f t="shared" si="146"/>
        <v>3.130755064456725E-2</v>
      </c>
      <c r="L1536">
        <f t="shared" si="147"/>
        <v>-4.6511627906976605E-3</v>
      </c>
      <c r="M1536">
        <f t="shared" si="148"/>
        <v>1.1451238679739406E-2</v>
      </c>
    </row>
    <row r="1537" spans="1:13" x14ac:dyDescent="0.3">
      <c r="A1537" s="3">
        <v>44231</v>
      </c>
      <c r="B1537" s="8">
        <v>11.37</v>
      </c>
      <c r="C1537" s="8">
        <v>161.99</v>
      </c>
      <c r="D1537" s="8">
        <v>138.25</v>
      </c>
      <c r="E1537">
        <v>0</v>
      </c>
      <c r="G1537">
        <f t="shared" si="143"/>
        <v>101.50679270916876</v>
      </c>
      <c r="H1537">
        <f t="shared" si="144"/>
        <v>9.8400941583336454E-3</v>
      </c>
      <c r="I1537">
        <f t="shared" si="145"/>
        <v>9.8400941583336454E-3</v>
      </c>
      <c r="K1537">
        <f t="shared" si="146"/>
        <v>1.5178571428571486E-2</v>
      </c>
      <c r="L1537">
        <f t="shared" si="147"/>
        <v>9.283489096573172E-3</v>
      </c>
      <c r="M1537">
        <f t="shared" si="148"/>
        <v>2.3013171525825271E-2</v>
      </c>
    </row>
    <row r="1538" spans="1:13" x14ac:dyDescent="0.3">
      <c r="A1538" s="3">
        <v>44232</v>
      </c>
      <c r="B1538" s="8">
        <v>11.51</v>
      </c>
      <c r="C1538" s="8">
        <v>164.45</v>
      </c>
      <c r="D1538" s="8">
        <v>137.97999999999999</v>
      </c>
      <c r="E1538">
        <v>0</v>
      </c>
      <c r="G1538">
        <f t="shared" si="143"/>
        <v>100.84354029294813</v>
      </c>
      <c r="H1538">
        <f t="shared" si="144"/>
        <v>-6.5340692826434399E-3</v>
      </c>
      <c r="I1538">
        <f t="shared" si="145"/>
        <v>-6.5340692826434399E-3</v>
      </c>
      <c r="K1538">
        <f t="shared" si="146"/>
        <v>1.2313104661389573E-2</v>
      </c>
      <c r="L1538">
        <f t="shared" si="147"/>
        <v>1.518612260016039E-2</v>
      </c>
      <c r="M1538">
        <f t="shared" si="148"/>
        <v>-1.9529837251357485E-3</v>
      </c>
    </row>
    <row r="1539" spans="1:13" x14ac:dyDescent="0.3">
      <c r="A1539" s="3">
        <v>44235</v>
      </c>
      <c r="B1539" s="8">
        <v>11.56</v>
      </c>
      <c r="C1539" s="8">
        <v>164.92</v>
      </c>
      <c r="D1539" s="8">
        <v>140.13999999999999</v>
      </c>
      <c r="E1539">
        <v>0</v>
      </c>
      <c r="G1539">
        <f t="shared" si="143"/>
        <v>100.78291793910059</v>
      </c>
      <c r="H1539">
        <f t="shared" si="144"/>
        <v>-6.0115257428927649E-4</v>
      </c>
      <c r="I1539">
        <f t="shared" si="145"/>
        <v>-6.0115257428927649E-4</v>
      </c>
      <c r="K1539">
        <f t="shared" si="146"/>
        <v>4.344048653345034E-3</v>
      </c>
      <c r="L1539">
        <f t="shared" si="147"/>
        <v>2.8580115536638306E-3</v>
      </c>
      <c r="M1539">
        <f t="shared" si="148"/>
        <v>1.5654442672851099E-2</v>
      </c>
    </row>
    <row r="1540" spans="1:13" x14ac:dyDescent="0.3">
      <c r="A1540" s="3">
        <v>44236</v>
      </c>
      <c r="B1540" s="8">
        <v>11.93</v>
      </c>
      <c r="C1540" s="8">
        <v>166.27</v>
      </c>
      <c r="D1540" s="8">
        <v>139.58000000000001</v>
      </c>
      <c r="E1540">
        <v>0</v>
      </c>
      <c r="G1540">
        <f t="shared" si="143"/>
        <v>100.6098164669404</v>
      </c>
      <c r="H1540">
        <f t="shared" si="144"/>
        <v>-1.7175675769258714E-3</v>
      </c>
      <c r="I1540">
        <f t="shared" si="145"/>
        <v>-1.7175675769258714E-3</v>
      </c>
      <c r="K1540">
        <f t="shared" si="146"/>
        <v>3.2006920415224904E-2</v>
      </c>
      <c r="L1540">
        <f t="shared" si="147"/>
        <v>8.1857870482660022E-3</v>
      </c>
      <c r="M1540">
        <f t="shared" si="148"/>
        <v>-3.9960039960038607E-3</v>
      </c>
    </row>
    <row r="1541" spans="1:13" x14ac:dyDescent="0.3">
      <c r="A1541" s="3">
        <v>44237</v>
      </c>
      <c r="B1541" s="8">
        <v>11.76</v>
      </c>
      <c r="C1541" s="8">
        <v>166.81</v>
      </c>
      <c r="D1541" s="8">
        <v>139.66</v>
      </c>
      <c r="E1541">
        <v>0</v>
      </c>
      <c r="G1541">
        <f t="shared" ref="G1541:G1604" si="149">$G$4*(B1541*$P$8/B1540 + C1541*$Q$8/C1540 + D1541*$R$8/D1540)</f>
        <v>100.04074765792821</v>
      </c>
      <c r="H1541">
        <f t="shared" ref="H1541:H1604" si="150">G1541/G1540-1</f>
        <v>-5.6561956774783262E-3</v>
      </c>
      <c r="I1541">
        <f t="shared" si="145"/>
        <v>-5.6561956774783262E-3</v>
      </c>
      <c r="K1541">
        <f t="shared" si="146"/>
        <v>-1.4249790444258115E-2</v>
      </c>
      <c r="L1541">
        <f t="shared" si="147"/>
        <v>3.2477295964394859E-3</v>
      </c>
      <c r="M1541">
        <f t="shared" si="148"/>
        <v>5.7314801547492245E-4</v>
      </c>
    </row>
    <row r="1542" spans="1:13" x14ac:dyDescent="0.3">
      <c r="A1542" s="3">
        <v>44238</v>
      </c>
      <c r="B1542" s="8">
        <v>11.45</v>
      </c>
      <c r="C1542" s="8">
        <v>166.06</v>
      </c>
      <c r="D1542" s="8">
        <v>139.27000000000001</v>
      </c>
      <c r="E1542">
        <v>0</v>
      </c>
      <c r="G1542">
        <f t="shared" si="149"/>
        <v>99.385352183543318</v>
      </c>
      <c r="H1542">
        <f t="shared" si="150"/>
        <v>-6.5512852485458684E-3</v>
      </c>
      <c r="I1542">
        <f t="shared" ref="I1542:I1605" si="151">H1542-E1542</f>
        <v>-6.5512852485458684E-3</v>
      </c>
      <c r="K1542">
        <f t="shared" ref="K1542:K1605" si="152">B1542/B1541-1</f>
        <v>-2.6360544217687076E-2</v>
      </c>
      <c r="L1542">
        <f t="shared" ref="L1542:L1605" si="153">C1542/C1541-1</f>
        <v>-4.496133325340157E-3</v>
      </c>
      <c r="M1542">
        <f t="shared" ref="M1542:M1605" si="154">D1542/D1541-1</f>
        <v>-2.7924960618643802E-3</v>
      </c>
    </row>
    <row r="1543" spans="1:13" x14ac:dyDescent="0.3">
      <c r="A1543" s="3">
        <v>44239</v>
      </c>
      <c r="B1543" s="8">
        <v>11.45</v>
      </c>
      <c r="C1543" s="8">
        <v>166.58</v>
      </c>
      <c r="D1543" s="8">
        <v>141.25</v>
      </c>
      <c r="E1543">
        <v>0</v>
      </c>
      <c r="G1543">
        <f t="shared" si="149"/>
        <v>100.69748413225601</v>
      </c>
      <c r="H1543">
        <f t="shared" si="150"/>
        <v>1.32024681694487E-2</v>
      </c>
      <c r="I1543">
        <f t="shared" si="151"/>
        <v>1.32024681694487E-2</v>
      </c>
      <c r="K1543">
        <f t="shared" si="152"/>
        <v>0</v>
      </c>
      <c r="L1543">
        <f t="shared" si="153"/>
        <v>3.1313982897749337E-3</v>
      </c>
      <c r="M1543">
        <f t="shared" si="154"/>
        <v>1.4216988583327206E-2</v>
      </c>
    </row>
    <row r="1544" spans="1:13" x14ac:dyDescent="0.3">
      <c r="A1544" s="3">
        <v>44243</v>
      </c>
      <c r="B1544" s="8">
        <v>11.54</v>
      </c>
      <c r="C1544" s="8">
        <v>165.07</v>
      </c>
      <c r="D1544" s="8">
        <v>144.65</v>
      </c>
      <c r="E1544">
        <v>0</v>
      </c>
      <c r="G1544">
        <f t="shared" si="149"/>
        <v>100.51782938553015</v>
      </c>
      <c r="H1544">
        <f t="shared" si="150"/>
        <v>-1.784103627553435E-3</v>
      </c>
      <c r="I1544">
        <f t="shared" si="151"/>
        <v>-1.784103627553435E-3</v>
      </c>
      <c r="K1544">
        <f t="shared" si="152"/>
        <v>7.8602620087335762E-3</v>
      </c>
      <c r="L1544">
        <f t="shared" si="153"/>
        <v>-9.0647136510987325E-3</v>
      </c>
      <c r="M1544">
        <f t="shared" si="154"/>
        <v>2.4070796460176958E-2</v>
      </c>
    </row>
    <row r="1545" spans="1:13" x14ac:dyDescent="0.3">
      <c r="A1545" s="3">
        <v>44244</v>
      </c>
      <c r="B1545" s="8">
        <v>11.48</v>
      </c>
      <c r="C1545" s="8">
        <v>165.66</v>
      </c>
      <c r="D1545" s="8">
        <v>145.1</v>
      </c>
      <c r="E1545">
        <v>0</v>
      </c>
      <c r="G1545">
        <f t="shared" si="149"/>
        <v>100.24804146612396</v>
      </c>
      <c r="H1545">
        <f t="shared" si="150"/>
        <v>-2.6839807530206761E-3</v>
      </c>
      <c r="I1545">
        <f t="shared" si="151"/>
        <v>-2.6839807530206761E-3</v>
      </c>
      <c r="K1545">
        <f t="shared" si="152"/>
        <v>-5.1993067590986319E-3</v>
      </c>
      <c r="L1545">
        <f t="shared" si="153"/>
        <v>3.574241230992925E-3</v>
      </c>
      <c r="M1545">
        <f t="shared" si="154"/>
        <v>3.1109574835810339E-3</v>
      </c>
    </row>
    <row r="1546" spans="1:13" x14ac:dyDescent="0.3">
      <c r="A1546" s="3">
        <v>44245</v>
      </c>
      <c r="B1546" s="8">
        <v>11.43</v>
      </c>
      <c r="C1546" s="8">
        <v>165.74</v>
      </c>
      <c r="D1546" s="8">
        <v>145.59</v>
      </c>
      <c r="E1546">
        <v>0</v>
      </c>
      <c r="G1546">
        <f t="shared" si="149"/>
        <v>100.10649159809124</v>
      </c>
      <c r="H1546">
        <f t="shared" si="150"/>
        <v>-1.4119963438942174E-3</v>
      </c>
      <c r="I1546">
        <f t="shared" si="151"/>
        <v>-1.4119963438942174E-3</v>
      </c>
      <c r="K1546">
        <f t="shared" si="152"/>
        <v>-4.3554006968641312E-3</v>
      </c>
      <c r="L1546">
        <f t="shared" si="153"/>
        <v>4.8291681757817173E-4</v>
      </c>
      <c r="M1546">
        <f t="shared" si="154"/>
        <v>3.3769813921433744E-3</v>
      </c>
    </row>
    <row r="1547" spans="1:13" x14ac:dyDescent="0.3">
      <c r="A1547" s="3">
        <v>44246</v>
      </c>
      <c r="B1547" s="8">
        <v>11.58</v>
      </c>
      <c r="C1547" s="8">
        <v>162.97999999999999</v>
      </c>
      <c r="D1547" s="8">
        <v>148.02000000000001</v>
      </c>
      <c r="E1547">
        <v>0</v>
      </c>
      <c r="G1547">
        <f t="shared" si="149"/>
        <v>99.901542243885629</v>
      </c>
      <c r="H1547">
        <f t="shared" si="150"/>
        <v>-2.0473133253779974E-3</v>
      </c>
      <c r="I1547">
        <f t="shared" si="151"/>
        <v>-2.0473133253779974E-3</v>
      </c>
      <c r="K1547">
        <f t="shared" si="152"/>
        <v>1.3123359580052618E-2</v>
      </c>
      <c r="L1547">
        <f t="shared" si="153"/>
        <v>-1.6652588391456669E-2</v>
      </c>
      <c r="M1547">
        <f t="shared" si="154"/>
        <v>1.6690706779311837E-2</v>
      </c>
    </row>
    <row r="1548" spans="1:13" x14ac:dyDescent="0.3">
      <c r="A1548" s="3">
        <v>44249</v>
      </c>
      <c r="B1548" s="8">
        <v>11.7</v>
      </c>
      <c r="C1548" s="8">
        <v>161.87</v>
      </c>
      <c r="D1548" s="8">
        <v>149.41</v>
      </c>
      <c r="E1548">
        <v>0</v>
      </c>
      <c r="G1548">
        <f t="shared" si="149"/>
        <v>100.10858598821282</v>
      </c>
      <c r="H1548">
        <f t="shared" si="150"/>
        <v>2.0724779585659103E-3</v>
      </c>
      <c r="I1548">
        <f t="shared" si="151"/>
        <v>2.0724779585659103E-3</v>
      </c>
      <c r="K1548">
        <f t="shared" si="152"/>
        <v>1.0362694300518172E-2</v>
      </c>
      <c r="L1548">
        <f t="shared" si="153"/>
        <v>-6.8106516136948736E-3</v>
      </c>
      <c r="M1548">
        <f t="shared" si="154"/>
        <v>9.3906228887987719E-3</v>
      </c>
    </row>
    <row r="1549" spans="1:13" x14ac:dyDescent="0.3">
      <c r="A1549" s="3">
        <v>44250</v>
      </c>
      <c r="B1549" s="8">
        <v>11.62</v>
      </c>
      <c r="C1549" s="8">
        <v>160.44</v>
      </c>
      <c r="D1549" s="8">
        <v>150.61000000000001</v>
      </c>
      <c r="E1549">
        <v>0</v>
      </c>
      <c r="G1549">
        <f t="shared" si="149"/>
        <v>99.772179115419362</v>
      </c>
      <c r="H1549">
        <f t="shared" si="150"/>
        <v>-3.360419782905244E-3</v>
      </c>
      <c r="I1549">
        <f t="shared" si="151"/>
        <v>-3.360419782905244E-3</v>
      </c>
      <c r="K1549">
        <f t="shared" si="152"/>
        <v>-6.8376068376068133E-3</v>
      </c>
      <c r="L1549">
        <f t="shared" si="153"/>
        <v>-8.8342497065546643E-3</v>
      </c>
      <c r="M1549">
        <f t="shared" si="154"/>
        <v>8.0315909243022787E-3</v>
      </c>
    </row>
    <row r="1550" spans="1:13" x14ac:dyDescent="0.3">
      <c r="A1550" s="3">
        <v>44251</v>
      </c>
      <c r="B1550" s="8">
        <v>12.27</v>
      </c>
      <c r="C1550" s="8">
        <v>162.59</v>
      </c>
      <c r="D1550" s="8">
        <v>153.26</v>
      </c>
      <c r="E1550">
        <v>0</v>
      </c>
      <c r="G1550">
        <f t="shared" si="149"/>
        <v>101.94370852538609</v>
      </c>
      <c r="H1550">
        <f t="shared" si="150"/>
        <v>2.1764879039623208E-2</v>
      </c>
      <c r="I1550">
        <f t="shared" si="151"/>
        <v>2.1764879039623208E-2</v>
      </c>
      <c r="K1550">
        <f t="shared" si="152"/>
        <v>5.5938037865748802E-2</v>
      </c>
      <c r="L1550">
        <f t="shared" si="153"/>
        <v>1.3400648217402278E-2</v>
      </c>
      <c r="M1550">
        <f t="shared" si="154"/>
        <v>1.7595113206294144E-2</v>
      </c>
    </row>
    <row r="1551" spans="1:13" x14ac:dyDescent="0.3">
      <c r="A1551" s="3">
        <v>44252</v>
      </c>
      <c r="B1551" s="8">
        <v>11.76</v>
      </c>
      <c r="C1551" s="8">
        <v>162.76</v>
      </c>
      <c r="D1551" s="8">
        <v>151.18</v>
      </c>
      <c r="E1551">
        <v>0</v>
      </c>
      <c r="G1551">
        <f t="shared" si="149"/>
        <v>99.107927669236062</v>
      </c>
      <c r="H1551">
        <f t="shared" si="150"/>
        <v>-2.7817124736480014E-2</v>
      </c>
      <c r="I1551">
        <f t="shared" si="151"/>
        <v>-2.7817124736480014E-2</v>
      </c>
      <c r="K1551">
        <f t="shared" si="152"/>
        <v>-4.1564792176039145E-2</v>
      </c>
      <c r="L1551">
        <f t="shared" si="153"/>
        <v>1.0455747585951247E-3</v>
      </c>
      <c r="M1551">
        <f t="shared" si="154"/>
        <v>-1.357170820827347E-2</v>
      </c>
    </row>
    <row r="1552" spans="1:13" x14ac:dyDescent="0.3">
      <c r="A1552" s="3">
        <v>44253</v>
      </c>
      <c r="B1552" s="8">
        <v>11.7</v>
      </c>
      <c r="C1552" s="8">
        <v>158.46</v>
      </c>
      <c r="D1552" s="8">
        <v>147.16999999999999</v>
      </c>
      <c r="E1552">
        <v>0</v>
      </c>
      <c r="G1552">
        <f t="shared" si="149"/>
        <v>97.577516218981813</v>
      </c>
      <c r="H1552">
        <f t="shared" si="150"/>
        <v>-1.5441867126531617E-2</v>
      </c>
      <c r="I1552">
        <f t="shared" si="151"/>
        <v>-1.5441867126531617E-2</v>
      </c>
      <c r="K1552">
        <f t="shared" si="152"/>
        <v>-5.1020408163265918E-3</v>
      </c>
      <c r="L1552">
        <f t="shared" si="153"/>
        <v>-2.6419267633325028E-2</v>
      </c>
      <c r="M1552">
        <f t="shared" si="154"/>
        <v>-2.6524672575737651E-2</v>
      </c>
    </row>
    <row r="1553" spans="1:13" x14ac:dyDescent="0.3">
      <c r="A1553" s="3">
        <v>44256</v>
      </c>
      <c r="B1553" s="8">
        <v>11.98</v>
      </c>
      <c r="C1553" s="8">
        <v>159.32</v>
      </c>
      <c r="D1553" s="8">
        <v>150.5</v>
      </c>
      <c r="E1553">
        <v>0</v>
      </c>
      <c r="G1553">
        <f t="shared" si="149"/>
        <v>101.38389463160568</v>
      </c>
      <c r="H1553">
        <f t="shared" si="150"/>
        <v>3.9008765134804779E-2</v>
      </c>
      <c r="I1553">
        <f t="shared" si="151"/>
        <v>3.9008765134804779E-2</v>
      </c>
      <c r="K1553">
        <f t="shared" si="152"/>
        <v>2.3931623931624069E-2</v>
      </c>
      <c r="L1553">
        <f t="shared" si="153"/>
        <v>5.4272371576422618E-3</v>
      </c>
      <c r="M1553">
        <f t="shared" si="154"/>
        <v>2.2626894068084713E-2</v>
      </c>
    </row>
    <row r="1554" spans="1:13" x14ac:dyDescent="0.3">
      <c r="A1554" s="3">
        <v>44257</v>
      </c>
      <c r="B1554" s="8">
        <v>12.55</v>
      </c>
      <c r="C1554" s="8">
        <v>159.02000000000001</v>
      </c>
      <c r="D1554" s="8">
        <v>150.01</v>
      </c>
      <c r="E1554">
        <v>0</v>
      </c>
      <c r="G1554">
        <f t="shared" si="149"/>
        <v>100.2784158218265</v>
      </c>
      <c r="H1554">
        <f t="shared" si="150"/>
        <v>-1.0903889752865714E-2</v>
      </c>
      <c r="I1554">
        <f t="shared" si="151"/>
        <v>-1.0903889752865714E-2</v>
      </c>
      <c r="K1554">
        <f t="shared" si="152"/>
        <v>4.7579298831385675E-2</v>
      </c>
      <c r="L1554">
        <f t="shared" si="153"/>
        <v>-1.8830027617372513E-3</v>
      </c>
      <c r="M1554">
        <f t="shared" si="154"/>
        <v>-3.2558139534883956E-3</v>
      </c>
    </row>
    <row r="1555" spans="1:13" x14ac:dyDescent="0.3">
      <c r="A1555" s="3">
        <v>44258</v>
      </c>
      <c r="B1555" s="8">
        <v>12.17</v>
      </c>
      <c r="C1555" s="8">
        <v>156.22</v>
      </c>
      <c r="D1555" s="8">
        <v>152.91</v>
      </c>
      <c r="E1555">
        <v>0</v>
      </c>
      <c r="G1555">
        <f t="shared" si="149"/>
        <v>99.496505675651264</v>
      </c>
      <c r="H1555">
        <f t="shared" si="150"/>
        <v>-7.7973922879328583E-3</v>
      </c>
      <c r="I1555">
        <f t="shared" si="151"/>
        <v>-7.7973922879328583E-3</v>
      </c>
      <c r="K1555">
        <f t="shared" si="152"/>
        <v>-3.0278884462151434E-2</v>
      </c>
      <c r="L1555">
        <f t="shared" si="153"/>
        <v>-1.760784806942528E-2</v>
      </c>
      <c r="M1555">
        <f t="shared" si="154"/>
        <v>1.9332044530364634E-2</v>
      </c>
    </row>
    <row r="1556" spans="1:13" x14ac:dyDescent="0.3">
      <c r="A1556" s="3">
        <v>44259</v>
      </c>
      <c r="B1556" s="8">
        <v>11.93</v>
      </c>
      <c r="C1556" s="8">
        <v>153.07</v>
      </c>
      <c r="D1556" s="8">
        <v>150.56</v>
      </c>
      <c r="E1556">
        <v>0</v>
      </c>
      <c r="G1556">
        <f t="shared" si="149"/>
        <v>98.168712253977404</v>
      </c>
      <c r="H1556">
        <f t="shared" si="150"/>
        <v>-1.3345126169579613E-2</v>
      </c>
      <c r="I1556">
        <f t="shared" si="151"/>
        <v>-1.3345126169579613E-2</v>
      </c>
      <c r="K1556">
        <f t="shared" si="152"/>
        <v>-1.9720624486442073E-2</v>
      </c>
      <c r="L1556">
        <f t="shared" si="153"/>
        <v>-2.0163871463320993E-2</v>
      </c>
      <c r="M1556">
        <f t="shared" si="154"/>
        <v>-1.5368517428552719E-2</v>
      </c>
    </row>
    <row r="1557" spans="1:13" x14ac:dyDescent="0.3">
      <c r="A1557" s="3">
        <v>44260</v>
      </c>
      <c r="B1557" s="8">
        <v>12.27</v>
      </c>
      <c r="C1557" s="8">
        <v>156.1</v>
      </c>
      <c r="D1557" s="8">
        <v>150.91</v>
      </c>
      <c r="E1557">
        <v>0</v>
      </c>
      <c r="G1557">
        <f t="shared" si="149"/>
        <v>101.41329208822721</v>
      </c>
      <c r="H1557">
        <f t="shared" si="150"/>
        <v>3.3051058323507299E-2</v>
      </c>
      <c r="I1557">
        <f t="shared" si="151"/>
        <v>3.3051058323507299E-2</v>
      </c>
      <c r="K1557">
        <f t="shared" si="152"/>
        <v>2.8499580888516229E-2</v>
      </c>
      <c r="L1557">
        <f t="shared" si="153"/>
        <v>1.9794865094401315E-2</v>
      </c>
      <c r="M1557">
        <f t="shared" si="154"/>
        <v>2.3246546227417841E-3</v>
      </c>
    </row>
    <row r="1558" spans="1:13" x14ac:dyDescent="0.3">
      <c r="A1558" s="3">
        <v>44263</v>
      </c>
      <c r="B1558" s="8">
        <v>12.65</v>
      </c>
      <c r="C1558" s="8">
        <v>157.4</v>
      </c>
      <c r="D1558" s="8">
        <v>152.91</v>
      </c>
      <c r="E1558">
        <v>0</v>
      </c>
      <c r="G1558">
        <f t="shared" si="149"/>
        <v>101.25542174752664</v>
      </c>
      <c r="H1558">
        <f t="shared" si="150"/>
        <v>-1.5567026515934668E-3</v>
      </c>
      <c r="I1558">
        <f t="shared" si="151"/>
        <v>-1.5567026515934668E-3</v>
      </c>
      <c r="K1558">
        <f t="shared" si="152"/>
        <v>3.0969845150774278E-2</v>
      </c>
      <c r="L1558">
        <f t="shared" si="153"/>
        <v>8.3279948750800692E-3</v>
      </c>
      <c r="M1558">
        <f t="shared" si="154"/>
        <v>1.3252932211251789E-2</v>
      </c>
    </row>
    <row r="1559" spans="1:13" x14ac:dyDescent="0.3">
      <c r="A1559" s="3">
        <v>44264</v>
      </c>
      <c r="B1559" s="8">
        <v>12.57</v>
      </c>
      <c r="C1559" s="8">
        <v>157.69999999999999</v>
      </c>
      <c r="D1559" s="8">
        <v>151.83000000000001</v>
      </c>
      <c r="E1559">
        <v>0</v>
      </c>
      <c r="G1559">
        <f t="shared" si="149"/>
        <v>99.766833272608253</v>
      </c>
      <c r="H1559">
        <f t="shared" si="150"/>
        <v>-1.4701321166091019E-2</v>
      </c>
      <c r="I1559">
        <f t="shared" si="151"/>
        <v>-1.4701321166091019E-2</v>
      </c>
      <c r="K1559">
        <f t="shared" si="152"/>
        <v>-6.3241106719367224E-3</v>
      </c>
      <c r="L1559">
        <f t="shared" si="153"/>
        <v>1.9059720457432761E-3</v>
      </c>
      <c r="M1559">
        <f t="shared" si="154"/>
        <v>-7.0629782224836957E-3</v>
      </c>
    </row>
    <row r="1560" spans="1:13" x14ac:dyDescent="0.3">
      <c r="A1560" s="3">
        <v>44265</v>
      </c>
      <c r="B1560" s="8">
        <v>12.91</v>
      </c>
      <c r="C1560" s="8">
        <v>159.15</v>
      </c>
      <c r="D1560" s="8">
        <v>155.13</v>
      </c>
      <c r="E1560">
        <v>0</v>
      </c>
      <c r="G1560">
        <f t="shared" si="149"/>
        <v>101.57847896575858</v>
      </c>
      <c r="H1560">
        <f t="shared" si="150"/>
        <v>1.8158797204679056E-2</v>
      </c>
      <c r="I1560">
        <f t="shared" si="151"/>
        <v>1.8158797204679056E-2</v>
      </c>
      <c r="K1560">
        <f t="shared" si="152"/>
        <v>2.704852824184556E-2</v>
      </c>
      <c r="L1560">
        <f t="shared" si="153"/>
        <v>9.1946734305645705E-3</v>
      </c>
      <c r="M1560">
        <f t="shared" si="154"/>
        <v>2.1734835012843234E-2</v>
      </c>
    </row>
    <row r="1561" spans="1:13" x14ac:dyDescent="0.3">
      <c r="A1561" s="3">
        <v>44266</v>
      </c>
      <c r="B1561" s="8">
        <v>12.81</v>
      </c>
      <c r="C1561" s="8">
        <v>159.13999999999999</v>
      </c>
      <c r="D1561" s="8">
        <v>154.32</v>
      </c>
      <c r="E1561">
        <v>0</v>
      </c>
      <c r="G1561">
        <f t="shared" si="149"/>
        <v>99.719072818196906</v>
      </c>
      <c r="H1561">
        <f t="shared" si="150"/>
        <v>-1.8305119022194338E-2</v>
      </c>
      <c r="I1561">
        <f t="shared" si="151"/>
        <v>-1.8305119022194338E-2</v>
      </c>
      <c r="K1561">
        <f t="shared" si="152"/>
        <v>-7.7459333849728695E-3</v>
      </c>
      <c r="L1561">
        <f t="shared" si="153"/>
        <v>-6.2833804586936992E-5</v>
      </c>
      <c r="M1561">
        <f t="shared" si="154"/>
        <v>-5.2214271900986597E-3</v>
      </c>
    </row>
    <row r="1562" spans="1:13" x14ac:dyDescent="0.3">
      <c r="A1562" s="3">
        <v>44267</v>
      </c>
      <c r="B1562" s="8">
        <v>13.37</v>
      </c>
      <c r="C1562" s="8">
        <v>159.6</v>
      </c>
      <c r="D1562" s="8">
        <v>156.15</v>
      </c>
      <c r="E1562">
        <v>0</v>
      </c>
      <c r="G1562">
        <f t="shared" si="149"/>
        <v>101.05438509072206</v>
      </c>
      <c r="H1562">
        <f t="shared" si="150"/>
        <v>1.3390740956443103E-2</v>
      </c>
      <c r="I1562">
        <f t="shared" si="151"/>
        <v>1.3390740956443103E-2</v>
      </c>
      <c r="K1562">
        <f t="shared" si="152"/>
        <v>4.3715846994535346E-2</v>
      </c>
      <c r="L1562">
        <f t="shared" si="153"/>
        <v>2.8905366344100791E-3</v>
      </c>
      <c r="M1562">
        <f t="shared" si="154"/>
        <v>1.1858475894245712E-2</v>
      </c>
    </row>
    <row r="1563" spans="1:13" x14ac:dyDescent="0.3">
      <c r="A1563" s="3">
        <v>44270</v>
      </c>
      <c r="B1563" s="8">
        <v>13.2</v>
      </c>
      <c r="C1563" s="8">
        <v>160.41999999999999</v>
      </c>
      <c r="D1563" s="8">
        <v>155.37</v>
      </c>
      <c r="E1563">
        <v>0</v>
      </c>
      <c r="G1563">
        <f t="shared" si="149"/>
        <v>99.945365458230256</v>
      </c>
      <c r="H1563">
        <f t="shared" si="150"/>
        <v>-1.0974483012253011E-2</v>
      </c>
      <c r="I1563">
        <f t="shared" si="151"/>
        <v>-1.0974483012253011E-2</v>
      </c>
      <c r="K1563">
        <f t="shared" si="152"/>
        <v>-1.2715033657441976E-2</v>
      </c>
      <c r="L1563">
        <f t="shared" si="153"/>
        <v>5.1378446115288856E-3</v>
      </c>
      <c r="M1563">
        <f t="shared" si="154"/>
        <v>-4.9951969260326745E-3</v>
      </c>
    </row>
    <row r="1564" spans="1:13" x14ac:dyDescent="0.3">
      <c r="A1564" s="3">
        <v>44271</v>
      </c>
      <c r="B1564" s="8">
        <v>12.49</v>
      </c>
      <c r="C1564" s="8">
        <v>161.37</v>
      </c>
      <c r="D1564" s="8">
        <v>153.51</v>
      </c>
      <c r="E1564">
        <v>0</v>
      </c>
      <c r="G1564">
        <f t="shared" si="149"/>
        <v>99.293076506985017</v>
      </c>
      <c r="H1564">
        <f t="shared" si="150"/>
        <v>-6.5264552113509788E-3</v>
      </c>
      <c r="I1564">
        <f t="shared" si="151"/>
        <v>-6.5264552113509788E-3</v>
      </c>
      <c r="K1564">
        <f t="shared" si="152"/>
        <v>-5.3787878787878718E-2</v>
      </c>
      <c r="L1564">
        <f t="shared" si="153"/>
        <v>5.9219548684703582E-3</v>
      </c>
      <c r="M1564">
        <f t="shared" si="154"/>
        <v>-1.1971423054643826E-2</v>
      </c>
    </row>
    <row r="1565" spans="1:13" x14ac:dyDescent="0.3">
      <c r="A1565" s="3">
        <v>44272</v>
      </c>
      <c r="B1565" s="8">
        <v>12.69</v>
      </c>
      <c r="C1565" s="8">
        <v>160.77000000000001</v>
      </c>
      <c r="D1565" s="8">
        <v>155.09</v>
      </c>
      <c r="E1565">
        <v>0</v>
      </c>
      <c r="G1565">
        <f t="shared" si="149"/>
        <v>100.36220400659373</v>
      </c>
      <c r="H1565">
        <f t="shared" si="150"/>
        <v>1.0767392221284533E-2</v>
      </c>
      <c r="I1565">
        <f t="shared" si="151"/>
        <v>1.0767392221284533E-2</v>
      </c>
      <c r="K1565">
        <f t="shared" si="152"/>
        <v>1.601281024819845E-2</v>
      </c>
      <c r="L1565">
        <f t="shared" si="153"/>
        <v>-3.7181632273656229E-3</v>
      </c>
      <c r="M1565">
        <f t="shared" si="154"/>
        <v>1.0292489088658874E-2</v>
      </c>
    </row>
    <row r="1566" spans="1:13" x14ac:dyDescent="0.3">
      <c r="A1566" s="3">
        <v>44273</v>
      </c>
      <c r="B1566" s="8">
        <v>12.49</v>
      </c>
      <c r="C1566" s="8">
        <v>160.47</v>
      </c>
      <c r="D1566" s="8">
        <v>157.65</v>
      </c>
      <c r="E1566">
        <v>0</v>
      </c>
      <c r="G1566">
        <f t="shared" si="149"/>
        <v>100.35915962297857</v>
      </c>
      <c r="H1566">
        <f t="shared" si="150"/>
        <v>-3.0333965313933398E-5</v>
      </c>
      <c r="I1566">
        <f t="shared" si="151"/>
        <v>-3.0333965313933398E-5</v>
      </c>
      <c r="K1566">
        <f t="shared" si="152"/>
        <v>-1.5760441292356098E-2</v>
      </c>
      <c r="L1566">
        <f t="shared" si="153"/>
        <v>-1.8660197798097133E-3</v>
      </c>
      <c r="M1566">
        <f t="shared" si="154"/>
        <v>1.650654458701406E-2</v>
      </c>
    </row>
    <row r="1567" spans="1:13" x14ac:dyDescent="0.3">
      <c r="A1567" s="3">
        <v>44274</v>
      </c>
      <c r="B1567" s="8">
        <v>12.83</v>
      </c>
      <c r="C1567" s="8">
        <v>160.04</v>
      </c>
      <c r="D1567" s="8">
        <v>155.13999999999999</v>
      </c>
      <c r="E1567">
        <v>0</v>
      </c>
      <c r="G1567">
        <f t="shared" si="149"/>
        <v>99.547111505142254</v>
      </c>
      <c r="H1567">
        <f t="shared" si="150"/>
        <v>-8.0914200645656464E-3</v>
      </c>
      <c r="I1567">
        <f t="shared" si="151"/>
        <v>-8.0914200645656464E-3</v>
      </c>
      <c r="K1567">
        <f t="shared" si="152"/>
        <v>2.7221777421937432E-2</v>
      </c>
      <c r="L1567">
        <f t="shared" si="153"/>
        <v>-2.6796285910138939E-3</v>
      </c>
      <c r="M1567">
        <f t="shared" si="154"/>
        <v>-1.5921344751030908E-2</v>
      </c>
    </row>
    <row r="1568" spans="1:13" x14ac:dyDescent="0.3">
      <c r="A1568" s="3">
        <v>44277</v>
      </c>
      <c r="B1568" s="8">
        <v>12.85</v>
      </c>
      <c r="C1568" s="8">
        <v>160.5</v>
      </c>
      <c r="D1568" s="8">
        <v>150.97</v>
      </c>
      <c r="E1568">
        <v>0</v>
      </c>
      <c r="G1568">
        <f t="shared" si="149"/>
        <v>99.153997670866943</v>
      </c>
      <c r="H1568">
        <f t="shared" si="150"/>
        <v>-3.9490230136411952E-3</v>
      </c>
      <c r="I1568">
        <f t="shared" si="151"/>
        <v>-3.9490230136411952E-3</v>
      </c>
      <c r="K1568">
        <f t="shared" si="152"/>
        <v>1.5588464536242519E-3</v>
      </c>
      <c r="L1568">
        <f t="shared" si="153"/>
        <v>2.8742814296427444E-3</v>
      </c>
      <c r="M1568">
        <f t="shared" si="154"/>
        <v>-2.6878948046925255E-2</v>
      </c>
    </row>
    <row r="1569" spans="1:13" x14ac:dyDescent="0.3">
      <c r="A1569" s="3">
        <v>44278</v>
      </c>
      <c r="B1569" s="8">
        <v>12.21</v>
      </c>
      <c r="C1569" s="8">
        <v>160.35</v>
      </c>
      <c r="D1569" s="8">
        <v>149.46</v>
      </c>
      <c r="E1569">
        <v>0</v>
      </c>
      <c r="G1569">
        <f t="shared" si="149"/>
        <v>99.053148220228636</v>
      </c>
      <c r="H1569">
        <f t="shared" si="150"/>
        <v>-1.017099189213444E-3</v>
      </c>
      <c r="I1569">
        <f t="shared" si="151"/>
        <v>-1.017099189213444E-3</v>
      </c>
      <c r="K1569">
        <f t="shared" si="152"/>
        <v>-4.9805447470817055E-2</v>
      </c>
      <c r="L1569">
        <f t="shared" si="153"/>
        <v>-9.3457943925234765E-4</v>
      </c>
      <c r="M1569">
        <f t="shared" si="154"/>
        <v>-1.0001987149764746E-2</v>
      </c>
    </row>
    <row r="1570" spans="1:13" x14ac:dyDescent="0.3">
      <c r="A1570" s="3">
        <v>44279</v>
      </c>
      <c r="B1570" s="8">
        <v>12.14</v>
      </c>
      <c r="C1570" s="8">
        <v>161.91</v>
      </c>
      <c r="D1570" s="8">
        <v>150.62</v>
      </c>
      <c r="E1570">
        <v>0</v>
      </c>
      <c r="G1570">
        <f t="shared" si="149"/>
        <v>100.73679244393175</v>
      </c>
      <c r="H1570">
        <f t="shared" si="150"/>
        <v>1.6997382253412185E-2</v>
      </c>
      <c r="I1570">
        <f t="shared" si="151"/>
        <v>1.6997382253412185E-2</v>
      </c>
      <c r="K1570">
        <f t="shared" si="152"/>
        <v>-5.7330057330057249E-3</v>
      </c>
      <c r="L1570">
        <f t="shared" si="153"/>
        <v>9.7287184284378103E-3</v>
      </c>
      <c r="M1570">
        <f t="shared" si="154"/>
        <v>7.7612739194432567E-3</v>
      </c>
    </row>
    <row r="1571" spans="1:13" x14ac:dyDescent="0.3">
      <c r="A1571" s="3">
        <v>44280</v>
      </c>
      <c r="B1571" s="8">
        <v>12.32</v>
      </c>
      <c r="C1571" s="8">
        <v>161.97</v>
      </c>
      <c r="D1571" s="8">
        <v>152.55000000000001</v>
      </c>
      <c r="E1571">
        <v>0</v>
      </c>
      <c r="G1571">
        <f t="shared" si="149"/>
        <v>100.65681206614063</v>
      </c>
      <c r="H1571">
        <f t="shared" si="150"/>
        <v>-7.939539849418642E-4</v>
      </c>
      <c r="I1571">
        <f t="shared" si="151"/>
        <v>-7.939539849418642E-4</v>
      </c>
      <c r="K1571">
        <f t="shared" si="152"/>
        <v>1.4827018121911006E-2</v>
      </c>
      <c r="L1571">
        <f t="shared" si="153"/>
        <v>3.7057624606262607E-4</v>
      </c>
      <c r="M1571">
        <f t="shared" si="154"/>
        <v>1.2813703359447759E-2</v>
      </c>
    </row>
    <row r="1572" spans="1:13" x14ac:dyDescent="0.3">
      <c r="A1572" s="3">
        <v>44281</v>
      </c>
      <c r="B1572" s="8">
        <v>12.3</v>
      </c>
      <c r="C1572" s="8">
        <v>164.93</v>
      </c>
      <c r="D1572" s="8">
        <v>155.09</v>
      </c>
      <c r="E1572">
        <v>0</v>
      </c>
      <c r="G1572">
        <f t="shared" si="149"/>
        <v>101.55781991480009</v>
      </c>
      <c r="H1572">
        <f t="shared" si="150"/>
        <v>8.9512853642474965E-3</v>
      </c>
      <c r="I1572">
        <f t="shared" si="151"/>
        <v>8.9512853642474965E-3</v>
      </c>
      <c r="K1572">
        <f t="shared" si="152"/>
        <v>-1.6233766233766378E-3</v>
      </c>
      <c r="L1572">
        <f t="shared" si="153"/>
        <v>1.8274989195530056E-2</v>
      </c>
      <c r="M1572">
        <f t="shared" si="154"/>
        <v>1.6650278597181156E-2</v>
      </c>
    </row>
    <row r="1573" spans="1:13" x14ac:dyDescent="0.3">
      <c r="A1573" s="3">
        <v>44284</v>
      </c>
      <c r="B1573" s="8">
        <v>12.15</v>
      </c>
      <c r="C1573" s="8">
        <v>166.04</v>
      </c>
      <c r="D1573" s="8">
        <v>152.68</v>
      </c>
      <c r="E1573">
        <v>0</v>
      </c>
      <c r="G1573">
        <f t="shared" si="149"/>
        <v>99.636648056361409</v>
      </c>
      <c r="H1573">
        <f t="shared" si="150"/>
        <v>-1.8917025395488118E-2</v>
      </c>
      <c r="I1573">
        <f t="shared" si="151"/>
        <v>-1.8917025395488118E-2</v>
      </c>
      <c r="K1573">
        <f t="shared" si="152"/>
        <v>-1.2195121951219523E-2</v>
      </c>
      <c r="L1573">
        <f t="shared" si="153"/>
        <v>6.7301279330624908E-3</v>
      </c>
      <c r="M1573">
        <f t="shared" si="154"/>
        <v>-1.5539364240118592E-2</v>
      </c>
    </row>
    <row r="1574" spans="1:13" x14ac:dyDescent="0.3">
      <c r="A1574" s="3">
        <v>44285</v>
      </c>
      <c r="B1574" s="8">
        <v>12.46</v>
      </c>
      <c r="C1574" s="8">
        <v>165.01</v>
      </c>
      <c r="D1574" s="8">
        <v>154.47999999999999</v>
      </c>
      <c r="E1574">
        <v>0</v>
      </c>
      <c r="G1574">
        <f t="shared" si="149"/>
        <v>100.38915990728702</v>
      </c>
      <c r="H1574">
        <f t="shared" si="150"/>
        <v>7.5525608860300686E-3</v>
      </c>
      <c r="I1574">
        <f t="shared" si="151"/>
        <v>7.5525608860300686E-3</v>
      </c>
      <c r="K1574">
        <f t="shared" si="152"/>
        <v>2.551440329218102E-2</v>
      </c>
      <c r="L1574">
        <f t="shared" si="153"/>
        <v>-6.2033245001205106E-3</v>
      </c>
      <c r="M1574">
        <f t="shared" si="154"/>
        <v>1.1789363374377748E-2</v>
      </c>
    </row>
    <row r="1575" spans="1:13" x14ac:dyDescent="0.3">
      <c r="A1575" s="3">
        <v>44286</v>
      </c>
      <c r="B1575" s="8">
        <v>12.25</v>
      </c>
      <c r="C1575" s="8">
        <v>164.35</v>
      </c>
      <c r="D1575" s="8">
        <v>152.22999999999999</v>
      </c>
      <c r="E1575">
        <v>0</v>
      </c>
      <c r="G1575">
        <f t="shared" si="149"/>
        <v>99.067728939101201</v>
      </c>
      <c r="H1575">
        <f t="shared" si="150"/>
        <v>-1.3163084235451428E-2</v>
      </c>
      <c r="I1575">
        <f t="shared" si="151"/>
        <v>-1.3163084235451428E-2</v>
      </c>
      <c r="K1575">
        <f t="shared" si="152"/>
        <v>-1.6853932584269704E-2</v>
      </c>
      <c r="L1575">
        <f t="shared" si="153"/>
        <v>-3.9997575904490157E-3</v>
      </c>
      <c r="M1575">
        <f t="shared" si="154"/>
        <v>-1.4564992232004137E-2</v>
      </c>
    </row>
    <row r="1576" spans="1:13" x14ac:dyDescent="0.3">
      <c r="A1576" s="3">
        <v>44287</v>
      </c>
      <c r="B1576" s="8">
        <v>12.17</v>
      </c>
      <c r="C1576" s="8">
        <v>162.83000000000001</v>
      </c>
      <c r="D1576" s="8">
        <v>153.71</v>
      </c>
      <c r="E1576">
        <v>0</v>
      </c>
      <c r="G1576">
        <f t="shared" si="149"/>
        <v>99.817515460707156</v>
      </c>
      <c r="H1576">
        <f t="shared" si="150"/>
        <v>7.5684234375339443E-3</v>
      </c>
      <c r="I1576">
        <f t="shared" si="151"/>
        <v>7.5684234375339443E-3</v>
      </c>
      <c r="K1576">
        <f t="shared" si="152"/>
        <v>-6.5306122448979265E-3</v>
      </c>
      <c r="L1576">
        <f t="shared" si="153"/>
        <v>-9.248554913294682E-3</v>
      </c>
      <c r="M1576">
        <f t="shared" si="154"/>
        <v>9.7221309860080485E-3</v>
      </c>
    </row>
    <row r="1577" spans="1:13" x14ac:dyDescent="0.3">
      <c r="A1577" s="3">
        <v>44291</v>
      </c>
      <c r="B1577" s="8">
        <v>12.7</v>
      </c>
      <c r="C1577" s="8">
        <v>163.43</v>
      </c>
      <c r="D1577" s="8">
        <v>153.62</v>
      </c>
      <c r="E1577">
        <v>0</v>
      </c>
      <c r="G1577">
        <f t="shared" si="149"/>
        <v>100.62557836764637</v>
      </c>
      <c r="H1577">
        <f t="shared" si="150"/>
        <v>8.0954019263013155E-3</v>
      </c>
      <c r="I1577">
        <f t="shared" si="151"/>
        <v>8.0954019263013155E-3</v>
      </c>
      <c r="K1577">
        <f t="shared" si="152"/>
        <v>4.3549712407559449E-2</v>
      </c>
      <c r="L1577">
        <f t="shared" si="153"/>
        <v>3.6848246637597448E-3</v>
      </c>
      <c r="M1577">
        <f t="shared" si="154"/>
        <v>-5.8551818359253716E-4</v>
      </c>
    </row>
    <row r="1578" spans="1:13" x14ac:dyDescent="0.3">
      <c r="A1578" s="3">
        <v>44292</v>
      </c>
      <c r="B1578" s="8">
        <v>12.92</v>
      </c>
      <c r="C1578" s="8">
        <v>163.38999999999999</v>
      </c>
      <c r="D1578" s="8">
        <v>152.54</v>
      </c>
      <c r="E1578">
        <v>0</v>
      </c>
      <c r="G1578">
        <f t="shared" si="149"/>
        <v>99.904288720252964</v>
      </c>
      <c r="H1578">
        <f t="shared" si="150"/>
        <v>-7.1680546745092055E-3</v>
      </c>
      <c r="I1578">
        <f t="shared" si="151"/>
        <v>-7.1680546745092055E-3</v>
      </c>
      <c r="K1578">
        <f t="shared" si="152"/>
        <v>1.7322834645669305E-2</v>
      </c>
      <c r="L1578">
        <f t="shared" si="153"/>
        <v>-2.4475310530513994E-4</v>
      </c>
      <c r="M1578">
        <f t="shared" si="154"/>
        <v>-7.0303345918500959E-3</v>
      </c>
    </row>
    <row r="1579" spans="1:13" x14ac:dyDescent="0.3">
      <c r="A1579" s="3">
        <v>44293</v>
      </c>
      <c r="B1579" s="8">
        <v>12.73</v>
      </c>
      <c r="C1579" s="8">
        <v>163.61000000000001</v>
      </c>
      <c r="D1579" s="8">
        <v>154.93</v>
      </c>
      <c r="E1579">
        <v>0</v>
      </c>
      <c r="G1579">
        <f t="shared" si="149"/>
        <v>100.50534931938321</v>
      </c>
      <c r="H1579">
        <f t="shared" si="150"/>
        <v>6.0163643305974901E-3</v>
      </c>
      <c r="I1579">
        <f t="shared" si="151"/>
        <v>6.0163643305974901E-3</v>
      </c>
      <c r="K1579">
        <f t="shared" si="152"/>
        <v>-1.4705882352941124E-2</v>
      </c>
      <c r="L1579">
        <f t="shared" si="153"/>
        <v>1.3464716322910686E-3</v>
      </c>
      <c r="M1579">
        <f t="shared" si="154"/>
        <v>1.5668021502556861E-2</v>
      </c>
    </row>
    <row r="1580" spans="1:13" x14ac:dyDescent="0.3">
      <c r="A1580" s="3">
        <v>44294</v>
      </c>
      <c r="B1580" s="8">
        <v>12.51</v>
      </c>
      <c r="C1580" s="8">
        <v>162.97</v>
      </c>
      <c r="D1580" s="8">
        <v>155.12</v>
      </c>
      <c r="E1580">
        <v>0</v>
      </c>
      <c r="G1580">
        <f t="shared" si="149"/>
        <v>99.662054352575893</v>
      </c>
      <c r="H1580">
        <f t="shared" si="150"/>
        <v>-8.3905480904058471E-3</v>
      </c>
      <c r="I1580">
        <f t="shared" si="151"/>
        <v>-8.3905480904058471E-3</v>
      </c>
      <c r="K1580">
        <f t="shared" si="152"/>
        <v>-1.7282010997643371E-2</v>
      </c>
      <c r="L1580">
        <f t="shared" si="153"/>
        <v>-3.9117413361042797E-3</v>
      </c>
      <c r="M1580">
        <f t="shared" si="154"/>
        <v>1.2263602917446104E-3</v>
      </c>
    </row>
    <row r="1581" spans="1:13" x14ac:dyDescent="0.3">
      <c r="A1581" s="3">
        <v>44295</v>
      </c>
      <c r="B1581" s="8">
        <v>12.51</v>
      </c>
      <c r="C1581" s="8">
        <v>161.25</v>
      </c>
      <c r="D1581" s="8">
        <v>156.28</v>
      </c>
      <c r="E1581">
        <v>0</v>
      </c>
      <c r="G1581">
        <f t="shared" si="149"/>
        <v>99.733769351596308</v>
      </c>
      <c r="H1581">
        <f t="shared" si="150"/>
        <v>7.1958178552788965E-4</v>
      </c>
      <c r="I1581">
        <f t="shared" si="151"/>
        <v>7.1958178552788965E-4</v>
      </c>
      <c r="K1581">
        <f t="shared" si="152"/>
        <v>0</v>
      </c>
      <c r="L1581">
        <f t="shared" si="153"/>
        <v>-1.0554089709762571E-2</v>
      </c>
      <c r="M1581">
        <f t="shared" si="154"/>
        <v>7.478081485301713E-3</v>
      </c>
    </row>
    <row r="1582" spans="1:13" x14ac:dyDescent="0.3">
      <c r="A1582" s="3">
        <v>44298</v>
      </c>
      <c r="B1582" s="8">
        <v>12.38</v>
      </c>
      <c r="C1582" s="8">
        <v>161.63999999999999</v>
      </c>
      <c r="D1582" s="8">
        <v>155.94999999999999</v>
      </c>
      <c r="E1582">
        <v>0</v>
      </c>
      <c r="G1582">
        <f t="shared" si="149"/>
        <v>99.937129620118441</v>
      </c>
      <c r="H1582">
        <f t="shared" si="150"/>
        <v>2.0390312112361642E-3</v>
      </c>
      <c r="I1582">
        <f t="shared" si="151"/>
        <v>2.0390312112361642E-3</v>
      </c>
      <c r="K1582">
        <f t="shared" si="152"/>
        <v>-1.0391686650679355E-2</v>
      </c>
      <c r="L1582">
        <f t="shared" si="153"/>
        <v>2.4186046511627257E-3</v>
      </c>
      <c r="M1582">
        <f t="shared" si="154"/>
        <v>-2.1115945738419128E-3</v>
      </c>
    </row>
    <row r="1583" spans="1:13" x14ac:dyDescent="0.3">
      <c r="A1583" s="3">
        <v>44299</v>
      </c>
      <c r="B1583" s="8">
        <v>12.2</v>
      </c>
      <c r="C1583" s="8">
        <v>159.47999999999999</v>
      </c>
      <c r="D1583" s="8">
        <v>154.09</v>
      </c>
      <c r="E1583">
        <v>0</v>
      </c>
      <c r="G1583">
        <f t="shared" si="149"/>
        <v>98.705409589675597</v>
      </c>
      <c r="H1583">
        <f t="shared" si="150"/>
        <v>-1.2324949046714329E-2</v>
      </c>
      <c r="I1583">
        <f t="shared" si="151"/>
        <v>-1.2324949046714329E-2</v>
      </c>
      <c r="K1583">
        <f t="shared" si="152"/>
        <v>-1.4539579967689953E-2</v>
      </c>
      <c r="L1583">
        <f t="shared" si="153"/>
        <v>-1.3363028953229383E-2</v>
      </c>
      <c r="M1583">
        <f t="shared" si="154"/>
        <v>-1.1926899647322742E-2</v>
      </c>
    </row>
    <row r="1584" spans="1:13" x14ac:dyDescent="0.3">
      <c r="A1584" s="3">
        <v>44300</v>
      </c>
      <c r="B1584" s="8">
        <v>12.24</v>
      </c>
      <c r="C1584" s="8">
        <v>159.91999999999999</v>
      </c>
      <c r="D1584" s="8">
        <v>151.21</v>
      </c>
      <c r="E1584">
        <v>0</v>
      </c>
      <c r="G1584">
        <f t="shared" si="149"/>
        <v>99.474182811914318</v>
      </c>
      <c r="H1584">
        <f t="shared" si="150"/>
        <v>7.7885622017532796E-3</v>
      </c>
      <c r="I1584">
        <f t="shared" si="151"/>
        <v>7.7885622017532796E-3</v>
      </c>
      <c r="K1584">
        <f t="shared" si="152"/>
        <v>3.2786885245903452E-3</v>
      </c>
      <c r="L1584">
        <f t="shared" si="153"/>
        <v>2.7589666415850367E-3</v>
      </c>
      <c r="M1584">
        <f t="shared" si="154"/>
        <v>-1.8690375754429223E-2</v>
      </c>
    </row>
    <row r="1585" spans="1:13" x14ac:dyDescent="0.3">
      <c r="A1585" s="3">
        <v>44301</v>
      </c>
      <c r="B1585" s="8">
        <v>12.24</v>
      </c>
      <c r="C1585" s="8">
        <v>160.38999999999999</v>
      </c>
      <c r="D1585" s="8">
        <v>152.16999999999999</v>
      </c>
      <c r="E1585">
        <v>0</v>
      </c>
      <c r="G1585">
        <f t="shared" si="149"/>
        <v>100.39141076175007</v>
      </c>
      <c r="H1585">
        <f t="shared" si="150"/>
        <v>9.2207638596040198E-3</v>
      </c>
      <c r="I1585">
        <f t="shared" si="151"/>
        <v>9.2207638596040198E-3</v>
      </c>
      <c r="K1585">
        <f t="shared" si="152"/>
        <v>0</v>
      </c>
      <c r="L1585">
        <f t="shared" si="153"/>
        <v>2.9389694847423709E-3</v>
      </c>
      <c r="M1585">
        <f t="shared" si="154"/>
        <v>6.348786455922184E-3</v>
      </c>
    </row>
    <row r="1586" spans="1:13" x14ac:dyDescent="0.3">
      <c r="A1586" s="3">
        <v>44302</v>
      </c>
      <c r="B1586" s="8">
        <v>12.23</v>
      </c>
      <c r="C1586" s="8">
        <v>162.24</v>
      </c>
      <c r="D1586" s="8">
        <v>153.30000000000001</v>
      </c>
      <c r="E1586">
        <v>0</v>
      </c>
      <c r="G1586">
        <f t="shared" si="149"/>
        <v>100.86938689865367</v>
      </c>
      <c r="H1586">
        <f t="shared" si="150"/>
        <v>4.7611258102342457E-3</v>
      </c>
      <c r="I1586">
        <f t="shared" si="151"/>
        <v>4.7611258102342457E-3</v>
      </c>
      <c r="K1586">
        <f t="shared" si="152"/>
        <v>-8.1699346405228468E-4</v>
      </c>
      <c r="L1586">
        <f t="shared" si="153"/>
        <v>1.1534384936716879E-2</v>
      </c>
      <c r="M1586">
        <f t="shared" si="154"/>
        <v>7.4259052375633683E-3</v>
      </c>
    </row>
    <row r="1587" spans="1:13" x14ac:dyDescent="0.3">
      <c r="A1587" s="3">
        <v>44305</v>
      </c>
      <c r="B1587" s="8">
        <v>12.11</v>
      </c>
      <c r="C1587" s="8">
        <v>162.69</v>
      </c>
      <c r="D1587" s="8">
        <v>152.65</v>
      </c>
      <c r="E1587">
        <v>0</v>
      </c>
      <c r="G1587">
        <f t="shared" si="149"/>
        <v>99.881533313833017</v>
      </c>
      <c r="H1587">
        <f t="shared" si="150"/>
        <v>-9.7933933693200581E-3</v>
      </c>
      <c r="I1587">
        <f t="shared" si="151"/>
        <v>-9.7933933693200581E-3</v>
      </c>
      <c r="K1587">
        <f t="shared" si="152"/>
        <v>-9.8119378577269378E-3</v>
      </c>
      <c r="L1587">
        <f t="shared" si="153"/>
        <v>2.7736686390531506E-3</v>
      </c>
      <c r="M1587">
        <f t="shared" si="154"/>
        <v>-4.2400521852576922E-3</v>
      </c>
    </row>
    <row r="1588" spans="1:13" x14ac:dyDescent="0.3">
      <c r="A1588" s="3">
        <v>44306</v>
      </c>
      <c r="B1588" s="8">
        <v>11.45</v>
      </c>
      <c r="C1588" s="8">
        <v>166.48</v>
      </c>
      <c r="D1588" s="8">
        <v>149.27000000000001</v>
      </c>
      <c r="E1588">
        <v>0</v>
      </c>
      <c r="G1588">
        <f t="shared" si="149"/>
        <v>99.804383009406266</v>
      </c>
      <c r="H1588">
        <f t="shared" si="150"/>
        <v>-7.7241810239681019E-4</v>
      </c>
      <c r="I1588">
        <f t="shared" si="151"/>
        <v>-7.7241810239681019E-4</v>
      </c>
      <c r="K1588">
        <f t="shared" si="152"/>
        <v>-5.4500412881915761E-2</v>
      </c>
      <c r="L1588">
        <f t="shared" si="153"/>
        <v>2.3295838711660188E-2</v>
      </c>
      <c r="M1588">
        <f t="shared" si="154"/>
        <v>-2.2142155257124152E-2</v>
      </c>
    </row>
    <row r="1589" spans="1:13" x14ac:dyDescent="0.3">
      <c r="A1589" s="3">
        <v>44307</v>
      </c>
      <c r="B1589" s="8">
        <v>11.73</v>
      </c>
      <c r="C1589" s="8">
        <v>166.59</v>
      </c>
      <c r="D1589" s="8">
        <v>150.54</v>
      </c>
      <c r="E1589">
        <v>0</v>
      </c>
      <c r="G1589">
        <f t="shared" si="149"/>
        <v>100.61073757714571</v>
      </c>
      <c r="H1589">
        <f t="shared" si="150"/>
        <v>8.0793502592311217E-3</v>
      </c>
      <c r="I1589">
        <f t="shared" si="151"/>
        <v>8.0793502592311217E-3</v>
      </c>
      <c r="K1589">
        <f t="shared" si="152"/>
        <v>2.4454148471615866E-2</v>
      </c>
      <c r="L1589">
        <f t="shared" si="153"/>
        <v>6.6074002883231842E-4</v>
      </c>
      <c r="M1589">
        <f t="shared" si="154"/>
        <v>8.5080726200843504E-3</v>
      </c>
    </row>
    <row r="1590" spans="1:13" x14ac:dyDescent="0.3">
      <c r="A1590" s="3">
        <v>44308</v>
      </c>
      <c r="B1590" s="8">
        <v>11.94</v>
      </c>
      <c r="C1590" s="8">
        <v>165.18</v>
      </c>
      <c r="D1590" s="8">
        <v>147.37</v>
      </c>
      <c r="E1590">
        <v>0</v>
      </c>
      <c r="G1590">
        <f t="shared" si="149"/>
        <v>98.956028593820179</v>
      </c>
      <c r="H1590">
        <f t="shared" si="150"/>
        <v>-1.6446643998179078E-2</v>
      </c>
      <c r="I1590">
        <f t="shared" si="151"/>
        <v>-1.6446643998179078E-2</v>
      </c>
      <c r="K1590">
        <f t="shared" si="152"/>
        <v>1.7902813299232712E-2</v>
      </c>
      <c r="L1590">
        <f t="shared" si="153"/>
        <v>-8.4638933909598757E-3</v>
      </c>
      <c r="M1590">
        <f t="shared" si="154"/>
        <v>-2.1057526238873359E-2</v>
      </c>
    </row>
    <row r="1591" spans="1:13" x14ac:dyDescent="0.3">
      <c r="A1591" s="3">
        <v>44309</v>
      </c>
      <c r="B1591" s="8">
        <v>12.22</v>
      </c>
      <c r="C1591" s="8">
        <v>165.52</v>
      </c>
      <c r="D1591" s="8">
        <v>150.19</v>
      </c>
      <c r="E1591">
        <v>0</v>
      </c>
      <c r="G1591">
        <f t="shared" si="149"/>
        <v>101.0726620850525</v>
      </c>
      <c r="H1591">
        <f t="shared" si="150"/>
        <v>2.1389636602337392E-2</v>
      </c>
      <c r="I1591">
        <f t="shared" si="151"/>
        <v>2.1389636602337392E-2</v>
      </c>
      <c r="K1591">
        <f t="shared" si="152"/>
        <v>2.3450586264656792E-2</v>
      </c>
      <c r="L1591">
        <f t="shared" si="153"/>
        <v>2.0583605763409007E-3</v>
      </c>
      <c r="M1591">
        <f t="shared" si="154"/>
        <v>1.9135509262400818E-2</v>
      </c>
    </row>
    <row r="1592" spans="1:13" x14ac:dyDescent="0.3">
      <c r="A1592" s="3">
        <v>44312</v>
      </c>
      <c r="B1592" s="8">
        <v>12.27</v>
      </c>
      <c r="C1592" s="8">
        <v>164.12</v>
      </c>
      <c r="D1592" s="8">
        <v>150.56</v>
      </c>
      <c r="E1592">
        <v>0</v>
      </c>
      <c r="G1592">
        <f t="shared" si="149"/>
        <v>99.696702226425927</v>
      </c>
      <c r="H1592">
        <f t="shared" si="150"/>
        <v>-1.3613570972027089E-2</v>
      </c>
      <c r="I1592">
        <f t="shared" si="151"/>
        <v>-1.3613570972027089E-2</v>
      </c>
      <c r="K1592">
        <f t="shared" si="152"/>
        <v>4.0916530278232166E-3</v>
      </c>
      <c r="L1592">
        <f t="shared" si="153"/>
        <v>-8.4581923634606815E-3</v>
      </c>
      <c r="M1592">
        <f t="shared" si="154"/>
        <v>2.4635461748452325E-3</v>
      </c>
    </row>
    <row r="1593" spans="1:13" x14ac:dyDescent="0.3">
      <c r="A1593" s="3">
        <v>44313</v>
      </c>
      <c r="B1593" s="8">
        <v>12.49</v>
      </c>
      <c r="C1593" s="8">
        <v>163.18</v>
      </c>
      <c r="D1593" s="8">
        <v>151.25</v>
      </c>
      <c r="E1593">
        <v>0</v>
      </c>
      <c r="G1593">
        <f t="shared" si="149"/>
        <v>100.06317481500749</v>
      </c>
      <c r="H1593">
        <f t="shared" si="150"/>
        <v>3.675874732037121E-3</v>
      </c>
      <c r="I1593">
        <f t="shared" si="151"/>
        <v>3.675874732037121E-3</v>
      </c>
      <c r="K1593">
        <f t="shared" si="152"/>
        <v>1.7929910350448219E-2</v>
      </c>
      <c r="L1593">
        <f t="shared" si="153"/>
        <v>-5.7275164513770349E-3</v>
      </c>
      <c r="M1593">
        <f t="shared" si="154"/>
        <v>4.5828905419766919E-3</v>
      </c>
    </row>
    <row r="1594" spans="1:13" x14ac:dyDescent="0.3">
      <c r="A1594" s="3">
        <v>44314</v>
      </c>
      <c r="B1594" s="8">
        <v>12.43</v>
      </c>
      <c r="C1594" s="8">
        <v>161.97999999999999</v>
      </c>
      <c r="D1594" s="8">
        <v>152.22999999999999</v>
      </c>
      <c r="E1594">
        <v>0</v>
      </c>
      <c r="G1594">
        <f t="shared" si="149"/>
        <v>99.811897081234648</v>
      </c>
      <c r="H1594">
        <f t="shared" si="150"/>
        <v>-2.5111908975243846E-3</v>
      </c>
      <c r="I1594">
        <f t="shared" si="151"/>
        <v>-2.5111908975243846E-3</v>
      </c>
      <c r="K1594">
        <f t="shared" si="152"/>
        <v>-4.8038430744595795E-3</v>
      </c>
      <c r="L1594">
        <f t="shared" si="153"/>
        <v>-7.3538423826450261E-3</v>
      </c>
      <c r="M1594">
        <f t="shared" si="154"/>
        <v>6.4793388429751353E-3</v>
      </c>
    </row>
    <row r="1595" spans="1:13" x14ac:dyDescent="0.3">
      <c r="A1595" s="3">
        <v>44315</v>
      </c>
      <c r="B1595" s="8">
        <v>11.26</v>
      </c>
      <c r="C1595" s="8">
        <v>164.2</v>
      </c>
      <c r="D1595" s="8">
        <v>155.19</v>
      </c>
      <c r="E1595">
        <v>0</v>
      </c>
      <c r="G1595">
        <f t="shared" si="149"/>
        <v>100.45638929746517</v>
      </c>
      <c r="H1595">
        <f t="shared" si="150"/>
        <v>6.4570680958602189E-3</v>
      </c>
      <c r="I1595">
        <f t="shared" si="151"/>
        <v>6.4570680958602189E-3</v>
      </c>
      <c r="K1595">
        <f t="shared" si="152"/>
        <v>-9.4127111826226906E-2</v>
      </c>
      <c r="L1595">
        <f t="shared" si="153"/>
        <v>1.3705395727867664E-2</v>
      </c>
      <c r="M1595">
        <f t="shared" si="154"/>
        <v>1.9444261972016097E-2</v>
      </c>
    </row>
    <row r="1596" spans="1:13" x14ac:dyDescent="0.3">
      <c r="A1596" s="3">
        <v>44316</v>
      </c>
      <c r="B1596" s="8">
        <v>11.54</v>
      </c>
      <c r="C1596" s="8">
        <v>162.72999999999999</v>
      </c>
      <c r="D1596" s="8">
        <v>153.81</v>
      </c>
      <c r="E1596">
        <v>0</v>
      </c>
      <c r="G1596">
        <f t="shared" si="149"/>
        <v>99.461448530766816</v>
      </c>
      <c r="H1596">
        <f t="shared" si="150"/>
        <v>-9.9042059311149622E-3</v>
      </c>
      <c r="I1596">
        <f t="shared" si="151"/>
        <v>-9.9042059311149622E-3</v>
      </c>
      <c r="K1596">
        <f t="shared" si="152"/>
        <v>2.4866785079928899E-2</v>
      </c>
      <c r="L1596">
        <f t="shared" si="153"/>
        <v>-8.9524969549330535E-3</v>
      </c>
      <c r="M1596">
        <f t="shared" si="154"/>
        <v>-8.8923255364391496E-3</v>
      </c>
    </row>
    <row r="1597" spans="1:13" x14ac:dyDescent="0.3">
      <c r="A1597" s="3">
        <v>44319</v>
      </c>
      <c r="B1597" s="8">
        <v>11.63</v>
      </c>
      <c r="C1597" s="8">
        <v>165.21</v>
      </c>
      <c r="D1597" s="8">
        <v>153.36000000000001</v>
      </c>
      <c r="E1597">
        <v>0</v>
      </c>
      <c r="G1597">
        <f t="shared" si="149"/>
        <v>100.76242114701104</v>
      </c>
      <c r="H1597">
        <f t="shared" si="150"/>
        <v>1.3080169608044478E-2</v>
      </c>
      <c r="I1597">
        <f t="shared" si="151"/>
        <v>1.3080169608044478E-2</v>
      </c>
      <c r="K1597">
        <f t="shared" si="152"/>
        <v>7.7989601386483365E-3</v>
      </c>
      <c r="L1597">
        <f t="shared" si="153"/>
        <v>1.5239968045228425E-2</v>
      </c>
      <c r="M1597">
        <f t="shared" si="154"/>
        <v>-2.9256875365710755E-3</v>
      </c>
    </row>
    <row r="1598" spans="1:13" x14ac:dyDescent="0.3">
      <c r="A1598" s="3">
        <v>44320</v>
      </c>
      <c r="B1598" s="8">
        <v>11.41</v>
      </c>
      <c r="C1598" s="8">
        <v>167.77</v>
      </c>
      <c r="D1598" s="8">
        <v>155.47999999999999</v>
      </c>
      <c r="E1598">
        <v>0</v>
      </c>
      <c r="G1598">
        <f t="shared" si="149"/>
        <v>101.12598745204244</v>
      </c>
      <c r="H1598">
        <f t="shared" si="150"/>
        <v>3.608153723310803E-3</v>
      </c>
      <c r="I1598">
        <f t="shared" si="151"/>
        <v>3.608153723310803E-3</v>
      </c>
      <c r="K1598">
        <f t="shared" si="152"/>
        <v>-1.8916595012897774E-2</v>
      </c>
      <c r="L1598">
        <f t="shared" si="153"/>
        <v>1.5495430058713122E-2</v>
      </c>
      <c r="M1598">
        <f t="shared" si="154"/>
        <v>1.3823682837767137E-2</v>
      </c>
    </row>
    <row r="1599" spans="1:13" x14ac:dyDescent="0.3">
      <c r="A1599" s="3">
        <v>44321</v>
      </c>
      <c r="B1599" s="8">
        <v>11.61</v>
      </c>
      <c r="C1599" s="8">
        <v>167.07</v>
      </c>
      <c r="D1599" s="8">
        <v>157.52000000000001</v>
      </c>
      <c r="E1599">
        <v>0</v>
      </c>
      <c r="G1599">
        <f t="shared" si="149"/>
        <v>100.46094684392341</v>
      </c>
      <c r="H1599">
        <f t="shared" si="150"/>
        <v>-6.576357125159471E-3</v>
      </c>
      <c r="I1599">
        <f t="shared" si="151"/>
        <v>-6.576357125159471E-3</v>
      </c>
      <c r="K1599">
        <f t="shared" si="152"/>
        <v>1.752848378615246E-2</v>
      </c>
      <c r="L1599">
        <f t="shared" si="153"/>
        <v>-4.1723788519998362E-3</v>
      </c>
      <c r="M1599">
        <f t="shared" si="154"/>
        <v>1.3120658605608515E-2</v>
      </c>
    </row>
    <row r="1600" spans="1:13" x14ac:dyDescent="0.3">
      <c r="A1600" s="3">
        <v>44322</v>
      </c>
      <c r="B1600" s="8">
        <v>11.74</v>
      </c>
      <c r="C1600" s="8">
        <v>167.74</v>
      </c>
      <c r="D1600" s="8">
        <v>160.69</v>
      </c>
      <c r="E1600">
        <v>0</v>
      </c>
      <c r="G1600">
        <f t="shared" si="149"/>
        <v>101.08274169768161</v>
      </c>
      <c r="H1600">
        <f t="shared" si="150"/>
        <v>6.1894186078519375E-3</v>
      </c>
      <c r="I1600">
        <f t="shared" si="151"/>
        <v>6.1894186078519375E-3</v>
      </c>
      <c r="K1600">
        <f t="shared" si="152"/>
        <v>1.1197243755383335E-2</v>
      </c>
      <c r="L1600">
        <f t="shared" si="153"/>
        <v>4.0102950858922348E-3</v>
      </c>
      <c r="M1600">
        <f t="shared" si="154"/>
        <v>2.0124428643981673E-2</v>
      </c>
    </row>
    <row r="1601" spans="1:13" x14ac:dyDescent="0.3">
      <c r="A1601" s="3">
        <v>44323</v>
      </c>
      <c r="B1601" s="8">
        <v>11.82</v>
      </c>
      <c r="C1601" s="8">
        <v>168.5</v>
      </c>
      <c r="D1601" s="8">
        <v>161.24</v>
      </c>
      <c r="E1601">
        <v>0</v>
      </c>
      <c r="G1601">
        <f t="shared" si="149"/>
        <v>100.43531538015826</v>
      </c>
      <c r="H1601">
        <f t="shared" si="150"/>
        <v>-6.4049144952921244E-3</v>
      </c>
      <c r="I1601">
        <f t="shared" si="151"/>
        <v>-6.4049144952921244E-3</v>
      </c>
      <c r="K1601">
        <f t="shared" si="152"/>
        <v>6.8143100511073307E-3</v>
      </c>
      <c r="L1601">
        <f t="shared" si="153"/>
        <v>4.5308215094788107E-3</v>
      </c>
      <c r="M1601">
        <f t="shared" si="154"/>
        <v>3.4227394361814323E-3</v>
      </c>
    </row>
    <row r="1602" spans="1:13" x14ac:dyDescent="0.3">
      <c r="A1602" s="3">
        <v>44326</v>
      </c>
      <c r="B1602" s="8">
        <v>11.71</v>
      </c>
      <c r="C1602" s="8">
        <v>170.27</v>
      </c>
      <c r="D1602" s="8">
        <v>161.22</v>
      </c>
      <c r="E1602">
        <v>0</v>
      </c>
      <c r="G1602">
        <f t="shared" si="149"/>
        <v>100.44286333194546</v>
      </c>
      <c r="H1602">
        <f t="shared" si="150"/>
        <v>7.5152368055331209E-5</v>
      </c>
      <c r="I1602">
        <f t="shared" si="151"/>
        <v>7.5152368055331209E-5</v>
      </c>
      <c r="K1602">
        <f t="shared" si="152"/>
        <v>-9.3062605752960437E-3</v>
      </c>
      <c r="L1602">
        <f t="shared" si="153"/>
        <v>1.0504451038575668E-2</v>
      </c>
      <c r="M1602">
        <f t="shared" si="154"/>
        <v>-1.2403870007449136E-4</v>
      </c>
    </row>
    <row r="1603" spans="1:13" x14ac:dyDescent="0.3">
      <c r="A1603" s="3">
        <v>44327</v>
      </c>
      <c r="B1603" s="8">
        <v>11.58</v>
      </c>
      <c r="C1603" s="8">
        <v>168.88</v>
      </c>
      <c r="D1603" s="8">
        <v>158.54</v>
      </c>
      <c r="E1603">
        <v>0</v>
      </c>
      <c r="G1603">
        <f t="shared" si="149"/>
        <v>98.834508587931865</v>
      </c>
      <c r="H1603">
        <f t="shared" si="150"/>
        <v>-1.6012633358512218E-2</v>
      </c>
      <c r="I1603">
        <f t="shared" si="151"/>
        <v>-1.6012633358512218E-2</v>
      </c>
      <c r="K1603">
        <f t="shared" si="152"/>
        <v>-1.1101622544833489E-2</v>
      </c>
      <c r="L1603">
        <f t="shared" si="153"/>
        <v>-8.1635050214365901E-3</v>
      </c>
      <c r="M1603">
        <f t="shared" si="154"/>
        <v>-1.662324773601298E-2</v>
      </c>
    </row>
    <row r="1604" spans="1:13" x14ac:dyDescent="0.3">
      <c r="A1604" s="3">
        <v>44328</v>
      </c>
      <c r="B1604" s="8">
        <v>11.33</v>
      </c>
      <c r="C1604" s="8">
        <v>168.2</v>
      </c>
      <c r="D1604" s="8">
        <v>157.44999999999999</v>
      </c>
      <c r="E1604">
        <v>0</v>
      </c>
      <c r="G1604">
        <f t="shared" si="149"/>
        <v>99.306089187724595</v>
      </c>
      <c r="H1604">
        <f t="shared" si="150"/>
        <v>4.7714164468493081E-3</v>
      </c>
      <c r="I1604">
        <f t="shared" si="151"/>
        <v>4.7714164468493081E-3</v>
      </c>
      <c r="K1604">
        <f t="shared" si="152"/>
        <v>-2.1588946459412783E-2</v>
      </c>
      <c r="L1604">
        <f t="shared" si="153"/>
        <v>-4.0265277119848619E-3</v>
      </c>
      <c r="M1604">
        <f t="shared" si="154"/>
        <v>-6.8752365333669685E-3</v>
      </c>
    </row>
    <row r="1605" spans="1:13" x14ac:dyDescent="0.3">
      <c r="A1605" s="3">
        <v>44329</v>
      </c>
      <c r="B1605" s="8">
        <v>11.55</v>
      </c>
      <c r="C1605" s="8">
        <v>169.96</v>
      </c>
      <c r="D1605" s="8">
        <v>161.5</v>
      </c>
      <c r="E1605">
        <v>0</v>
      </c>
      <c r="G1605">
        <f t="shared" ref="G1605:G1668" si="155">$G$4*(B1605*$P$8/B1604 + C1605*$Q$8/C1604 + D1605*$R$8/D1604)</f>
        <v>101.71441179461939</v>
      </c>
      <c r="H1605">
        <f t="shared" ref="H1605:H1668" si="156">G1605/G1604-1</f>
        <v>2.4251509918411962E-2</v>
      </c>
      <c r="I1605">
        <f t="shared" si="151"/>
        <v>2.4251509918411962E-2</v>
      </c>
      <c r="K1605">
        <f t="shared" si="152"/>
        <v>1.9417475728155331E-2</v>
      </c>
      <c r="L1605">
        <f t="shared" si="153"/>
        <v>1.0463733650416307E-2</v>
      </c>
      <c r="M1605">
        <f t="shared" si="154"/>
        <v>2.5722451571927651E-2</v>
      </c>
    </row>
    <row r="1606" spans="1:13" x14ac:dyDescent="0.3">
      <c r="A1606" s="3">
        <v>44330</v>
      </c>
      <c r="B1606" s="8">
        <v>11.84</v>
      </c>
      <c r="C1606" s="8">
        <v>170.22</v>
      </c>
      <c r="D1606" s="8">
        <v>164.01</v>
      </c>
      <c r="E1606">
        <v>0</v>
      </c>
      <c r="G1606">
        <f t="shared" si="155"/>
        <v>100.92737159793677</v>
      </c>
      <c r="H1606">
        <f t="shared" si="156"/>
        <v>-7.7377451513145346E-3</v>
      </c>
      <c r="I1606">
        <f t="shared" ref="I1606:I1669" si="157">H1606-E1606</f>
        <v>-7.7377451513145346E-3</v>
      </c>
      <c r="K1606">
        <f t="shared" ref="K1606:K1669" si="158">B1606/B1605-1</f>
        <v>2.510822510822508E-2</v>
      </c>
      <c r="L1606">
        <f t="shared" ref="L1606:L1669" si="159">C1606/C1605-1</f>
        <v>1.5297717109907794E-3</v>
      </c>
      <c r="M1606">
        <f t="shared" ref="M1606:M1669" si="160">D1606/D1605-1</f>
        <v>1.5541795665634517E-2</v>
      </c>
    </row>
    <row r="1607" spans="1:13" x14ac:dyDescent="0.3">
      <c r="A1607" s="3">
        <v>44333</v>
      </c>
      <c r="B1607" s="8">
        <v>12.15</v>
      </c>
      <c r="C1607" s="8">
        <v>170.39</v>
      </c>
      <c r="D1607" s="8">
        <v>164.67</v>
      </c>
      <c r="E1607">
        <v>0</v>
      </c>
      <c r="G1607">
        <f t="shared" si="155"/>
        <v>100.4776523249342</v>
      </c>
      <c r="H1607">
        <f t="shared" si="156"/>
        <v>-4.4558702548413986E-3</v>
      </c>
      <c r="I1607">
        <f t="shared" si="157"/>
        <v>-4.4558702548413986E-3</v>
      </c>
      <c r="K1607">
        <f t="shared" si="158"/>
        <v>2.6182432432432456E-2</v>
      </c>
      <c r="L1607">
        <f t="shared" si="159"/>
        <v>9.9870755492892371E-4</v>
      </c>
      <c r="M1607">
        <f t="shared" si="160"/>
        <v>4.0241448692153181E-3</v>
      </c>
    </row>
    <row r="1608" spans="1:13" x14ac:dyDescent="0.3">
      <c r="A1608" s="3">
        <v>44334</v>
      </c>
      <c r="B1608" s="8">
        <v>12.14</v>
      </c>
      <c r="C1608" s="8">
        <v>170.45</v>
      </c>
      <c r="D1608" s="8">
        <v>162.35</v>
      </c>
      <c r="E1608">
        <v>0</v>
      </c>
      <c r="G1608">
        <f t="shared" si="155"/>
        <v>99.479470737570111</v>
      </c>
      <c r="H1608">
        <f t="shared" si="156"/>
        <v>-9.9343641522999793E-3</v>
      </c>
      <c r="I1608">
        <f t="shared" si="157"/>
        <v>-9.9343641522999793E-3</v>
      </c>
      <c r="K1608">
        <f t="shared" si="158"/>
        <v>-8.2304526748966378E-4</v>
      </c>
      <c r="L1608">
        <f t="shared" si="159"/>
        <v>3.5213334115846706E-4</v>
      </c>
      <c r="M1608">
        <f t="shared" si="160"/>
        <v>-1.4088783627861701E-2</v>
      </c>
    </row>
    <row r="1609" spans="1:13" x14ac:dyDescent="0.3">
      <c r="A1609" s="3">
        <v>44335</v>
      </c>
      <c r="B1609" s="8">
        <v>12.11</v>
      </c>
      <c r="C1609" s="8">
        <v>170.08</v>
      </c>
      <c r="D1609" s="8">
        <v>161.11000000000001</v>
      </c>
      <c r="E1609">
        <v>0</v>
      </c>
      <c r="G1609">
        <f t="shared" si="155"/>
        <v>99.574046443355911</v>
      </c>
      <c r="H1609">
        <f t="shared" si="156"/>
        <v>9.5070575953593028E-4</v>
      </c>
      <c r="I1609">
        <f t="shared" si="157"/>
        <v>9.5070575953593028E-4</v>
      </c>
      <c r="K1609">
        <f t="shared" si="158"/>
        <v>-2.4711696869852418E-3</v>
      </c>
      <c r="L1609">
        <f t="shared" si="159"/>
        <v>-2.170724552654546E-3</v>
      </c>
      <c r="M1609">
        <f t="shared" si="160"/>
        <v>-7.6378195257159609E-3</v>
      </c>
    </row>
    <row r="1610" spans="1:13" x14ac:dyDescent="0.3">
      <c r="A1610" s="3">
        <v>44336</v>
      </c>
      <c r="B1610" s="8">
        <v>12.49</v>
      </c>
      <c r="C1610" s="8">
        <v>171.07</v>
      </c>
      <c r="D1610" s="8">
        <v>160.83000000000001</v>
      </c>
      <c r="E1610">
        <v>0</v>
      </c>
      <c r="G1610">
        <f t="shared" si="155"/>
        <v>100.5654924017783</v>
      </c>
      <c r="H1610">
        <f t="shared" si="156"/>
        <v>9.9568712313644614E-3</v>
      </c>
      <c r="I1610">
        <f t="shared" si="157"/>
        <v>9.9568712313644614E-3</v>
      </c>
      <c r="K1610">
        <f t="shared" si="158"/>
        <v>3.1379025598678778E-2</v>
      </c>
      <c r="L1610">
        <f t="shared" si="159"/>
        <v>5.8207902163687208E-3</v>
      </c>
      <c r="M1610">
        <f t="shared" si="160"/>
        <v>-1.7379430202967283E-3</v>
      </c>
    </row>
    <row r="1611" spans="1:13" x14ac:dyDescent="0.3">
      <c r="A1611" s="3">
        <v>44337</v>
      </c>
      <c r="B1611" s="8">
        <v>13.33</v>
      </c>
      <c r="C1611" s="8">
        <v>170.96</v>
      </c>
      <c r="D1611" s="8">
        <v>162.66</v>
      </c>
      <c r="E1611">
        <v>0</v>
      </c>
      <c r="G1611">
        <f t="shared" si="155"/>
        <v>101.09965397830547</v>
      </c>
      <c r="H1611">
        <f t="shared" si="156"/>
        <v>5.3115791885460784E-3</v>
      </c>
      <c r="I1611">
        <f t="shared" si="157"/>
        <v>5.3115791885460784E-3</v>
      </c>
      <c r="K1611">
        <f t="shared" si="158"/>
        <v>6.7253803042433891E-2</v>
      </c>
      <c r="L1611">
        <f t="shared" si="159"/>
        <v>-6.4301163266489159E-4</v>
      </c>
      <c r="M1611">
        <f t="shared" si="160"/>
        <v>1.1378474165267605E-2</v>
      </c>
    </row>
    <row r="1612" spans="1:13" x14ac:dyDescent="0.3">
      <c r="A1612" s="3">
        <v>44340</v>
      </c>
      <c r="B1612" s="8">
        <v>13.06</v>
      </c>
      <c r="C1612" s="8">
        <v>170.55</v>
      </c>
      <c r="D1612" s="8">
        <v>163.54</v>
      </c>
      <c r="E1612">
        <v>0</v>
      </c>
      <c r="G1612">
        <f t="shared" si="155"/>
        <v>99.866867511640706</v>
      </c>
      <c r="H1612">
        <f t="shared" si="156"/>
        <v>-1.2193775331113432E-2</v>
      </c>
      <c r="I1612">
        <f t="shared" si="157"/>
        <v>-1.2193775331113432E-2</v>
      </c>
      <c r="K1612">
        <f t="shared" si="158"/>
        <v>-2.0255063765941439E-2</v>
      </c>
      <c r="L1612">
        <f t="shared" si="159"/>
        <v>-2.398221806270473E-3</v>
      </c>
      <c r="M1612">
        <f t="shared" si="160"/>
        <v>5.4100577892535195E-3</v>
      </c>
    </row>
    <row r="1613" spans="1:13" x14ac:dyDescent="0.3">
      <c r="A1613" s="3">
        <v>44341</v>
      </c>
      <c r="B1613" s="8">
        <v>12.81</v>
      </c>
      <c r="C1613" s="8">
        <v>170.08</v>
      </c>
      <c r="D1613" s="8">
        <v>161.85</v>
      </c>
      <c r="E1613">
        <v>0</v>
      </c>
      <c r="G1613">
        <f t="shared" si="155"/>
        <v>99.267514683044936</v>
      </c>
      <c r="H1613">
        <f t="shared" si="156"/>
        <v>-6.0015182565519298E-3</v>
      </c>
      <c r="I1613">
        <f t="shared" si="157"/>
        <v>-6.0015182565519298E-3</v>
      </c>
      <c r="K1613">
        <f t="shared" si="158"/>
        <v>-1.9142419601837712E-2</v>
      </c>
      <c r="L1613">
        <f t="shared" si="159"/>
        <v>-2.7557900908824484E-3</v>
      </c>
      <c r="M1613">
        <f t="shared" si="160"/>
        <v>-1.0333863275039712E-2</v>
      </c>
    </row>
    <row r="1614" spans="1:13" x14ac:dyDescent="0.3">
      <c r="A1614" s="3">
        <v>44342</v>
      </c>
      <c r="B1614" s="8">
        <v>13.9</v>
      </c>
      <c r="C1614" s="8">
        <v>169.07</v>
      </c>
      <c r="D1614" s="8">
        <v>161.83000000000001</v>
      </c>
      <c r="E1614">
        <v>0</v>
      </c>
      <c r="G1614">
        <f t="shared" si="155"/>
        <v>100.57897524059108</v>
      </c>
      <c r="H1614">
        <f t="shared" si="156"/>
        <v>1.3211376971948408E-2</v>
      </c>
      <c r="I1614">
        <f t="shared" si="157"/>
        <v>1.3211376971948408E-2</v>
      </c>
      <c r="K1614">
        <f t="shared" si="158"/>
        <v>8.5089773614363873E-2</v>
      </c>
      <c r="L1614">
        <f t="shared" si="159"/>
        <v>-5.9383819379116298E-3</v>
      </c>
      <c r="M1614">
        <f t="shared" si="160"/>
        <v>-1.235712079084017E-4</v>
      </c>
    </row>
    <row r="1615" spans="1:13" x14ac:dyDescent="0.3">
      <c r="A1615" s="3">
        <v>44343</v>
      </c>
      <c r="B1615" s="8">
        <v>14.88</v>
      </c>
      <c r="C1615" s="8">
        <v>168.81</v>
      </c>
      <c r="D1615" s="8">
        <v>164.35</v>
      </c>
      <c r="E1615">
        <v>0</v>
      </c>
      <c r="G1615">
        <f t="shared" si="155"/>
        <v>101.245084613599</v>
      </c>
      <c r="H1615">
        <f t="shared" si="156"/>
        <v>6.6227496493631577E-3</v>
      </c>
      <c r="I1615">
        <f t="shared" si="157"/>
        <v>6.6227496493631577E-3</v>
      </c>
      <c r="K1615">
        <f t="shared" si="158"/>
        <v>7.0503597122302253E-2</v>
      </c>
      <c r="L1615">
        <f t="shared" si="159"/>
        <v>-1.5378245697047488E-3</v>
      </c>
      <c r="M1615">
        <f t="shared" si="160"/>
        <v>1.5571896434529942E-2</v>
      </c>
    </row>
    <row r="1616" spans="1:13" x14ac:dyDescent="0.3">
      <c r="A1616" s="3">
        <v>44344</v>
      </c>
      <c r="B1616" s="8">
        <v>14.53</v>
      </c>
      <c r="C1616" s="8">
        <v>169.25</v>
      </c>
      <c r="D1616" s="8">
        <v>164.24</v>
      </c>
      <c r="E1616">
        <v>0</v>
      </c>
      <c r="G1616">
        <f t="shared" si="155"/>
        <v>99.8635496201546</v>
      </c>
      <c r="H1616">
        <f t="shared" si="156"/>
        <v>-1.3645452504850164E-2</v>
      </c>
      <c r="I1616">
        <f t="shared" si="157"/>
        <v>-1.3645452504850164E-2</v>
      </c>
      <c r="K1616">
        <f t="shared" si="158"/>
        <v>-2.3521505376344232E-2</v>
      </c>
      <c r="L1616">
        <f t="shared" si="159"/>
        <v>2.6064806587287048E-3</v>
      </c>
      <c r="M1616">
        <f t="shared" si="160"/>
        <v>-6.6930331609360572E-4</v>
      </c>
    </row>
    <row r="1617" spans="1:13" x14ac:dyDescent="0.3">
      <c r="A1617" s="3">
        <v>44348</v>
      </c>
      <c r="B1617" s="8">
        <v>14.81</v>
      </c>
      <c r="C1617" s="8">
        <v>165.53</v>
      </c>
      <c r="D1617" s="8">
        <v>166.05</v>
      </c>
      <c r="E1617">
        <v>0</v>
      </c>
      <c r="G1617">
        <f t="shared" si="155"/>
        <v>99.476190723484237</v>
      </c>
      <c r="H1617">
        <f t="shared" si="156"/>
        <v>-3.878881715538296E-3</v>
      </c>
      <c r="I1617">
        <f t="shared" si="157"/>
        <v>-3.878881715538296E-3</v>
      </c>
      <c r="K1617">
        <f t="shared" si="158"/>
        <v>1.9270474879559574E-2</v>
      </c>
      <c r="L1617">
        <f t="shared" si="159"/>
        <v>-2.1979320531757773E-2</v>
      </c>
      <c r="M1617">
        <f t="shared" si="160"/>
        <v>1.1020457866536715E-2</v>
      </c>
    </row>
    <row r="1618" spans="1:13" x14ac:dyDescent="0.3">
      <c r="A1618" s="3">
        <v>44349</v>
      </c>
      <c r="B1618" s="8">
        <v>14.91</v>
      </c>
      <c r="C1618" s="8">
        <v>166.2</v>
      </c>
      <c r="D1618" s="8">
        <v>166.06</v>
      </c>
      <c r="E1618">
        <v>0</v>
      </c>
      <c r="G1618">
        <f t="shared" si="155"/>
        <v>100.28305594388986</v>
      </c>
      <c r="H1618">
        <f t="shared" si="156"/>
        <v>8.1111391031094549E-3</v>
      </c>
      <c r="I1618">
        <f t="shared" si="157"/>
        <v>8.1111391031094549E-3</v>
      </c>
      <c r="K1618">
        <f t="shared" si="158"/>
        <v>6.7521944632005226E-3</v>
      </c>
      <c r="L1618">
        <f t="shared" si="159"/>
        <v>4.0476046638071583E-3</v>
      </c>
      <c r="M1618">
        <f t="shared" si="160"/>
        <v>6.0222824450395507E-5</v>
      </c>
    </row>
    <row r="1619" spans="1:13" x14ac:dyDescent="0.3">
      <c r="A1619" s="3">
        <v>44350</v>
      </c>
      <c r="B1619" s="8">
        <v>15.99</v>
      </c>
      <c r="C1619" s="8">
        <v>166.04</v>
      </c>
      <c r="D1619" s="8">
        <v>166.17</v>
      </c>
      <c r="E1619">
        <v>0</v>
      </c>
      <c r="G1619">
        <f t="shared" si="155"/>
        <v>100.73410562025367</v>
      </c>
      <c r="H1619">
        <f t="shared" si="156"/>
        <v>4.4977655708475783E-3</v>
      </c>
      <c r="I1619">
        <f t="shared" si="157"/>
        <v>4.4977655708475783E-3</v>
      </c>
      <c r="K1619">
        <f t="shared" si="158"/>
        <v>7.2434607645875282E-2</v>
      </c>
      <c r="L1619">
        <f t="shared" si="159"/>
        <v>-9.6269554753303233E-4</v>
      </c>
      <c r="M1619">
        <f t="shared" si="160"/>
        <v>6.6241117668308647E-4</v>
      </c>
    </row>
    <row r="1620" spans="1:13" x14ac:dyDescent="0.3">
      <c r="A1620" s="3">
        <v>44351</v>
      </c>
      <c r="B1620" s="8">
        <v>15.97</v>
      </c>
      <c r="C1620" s="8">
        <v>165.97</v>
      </c>
      <c r="D1620" s="8">
        <v>166.44</v>
      </c>
      <c r="E1620">
        <v>0</v>
      </c>
      <c r="G1620">
        <f t="shared" si="155"/>
        <v>100.02616045656075</v>
      </c>
      <c r="H1620">
        <f t="shared" si="156"/>
        <v>-7.0278597237138918E-3</v>
      </c>
      <c r="I1620">
        <f t="shared" si="157"/>
        <v>-7.0278597237138918E-3</v>
      </c>
      <c r="K1620">
        <f t="shared" si="158"/>
        <v>-1.2507817385866149E-3</v>
      </c>
      <c r="L1620">
        <f t="shared" si="159"/>
        <v>-4.2158516020229797E-4</v>
      </c>
      <c r="M1620">
        <f t="shared" si="160"/>
        <v>1.6248420292472865E-3</v>
      </c>
    </row>
    <row r="1621" spans="1:13" x14ac:dyDescent="0.3">
      <c r="A1621" s="3">
        <v>44354</v>
      </c>
      <c r="B1621" s="8">
        <v>15.88</v>
      </c>
      <c r="C1621" s="8">
        <v>164.84</v>
      </c>
      <c r="D1621" s="8">
        <v>165.66</v>
      </c>
      <c r="E1621">
        <v>0</v>
      </c>
      <c r="G1621">
        <f t="shared" si="155"/>
        <v>99.411302510207648</v>
      </c>
      <c r="H1621">
        <f t="shared" si="156"/>
        <v>-6.1469713877513321E-3</v>
      </c>
      <c r="I1621">
        <f t="shared" si="157"/>
        <v>-6.1469713877513321E-3</v>
      </c>
      <c r="K1621">
        <f t="shared" si="158"/>
        <v>-5.635566687539173E-3</v>
      </c>
      <c r="L1621">
        <f t="shared" si="159"/>
        <v>-6.8084593601253074E-3</v>
      </c>
      <c r="M1621">
        <f t="shared" si="160"/>
        <v>-4.6863734679163382E-3</v>
      </c>
    </row>
    <row r="1622" spans="1:13" x14ac:dyDescent="0.3">
      <c r="A1622" s="3">
        <v>44355</v>
      </c>
      <c r="B1622" s="8">
        <v>15.63</v>
      </c>
      <c r="C1622" s="8">
        <v>163.38999999999999</v>
      </c>
      <c r="D1622" s="8">
        <v>165</v>
      </c>
      <c r="E1622">
        <v>0</v>
      </c>
      <c r="G1622">
        <f t="shared" si="155"/>
        <v>99.228649935657671</v>
      </c>
      <c r="H1622">
        <f t="shared" si="156"/>
        <v>-1.8373421325127426E-3</v>
      </c>
      <c r="I1622">
        <f t="shared" si="157"/>
        <v>-1.8373421325127426E-3</v>
      </c>
      <c r="K1622">
        <f t="shared" si="158"/>
        <v>-1.5743073047858935E-2</v>
      </c>
      <c r="L1622">
        <f t="shared" si="159"/>
        <v>-8.7964086386800311E-3</v>
      </c>
      <c r="M1622">
        <f t="shared" si="160"/>
        <v>-3.9840637450199168E-3</v>
      </c>
    </row>
    <row r="1623" spans="1:13" x14ac:dyDescent="0.3">
      <c r="A1623" s="3">
        <v>44356</v>
      </c>
      <c r="B1623" s="8">
        <v>15.48</v>
      </c>
      <c r="C1623" s="8">
        <v>165.59</v>
      </c>
      <c r="D1623" s="8">
        <v>162.94</v>
      </c>
      <c r="E1623">
        <v>0</v>
      </c>
      <c r="G1623">
        <f t="shared" si="155"/>
        <v>100.12827162133715</v>
      </c>
      <c r="H1623">
        <f t="shared" si="156"/>
        <v>9.0661485998531077E-3</v>
      </c>
      <c r="I1623">
        <f t="shared" si="157"/>
        <v>9.0661485998531077E-3</v>
      </c>
      <c r="K1623">
        <f t="shared" si="158"/>
        <v>-9.5969289827255722E-3</v>
      </c>
      <c r="L1623">
        <f t="shared" si="159"/>
        <v>1.3464716322908465E-2</v>
      </c>
      <c r="M1623">
        <f t="shared" si="160"/>
        <v>-1.2484848484848543E-2</v>
      </c>
    </row>
    <row r="1624" spans="1:13" x14ac:dyDescent="0.3">
      <c r="A1624" s="3">
        <v>44357</v>
      </c>
      <c r="B1624" s="8">
        <v>15.11</v>
      </c>
      <c r="C1624" s="8">
        <v>167.08</v>
      </c>
      <c r="D1624" s="8">
        <v>160.4</v>
      </c>
      <c r="E1624">
        <v>0</v>
      </c>
      <c r="G1624">
        <f t="shared" si="155"/>
        <v>99.629791647421882</v>
      </c>
      <c r="H1624">
        <f t="shared" si="156"/>
        <v>-4.9784138469942674E-3</v>
      </c>
      <c r="I1624">
        <f t="shared" si="157"/>
        <v>-4.9784138469942674E-3</v>
      </c>
      <c r="K1624">
        <f t="shared" si="158"/>
        <v>-2.3901808785529832E-2</v>
      </c>
      <c r="L1624">
        <f t="shared" si="159"/>
        <v>8.9981279062745223E-3</v>
      </c>
      <c r="M1624">
        <f t="shared" si="160"/>
        <v>-1.55885602062108E-2</v>
      </c>
    </row>
    <row r="1625" spans="1:13" x14ac:dyDescent="0.3">
      <c r="A1625" s="3">
        <v>44358</v>
      </c>
      <c r="B1625" s="8">
        <v>15.28</v>
      </c>
      <c r="C1625" s="8">
        <v>164.96</v>
      </c>
      <c r="D1625" s="8">
        <v>160.29</v>
      </c>
      <c r="E1625">
        <v>0</v>
      </c>
      <c r="G1625">
        <f t="shared" si="155"/>
        <v>99.433712417376199</v>
      </c>
      <c r="H1625">
        <f t="shared" si="156"/>
        <v>-1.9680782906741356E-3</v>
      </c>
      <c r="I1625">
        <f t="shared" si="157"/>
        <v>-1.9680782906741356E-3</v>
      </c>
      <c r="K1625">
        <f t="shared" si="158"/>
        <v>1.1250827266710672E-2</v>
      </c>
      <c r="L1625">
        <f t="shared" si="159"/>
        <v>-1.2688532439549927E-2</v>
      </c>
      <c r="M1625">
        <f t="shared" si="160"/>
        <v>-6.8578553615972204E-4</v>
      </c>
    </row>
    <row r="1626" spans="1:13" x14ac:dyDescent="0.3">
      <c r="A1626" s="3">
        <v>44361</v>
      </c>
      <c r="B1626" s="8">
        <v>14.87</v>
      </c>
      <c r="C1626" s="8">
        <v>165.37</v>
      </c>
      <c r="D1626" s="8">
        <v>157.57</v>
      </c>
      <c r="E1626">
        <v>0</v>
      </c>
      <c r="G1626">
        <f t="shared" si="155"/>
        <v>99.209186579429613</v>
      </c>
      <c r="H1626">
        <f t="shared" si="156"/>
        <v>-2.2580454102339997E-3</v>
      </c>
      <c r="I1626">
        <f t="shared" si="157"/>
        <v>-2.2580454102339997E-3</v>
      </c>
      <c r="K1626">
        <f t="shared" si="158"/>
        <v>-2.6832460732984287E-2</v>
      </c>
      <c r="L1626">
        <f t="shared" si="159"/>
        <v>2.4854510184286749E-3</v>
      </c>
      <c r="M1626">
        <f t="shared" si="160"/>
        <v>-1.6969243246615529E-2</v>
      </c>
    </row>
    <row r="1627" spans="1:13" x14ac:dyDescent="0.3">
      <c r="A1627" s="3">
        <v>44362</v>
      </c>
      <c r="B1627" s="8">
        <v>15</v>
      </c>
      <c r="C1627" s="8">
        <v>164.49</v>
      </c>
      <c r="D1627" s="8">
        <v>155.18</v>
      </c>
      <c r="E1627">
        <v>0</v>
      </c>
      <c r="G1627">
        <f t="shared" si="155"/>
        <v>99.244719802397768</v>
      </c>
      <c r="H1627">
        <f t="shared" si="156"/>
        <v>3.5816464375204582E-4</v>
      </c>
      <c r="I1627">
        <f t="shared" si="157"/>
        <v>3.5816464375204582E-4</v>
      </c>
      <c r="K1627">
        <f t="shared" si="158"/>
        <v>8.7424344317417191E-3</v>
      </c>
      <c r="L1627">
        <f t="shared" si="159"/>
        <v>-5.3214004958577199E-3</v>
      </c>
      <c r="M1627">
        <f t="shared" si="160"/>
        <v>-1.5167861902646407E-2</v>
      </c>
    </row>
    <row r="1628" spans="1:13" x14ac:dyDescent="0.3">
      <c r="A1628" s="3">
        <v>44363</v>
      </c>
      <c r="B1628" s="8">
        <v>15.02</v>
      </c>
      <c r="C1628" s="8">
        <v>164.43</v>
      </c>
      <c r="D1628" s="8">
        <v>156.27000000000001</v>
      </c>
      <c r="E1628">
        <v>0</v>
      </c>
      <c r="G1628">
        <f t="shared" si="155"/>
        <v>100.25937060019223</v>
      </c>
      <c r="H1628">
        <f t="shared" si="156"/>
        <v>1.0223725754021862E-2</v>
      </c>
      <c r="I1628">
        <f t="shared" si="157"/>
        <v>1.0223725754021862E-2</v>
      </c>
      <c r="K1628">
        <f t="shared" si="158"/>
        <v>1.3333333333334085E-3</v>
      </c>
      <c r="L1628">
        <f t="shared" si="159"/>
        <v>-3.6476381542949188E-4</v>
      </c>
      <c r="M1628">
        <f t="shared" si="160"/>
        <v>7.0241010439489049E-3</v>
      </c>
    </row>
    <row r="1629" spans="1:13" x14ac:dyDescent="0.3">
      <c r="A1629" s="3">
        <v>44364</v>
      </c>
      <c r="B1629" s="8">
        <v>14.77</v>
      </c>
      <c r="C1629" s="8">
        <v>165.22</v>
      </c>
      <c r="D1629" s="8">
        <v>151.76</v>
      </c>
      <c r="E1629">
        <v>0</v>
      </c>
      <c r="G1629">
        <f t="shared" si="155"/>
        <v>98.988817515748977</v>
      </c>
      <c r="H1629">
        <f t="shared" si="156"/>
        <v>-1.2672661685757869E-2</v>
      </c>
      <c r="I1629">
        <f t="shared" si="157"/>
        <v>-1.2672661685757869E-2</v>
      </c>
      <c r="K1629">
        <f t="shared" si="158"/>
        <v>-1.6644474034620549E-2</v>
      </c>
      <c r="L1629">
        <f t="shared" si="159"/>
        <v>4.8044760688439325E-3</v>
      </c>
      <c r="M1629">
        <f t="shared" si="160"/>
        <v>-2.8860305880847426E-2</v>
      </c>
    </row>
    <row r="1630" spans="1:13" x14ac:dyDescent="0.3">
      <c r="A1630" s="3">
        <v>44365</v>
      </c>
      <c r="B1630" s="8">
        <v>14.52</v>
      </c>
      <c r="C1630" s="8">
        <v>161.97999999999999</v>
      </c>
      <c r="D1630" s="8">
        <v>147.91999999999999</v>
      </c>
      <c r="E1630">
        <v>0</v>
      </c>
      <c r="G1630">
        <f t="shared" si="155"/>
        <v>97.852878034759868</v>
      </c>
      <c r="H1630">
        <f t="shared" si="156"/>
        <v>-1.1475432372029082E-2</v>
      </c>
      <c r="I1630">
        <f t="shared" si="157"/>
        <v>-1.1475432372029082E-2</v>
      </c>
      <c r="K1630">
        <f t="shared" si="158"/>
        <v>-1.6926201760324999E-2</v>
      </c>
      <c r="L1630">
        <f t="shared" si="159"/>
        <v>-1.9610216680789327E-2</v>
      </c>
      <c r="M1630">
        <f t="shared" si="160"/>
        <v>-2.530311017395892E-2</v>
      </c>
    </row>
    <row r="1631" spans="1:13" x14ac:dyDescent="0.3">
      <c r="A1631" s="3">
        <v>44368</v>
      </c>
      <c r="B1631" s="8">
        <v>14.78</v>
      </c>
      <c r="C1631" s="8">
        <v>163.84</v>
      </c>
      <c r="D1631" s="8">
        <v>150.43</v>
      </c>
      <c r="E1631">
        <v>0</v>
      </c>
      <c r="G1631">
        <f t="shared" si="155"/>
        <v>101.42204273906468</v>
      </c>
      <c r="H1631">
        <f t="shared" si="156"/>
        <v>3.6474805605992922E-2</v>
      </c>
      <c r="I1631">
        <f t="shared" si="157"/>
        <v>3.6474805605992922E-2</v>
      </c>
      <c r="K1631">
        <f t="shared" si="158"/>
        <v>1.7906336088154173E-2</v>
      </c>
      <c r="L1631">
        <f t="shared" si="159"/>
        <v>1.1482899123348655E-2</v>
      </c>
      <c r="M1631">
        <f t="shared" si="160"/>
        <v>1.6968631692807046E-2</v>
      </c>
    </row>
    <row r="1632" spans="1:13" x14ac:dyDescent="0.3">
      <c r="A1632" s="3">
        <v>44369</v>
      </c>
      <c r="B1632" s="8">
        <v>14.91</v>
      </c>
      <c r="C1632" s="8">
        <v>163.62</v>
      </c>
      <c r="D1632" s="8">
        <v>150.21</v>
      </c>
      <c r="E1632">
        <v>0</v>
      </c>
      <c r="G1632">
        <f t="shared" si="155"/>
        <v>99.967471428059568</v>
      </c>
      <c r="H1632">
        <f t="shared" si="156"/>
        <v>-1.4341767053020038E-2</v>
      </c>
      <c r="I1632">
        <f t="shared" si="157"/>
        <v>-1.4341767053020038E-2</v>
      </c>
      <c r="K1632">
        <f t="shared" si="158"/>
        <v>8.7956698240867492E-3</v>
      </c>
      <c r="L1632">
        <f t="shared" si="159"/>
        <v>-1.3427734375E-3</v>
      </c>
      <c r="M1632">
        <f t="shared" si="160"/>
        <v>-1.4624742405104918E-3</v>
      </c>
    </row>
    <row r="1633" spans="1:13" x14ac:dyDescent="0.3">
      <c r="A1633" s="3">
        <v>44370</v>
      </c>
      <c r="B1633" s="8">
        <v>15.42</v>
      </c>
      <c r="C1633" s="8">
        <v>162.63</v>
      </c>
      <c r="D1633" s="8">
        <v>151.12</v>
      </c>
      <c r="E1633">
        <v>0</v>
      </c>
      <c r="G1633">
        <f t="shared" si="155"/>
        <v>100.27249613346036</v>
      </c>
      <c r="H1633">
        <f t="shared" si="156"/>
        <v>3.0512395786694846E-3</v>
      </c>
      <c r="I1633">
        <f t="shared" si="157"/>
        <v>3.0512395786694846E-3</v>
      </c>
      <c r="K1633">
        <f t="shared" si="158"/>
        <v>3.4205231388329871E-2</v>
      </c>
      <c r="L1633">
        <f t="shared" si="159"/>
        <v>-6.0506050605061423E-3</v>
      </c>
      <c r="M1633">
        <f t="shared" si="160"/>
        <v>6.058185207376221E-3</v>
      </c>
    </row>
    <row r="1634" spans="1:13" x14ac:dyDescent="0.3">
      <c r="A1634" s="3">
        <v>44371</v>
      </c>
      <c r="B1634" s="8">
        <v>15.26</v>
      </c>
      <c r="C1634" s="8">
        <v>163.37</v>
      </c>
      <c r="D1634" s="8">
        <v>152.51</v>
      </c>
      <c r="E1634">
        <v>0</v>
      </c>
      <c r="G1634">
        <f t="shared" si="155"/>
        <v>100.47348988348746</v>
      </c>
      <c r="H1634">
        <f t="shared" si="156"/>
        <v>2.0044753823578176E-3</v>
      </c>
      <c r="I1634">
        <f t="shared" si="157"/>
        <v>2.0044753823578176E-3</v>
      </c>
      <c r="K1634">
        <f t="shared" si="158"/>
        <v>-1.037613488975353E-2</v>
      </c>
      <c r="L1634">
        <f t="shared" si="159"/>
        <v>4.5502059890549784E-3</v>
      </c>
      <c r="M1634">
        <f t="shared" si="160"/>
        <v>9.1979883536261742E-3</v>
      </c>
    </row>
    <row r="1635" spans="1:13" x14ac:dyDescent="0.3">
      <c r="A1635" s="3">
        <v>44372</v>
      </c>
      <c r="B1635" s="8">
        <v>15.19</v>
      </c>
      <c r="C1635" s="8">
        <v>164.21</v>
      </c>
      <c r="D1635" s="8">
        <v>154.05000000000001</v>
      </c>
      <c r="E1635">
        <v>0</v>
      </c>
      <c r="G1635">
        <f t="shared" si="155"/>
        <v>100.5987087691191</v>
      </c>
      <c r="H1635">
        <f t="shared" si="156"/>
        <v>1.2462878096186625E-3</v>
      </c>
      <c r="I1635">
        <f t="shared" si="157"/>
        <v>1.2462878096186625E-3</v>
      </c>
      <c r="K1635">
        <f t="shared" si="158"/>
        <v>-4.5871559633027248E-3</v>
      </c>
      <c r="L1635">
        <f t="shared" si="159"/>
        <v>5.141702883026289E-3</v>
      </c>
      <c r="M1635">
        <f t="shared" si="160"/>
        <v>1.009769851157305E-2</v>
      </c>
    </row>
    <row r="1636" spans="1:13" x14ac:dyDescent="0.3">
      <c r="A1636" s="3">
        <v>44375</v>
      </c>
      <c r="B1636" s="8">
        <v>14.96</v>
      </c>
      <c r="C1636" s="8">
        <v>164.02</v>
      </c>
      <c r="D1636" s="8">
        <v>154.33000000000001</v>
      </c>
      <c r="E1636">
        <v>0</v>
      </c>
      <c r="G1636">
        <f t="shared" si="155"/>
        <v>99.849672843907086</v>
      </c>
      <c r="H1636">
        <f t="shared" si="156"/>
        <v>-7.4457807100795081E-3</v>
      </c>
      <c r="I1636">
        <f t="shared" si="157"/>
        <v>-7.4457807100795081E-3</v>
      </c>
      <c r="K1636">
        <f t="shared" si="158"/>
        <v>-1.5141540487162541E-2</v>
      </c>
      <c r="L1636">
        <f t="shared" si="159"/>
        <v>-1.1570549905608463E-3</v>
      </c>
      <c r="M1636">
        <f t="shared" si="160"/>
        <v>1.8175916910094791E-3</v>
      </c>
    </row>
    <row r="1637" spans="1:13" x14ac:dyDescent="0.3">
      <c r="A1637" s="3">
        <v>44376</v>
      </c>
      <c r="B1637" s="8">
        <v>15.01</v>
      </c>
      <c r="C1637" s="8">
        <v>164.03</v>
      </c>
      <c r="D1637" s="8">
        <v>154.13999999999999</v>
      </c>
      <c r="E1637">
        <v>0</v>
      </c>
      <c r="G1637">
        <f t="shared" si="155"/>
        <v>99.991862467133103</v>
      </c>
      <c r="H1637">
        <f t="shared" si="156"/>
        <v>1.4240369465035041E-3</v>
      </c>
      <c r="I1637">
        <f t="shared" si="157"/>
        <v>1.4240369465035041E-3</v>
      </c>
      <c r="K1637">
        <f t="shared" si="158"/>
        <v>3.3422459893046597E-3</v>
      </c>
      <c r="L1637">
        <f t="shared" si="159"/>
        <v>6.0968174612874293E-5</v>
      </c>
      <c r="M1637">
        <f t="shared" si="160"/>
        <v>-1.2311281021190057E-3</v>
      </c>
    </row>
    <row r="1638" spans="1:13" x14ac:dyDescent="0.3">
      <c r="A1638" s="3">
        <v>44377</v>
      </c>
      <c r="B1638" s="8">
        <v>14.86</v>
      </c>
      <c r="C1638" s="8">
        <v>164.74</v>
      </c>
      <c r="D1638" s="8">
        <v>155.54</v>
      </c>
      <c r="E1638">
        <v>0</v>
      </c>
      <c r="G1638">
        <f t="shared" si="155"/>
        <v>100.46165620080667</v>
      </c>
      <c r="H1638">
        <f t="shared" si="156"/>
        <v>4.6983196640424385E-3</v>
      </c>
      <c r="I1638">
        <f t="shared" si="157"/>
        <v>4.6983196640424385E-3</v>
      </c>
      <c r="K1638">
        <f t="shared" si="158"/>
        <v>-9.9933377748168128E-3</v>
      </c>
      <c r="L1638">
        <f t="shared" si="159"/>
        <v>4.3284764982016721E-3</v>
      </c>
      <c r="M1638">
        <f t="shared" si="160"/>
        <v>9.0826521344233857E-3</v>
      </c>
    </row>
    <row r="1639" spans="1:13" x14ac:dyDescent="0.3">
      <c r="A1639" s="3">
        <v>44378</v>
      </c>
      <c r="B1639" s="8">
        <v>14.91</v>
      </c>
      <c r="C1639" s="8">
        <v>165.96</v>
      </c>
      <c r="D1639" s="8">
        <v>157.08000000000001</v>
      </c>
      <c r="E1639">
        <v>0</v>
      </c>
      <c r="G1639">
        <f t="shared" si="155"/>
        <v>100.7921153612146</v>
      </c>
      <c r="H1639">
        <f t="shared" si="156"/>
        <v>3.2894058579662211E-3</v>
      </c>
      <c r="I1639">
        <f t="shared" si="157"/>
        <v>3.2894058579662211E-3</v>
      </c>
      <c r="K1639">
        <f t="shared" si="158"/>
        <v>3.3647375504710642E-3</v>
      </c>
      <c r="L1639">
        <f t="shared" si="159"/>
        <v>7.4056088381693197E-3</v>
      </c>
      <c r="M1639">
        <f t="shared" si="160"/>
        <v>9.9009900990101318E-3</v>
      </c>
    </row>
    <row r="1640" spans="1:13" x14ac:dyDescent="0.3">
      <c r="A1640" s="3">
        <v>44379</v>
      </c>
      <c r="B1640" s="8">
        <v>14.93</v>
      </c>
      <c r="C1640" s="8">
        <v>168.98</v>
      </c>
      <c r="D1640" s="8">
        <v>156.03</v>
      </c>
      <c r="E1640">
        <v>0</v>
      </c>
      <c r="G1640">
        <f t="shared" si="155"/>
        <v>100.70674135253826</v>
      </c>
      <c r="H1640">
        <f t="shared" si="156"/>
        <v>-8.4703062705226984E-4</v>
      </c>
      <c r="I1640">
        <f t="shared" si="157"/>
        <v>-8.4703062705226984E-4</v>
      </c>
      <c r="K1640">
        <f t="shared" si="158"/>
        <v>1.3413816230716247E-3</v>
      </c>
      <c r="L1640">
        <f t="shared" si="159"/>
        <v>1.8197155941190646E-2</v>
      </c>
      <c r="M1640">
        <f t="shared" si="160"/>
        <v>-6.6844919786096524E-3</v>
      </c>
    </row>
    <row r="1641" spans="1:13" x14ac:dyDescent="0.3">
      <c r="A1641" s="3">
        <v>44383</v>
      </c>
      <c r="B1641" s="8">
        <v>14.5</v>
      </c>
      <c r="C1641" s="8">
        <v>167.97</v>
      </c>
      <c r="D1641" s="8">
        <v>153.41</v>
      </c>
      <c r="E1641">
        <v>0</v>
      </c>
      <c r="G1641">
        <f t="shared" si="155"/>
        <v>98.75613038454442</v>
      </c>
      <c r="H1641">
        <f t="shared" si="156"/>
        <v>-1.9369219396797366E-2</v>
      </c>
      <c r="I1641">
        <f t="shared" si="157"/>
        <v>-1.9369219396797366E-2</v>
      </c>
      <c r="K1641">
        <f t="shared" si="158"/>
        <v>-2.8801071667783007E-2</v>
      </c>
      <c r="L1641">
        <f t="shared" si="159"/>
        <v>-5.977038702804971E-3</v>
      </c>
      <c r="M1641">
        <f t="shared" si="160"/>
        <v>-1.6791642632827064E-2</v>
      </c>
    </row>
    <row r="1642" spans="1:13" x14ac:dyDescent="0.3">
      <c r="A1642" s="3">
        <v>44384</v>
      </c>
      <c r="B1642" s="8">
        <v>14.23</v>
      </c>
      <c r="C1642" s="8">
        <v>169.41</v>
      </c>
      <c r="D1642" s="8">
        <v>153.59</v>
      </c>
      <c r="E1642">
        <v>0</v>
      </c>
      <c r="G1642">
        <f t="shared" si="155"/>
        <v>100.29384445103391</v>
      </c>
      <c r="H1642">
        <f t="shared" si="156"/>
        <v>1.5570821380929134E-2</v>
      </c>
      <c r="I1642">
        <f t="shared" si="157"/>
        <v>1.5570821380929134E-2</v>
      </c>
      <c r="K1642">
        <f t="shared" si="158"/>
        <v>-1.8620689655172384E-2</v>
      </c>
      <c r="L1642">
        <f t="shared" si="159"/>
        <v>8.5729594570458367E-3</v>
      </c>
      <c r="M1642">
        <f t="shared" si="160"/>
        <v>1.1733263802882199E-3</v>
      </c>
    </row>
    <row r="1643" spans="1:13" x14ac:dyDescent="0.3">
      <c r="A1643" s="3">
        <v>44385</v>
      </c>
      <c r="B1643" s="8">
        <v>14.06</v>
      </c>
      <c r="C1643" s="8">
        <v>169.08</v>
      </c>
      <c r="D1643" s="8">
        <v>150.94</v>
      </c>
      <c r="E1643">
        <v>0</v>
      </c>
      <c r="G1643">
        <f t="shared" si="155"/>
        <v>99.12444555851711</v>
      </c>
      <c r="H1643">
        <f t="shared" si="156"/>
        <v>-1.1659727463012248E-2</v>
      </c>
      <c r="I1643">
        <f t="shared" si="157"/>
        <v>-1.1659727463012248E-2</v>
      </c>
      <c r="K1643">
        <f t="shared" si="158"/>
        <v>-1.1946591707659882E-2</v>
      </c>
      <c r="L1643">
        <f t="shared" si="159"/>
        <v>-1.9479369576765881E-3</v>
      </c>
      <c r="M1643">
        <f t="shared" si="160"/>
        <v>-1.7253727456214674E-2</v>
      </c>
    </row>
    <row r="1644" spans="1:13" x14ac:dyDescent="0.3">
      <c r="A1644" s="3">
        <v>44386</v>
      </c>
      <c r="B1644" s="8">
        <v>14.48</v>
      </c>
      <c r="C1644" s="8">
        <v>169.75</v>
      </c>
      <c r="D1644" s="8">
        <v>155.77000000000001</v>
      </c>
      <c r="E1644">
        <v>0</v>
      </c>
      <c r="G1644">
        <f t="shared" si="155"/>
        <v>101.72285342947308</v>
      </c>
      <c r="H1644">
        <f t="shared" si="156"/>
        <v>2.6213592987231582E-2</v>
      </c>
      <c r="I1644">
        <f t="shared" si="157"/>
        <v>2.6213592987231582E-2</v>
      </c>
      <c r="K1644">
        <f t="shared" si="158"/>
        <v>2.9871977240398362E-2</v>
      </c>
      <c r="L1644">
        <f t="shared" si="159"/>
        <v>3.9626212443812925E-3</v>
      </c>
      <c r="M1644">
        <f t="shared" si="160"/>
        <v>3.1999469988074791E-2</v>
      </c>
    </row>
    <row r="1645" spans="1:13" x14ac:dyDescent="0.3">
      <c r="A1645" s="3">
        <v>44389</v>
      </c>
      <c r="B1645" s="8">
        <v>14.61</v>
      </c>
      <c r="C1645" s="8">
        <v>169.48</v>
      </c>
      <c r="D1645" s="8">
        <v>158</v>
      </c>
      <c r="E1645">
        <v>0</v>
      </c>
      <c r="G1645">
        <f t="shared" si="155"/>
        <v>100.55028246452873</v>
      </c>
      <c r="H1645">
        <f t="shared" si="156"/>
        <v>-1.1527114364298763E-2</v>
      </c>
      <c r="I1645">
        <f t="shared" si="157"/>
        <v>-1.1527114364298763E-2</v>
      </c>
      <c r="K1645">
        <f t="shared" si="158"/>
        <v>8.977900552486151E-3</v>
      </c>
      <c r="L1645">
        <f t="shared" si="159"/>
        <v>-1.5905743740796119E-3</v>
      </c>
      <c r="M1645">
        <f t="shared" si="160"/>
        <v>1.431597868652501E-2</v>
      </c>
    </row>
    <row r="1646" spans="1:13" x14ac:dyDescent="0.3">
      <c r="A1646" s="3">
        <v>44390</v>
      </c>
      <c r="B1646" s="8">
        <v>14.42</v>
      </c>
      <c r="C1646" s="8">
        <v>169.27</v>
      </c>
      <c r="D1646" s="8">
        <v>155.65</v>
      </c>
      <c r="E1646">
        <v>0</v>
      </c>
      <c r="G1646">
        <f t="shared" si="155"/>
        <v>99.239710346642013</v>
      </c>
      <c r="H1646">
        <f t="shared" si="156"/>
        <v>-1.3033997376875162E-2</v>
      </c>
      <c r="I1646">
        <f t="shared" si="157"/>
        <v>-1.3033997376875162E-2</v>
      </c>
      <c r="K1646">
        <f t="shared" si="158"/>
        <v>-1.3004791238877433E-2</v>
      </c>
      <c r="L1646">
        <f t="shared" si="159"/>
        <v>-1.2390842577294503E-3</v>
      </c>
      <c r="M1646">
        <f t="shared" si="160"/>
        <v>-1.4873417721518956E-2</v>
      </c>
    </row>
    <row r="1647" spans="1:13" x14ac:dyDescent="0.3">
      <c r="A1647" s="3">
        <v>44391</v>
      </c>
      <c r="B1647" s="8">
        <v>14.25</v>
      </c>
      <c r="C1647" s="8">
        <v>170.42</v>
      </c>
      <c r="D1647" s="8">
        <v>155.12</v>
      </c>
      <c r="E1647">
        <v>0</v>
      </c>
      <c r="G1647">
        <f t="shared" si="155"/>
        <v>100.10083607550331</v>
      </c>
      <c r="H1647">
        <f t="shared" si="156"/>
        <v>8.677229365678274E-3</v>
      </c>
      <c r="I1647">
        <f t="shared" si="157"/>
        <v>8.677229365678274E-3</v>
      </c>
      <c r="K1647">
        <f t="shared" si="158"/>
        <v>-1.1789181692094308E-2</v>
      </c>
      <c r="L1647">
        <f t="shared" si="159"/>
        <v>6.7938796006379309E-3</v>
      </c>
      <c r="M1647">
        <f t="shared" si="160"/>
        <v>-3.4050754898811153E-3</v>
      </c>
    </row>
    <row r="1648" spans="1:13" x14ac:dyDescent="0.3">
      <c r="A1648" s="3">
        <v>44392</v>
      </c>
      <c r="B1648" s="8">
        <v>14.01</v>
      </c>
      <c r="C1648" s="8">
        <v>168.37</v>
      </c>
      <c r="D1648" s="8">
        <v>155.46</v>
      </c>
      <c r="E1648">
        <v>0</v>
      </c>
      <c r="G1648">
        <f t="shared" si="155"/>
        <v>99.281797278390542</v>
      </c>
      <c r="H1648">
        <f t="shared" si="156"/>
        <v>-8.182137424856184E-3</v>
      </c>
      <c r="I1648">
        <f t="shared" si="157"/>
        <v>-8.182137424856184E-3</v>
      </c>
      <c r="K1648">
        <f t="shared" si="158"/>
        <v>-1.684210526315788E-2</v>
      </c>
      <c r="L1648">
        <f t="shared" si="159"/>
        <v>-1.2029104565191795E-2</v>
      </c>
      <c r="M1648">
        <f t="shared" si="160"/>
        <v>2.1918514698298086E-3</v>
      </c>
    </row>
    <row r="1649" spans="1:13" x14ac:dyDescent="0.3">
      <c r="A1649" s="3">
        <v>44393</v>
      </c>
      <c r="B1649" s="8">
        <v>13.61</v>
      </c>
      <c r="C1649" s="8">
        <v>168.1</v>
      </c>
      <c r="D1649" s="8">
        <v>151.91</v>
      </c>
      <c r="E1649">
        <v>0</v>
      </c>
      <c r="G1649">
        <f t="shared" si="155"/>
        <v>98.758247634575099</v>
      </c>
      <c r="H1649">
        <f t="shared" si="156"/>
        <v>-5.2733699244724708E-3</v>
      </c>
      <c r="I1649">
        <f t="shared" si="157"/>
        <v>-5.2733699244724708E-3</v>
      </c>
      <c r="K1649">
        <f t="shared" si="158"/>
        <v>-2.8551034975017875E-2</v>
      </c>
      <c r="L1649">
        <f t="shared" si="159"/>
        <v>-1.6036110946131554E-3</v>
      </c>
      <c r="M1649">
        <f t="shared" si="160"/>
        <v>-2.283545606586912E-2</v>
      </c>
    </row>
    <row r="1650" spans="1:13" x14ac:dyDescent="0.3">
      <c r="A1650" s="3">
        <v>44396</v>
      </c>
      <c r="B1650" s="8">
        <v>13.28</v>
      </c>
      <c r="C1650" s="8">
        <v>166.88</v>
      </c>
      <c r="D1650" s="8">
        <v>146.97</v>
      </c>
      <c r="E1650">
        <v>0</v>
      </c>
      <c r="G1650">
        <f t="shared" si="155"/>
        <v>98.145567358698543</v>
      </c>
      <c r="H1650">
        <f t="shared" si="156"/>
        <v>-6.2038390772545249E-3</v>
      </c>
      <c r="I1650">
        <f t="shared" si="157"/>
        <v>-6.2038390772545249E-3</v>
      </c>
      <c r="K1650">
        <f t="shared" si="158"/>
        <v>-2.4246877296105862E-2</v>
      </c>
      <c r="L1650">
        <f t="shared" si="159"/>
        <v>-7.2575847709696051E-3</v>
      </c>
      <c r="M1650">
        <f t="shared" si="160"/>
        <v>-3.2519254821934074E-2</v>
      </c>
    </row>
    <row r="1651" spans="1:13" x14ac:dyDescent="0.3">
      <c r="A1651" s="3">
        <v>44397</v>
      </c>
      <c r="B1651" s="8">
        <v>13.91</v>
      </c>
      <c r="C1651" s="8">
        <v>168.45</v>
      </c>
      <c r="D1651" s="8">
        <v>149.71</v>
      </c>
      <c r="E1651">
        <v>0</v>
      </c>
      <c r="G1651">
        <f t="shared" si="155"/>
        <v>101.68691174529528</v>
      </c>
      <c r="H1651">
        <f t="shared" si="156"/>
        <v>3.6082570837396855E-2</v>
      </c>
      <c r="I1651">
        <f t="shared" si="157"/>
        <v>3.6082570837396855E-2</v>
      </c>
      <c r="K1651">
        <f t="shared" si="158"/>
        <v>4.7439759036144613E-2</v>
      </c>
      <c r="L1651">
        <f t="shared" si="159"/>
        <v>9.407957813998058E-3</v>
      </c>
      <c r="M1651">
        <f t="shared" si="160"/>
        <v>1.8643260529359829E-2</v>
      </c>
    </row>
    <row r="1652" spans="1:13" x14ac:dyDescent="0.3">
      <c r="A1652" s="3">
        <v>44398</v>
      </c>
      <c r="B1652" s="8">
        <v>14.19</v>
      </c>
      <c r="C1652" s="8">
        <v>169.49</v>
      </c>
      <c r="D1652" s="8">
        <v>152.86000000000001</v>
      </c>
      <c r="E1652">
        <v>0</v>
      </c>
      <c r="G1652">
        <f t="shared" si="155"/>
        <v>101.32310098746188</v>
      </c>
      <c r="H1652">
        <f t="shared" si="156"/>
        <v>-3.5777540254606777E-3</v>
      </c>
      <c r="I1652">
        <f t="shared" si="157"/>
        <v>-3.5777540254606777E-3</v>
      </c>
      <c r="K1652">
        <f t="shared" si="158"/>
        <v>2.0129403306973437E-2</v>
      </c>
      <c r="L1652">
        <f t="shared" si="159"/>
        <v>6.1739388542596529E-3</v>
      </c>
      <c r="M1652">
        <f t="shared" si="160"/>
        <v>2.1040678645381172E-2</v>
      </c>
    </row>
    <row r="1653" spans="1:13" x14ac:dyDescent="0.3">
      <c r="A1653" s="3">
        <v>44399</v>
      </c>
      <c r="B1653" s="8">
        <v>13.91</v>
      </c>
      <c r="C1653" s="8">
        <v>169.98</v>
      </c>
      <c r="D1653" s="8">
        <v>150.93</v>
      </c>
      <c r="E1653">
        <v>0</v>
      </c>
      <c r="G1653">
        <f t="shared" si="155"/>
        <v>99.468086904696847</v>
      </c>
      <c r="H1653">
        <f t="shared" si="156"/>
        <v>-1.8307908706767573E-2</v>
      </c>
      <c r="I1653">
        <f t="shared" si="157"/>
        <v>-1.8307908706767573E-2</v>
      </c>
      <c r="K1653">
        <f t="shared" si="158"/>
        <v>-1.9732205778717371E-2</v>
      </c>
      <c r="L1653">
        <f t="shared" si="159"/>
        <v>2.8910260192340775E-3</v>
      </c>
      <c r="M1653">
        <f t="shared" si="160"/>
        <v>-1.2625932225565961E-2</v>
      </c>
    </row>
    <row r="1654" spans="1:13" x14ac:dyDescent="0.3">
      <c r="A1654" s="3">
        <v>44400</v>
      </c>
      <c r="B1654" s="8">
        <v>13.82</v>
      </c>
      <c r="C1654" s="8">
        <v>171.79</v>
      </c>
      <c r="D1654" s="8">
        <v>150.63999999999999</v>
      </c>
      <c r="E1654">
        <v>0</v>
      </c>
      <c r="G1654">
        <f t="shared" si="155"/>
        <v>100.41241369622284</v>
      </c>
      <c r="H1654">
        <f t="shared" si="156"/>
        <v>9.4937665025243145E-3</v>
      </c>
      <c r="I1654">
        <f t="shared" si="157"/>
        <v>9.4937665025243145E-3</v>
      </c>
      <c r="K1654">
        <f t="shared" si="158"/>
        <v>-6.470165348670065E-3</v>
      </c>
      <c r="L1654">
        <f t="shared" si="159"/>
        <v>1.0648311566066715E-2</v>
      </c>
      <c r="M1654">
        <f t="shared" si="160"/>
        <v>-1.9214205260718042E-3</v>
      </c>
    </row>
    <row r="1655" spans="1:13" x14ac:dyDescent="0.3">
      <c r="A1655" s="3">
        <v>44403</v>
      </c>
      <c r="B1655" s="8">
        <v>14.03</v>
      </c>
      <c r="C1655" s="8">
        <v>171.87</v>
      </c>
      <c r="D1655" s="8">
        <v>151.65</v>
      </c>
      <c r="E1655">
        <v>0</v>
      </c>
      <c r="G1655">
        <f t="shared" si="155"/>
        <v>100.43572049762668</v>
      </c>
      <c r="H1655">
        <f t="shared" si="156"/>
        <v>2.3211075748408305E-4</v>
      </c>
      <c r="I1655">
        <f t="shared" si="157"/>
        <v>2.3211075748408305E-4</v>
      </c>
      <c r="K1655">
        <f t="shared" si="158"/>
        <v>1.519536903039076E-2</v>
      </c>
      <c r="L1655">
        <f t="shared" si="159"/>
        <v>4.6568484777931296E-4</v>
      </c>
      <c r="M1655">
        <f t="shared" si="160"/>
        <v>6.7047265002657674E-3</v>
      </c>
    </row>
    <row r="1656" spans="1:13" x14ac:dyDescent="0.3">
      <c r="A1656" s="3">
        <v>44404</v>
      </c>
      <c r="B1656" s="8">
        <v>13.79</v>
      </c>
      <c r="C1656" s="8">
        <v>172.66</v>
      </c>
      <c r="D1656" s="8">
        <v>151.44999999999999</v>
      </c>
      <c r="E1656">
        <v>0</v>
      </c>
      <c r="G1656">
        <f t="shared" si="155"/>
        <v>100.00960075872798</v>
      </c>
      <c r="H1656">
        <f t="shared" si="156"/>
        <v>-4.2427110273854929E-3</v>
      </c>
      <c r="I1656">
        <f t="shared" si="157"/>
        <v>-4.2427110273854929E-3</v>
      </c>
      <c r="K1656">
        <f t="shared" si="158"/>
        <v>-1.7106200997861754E-2</v>
      </c>
      <c r="L1656">
        <f t="shared" si="159"/>
        <v>4.5964973526502195E-3</v>
      </c>
      <c r="M1656">
        <f t="shared" si="160"/>
        <v>-1.3188262446424126E-3</v>
      </c>
    </row>
    <row r="1657" spans="1:13" x14ac:dyDescent="0.3">
      <c r="A1657" s="3">
        <v>44405</v>
      </c>
      <c r="B1657" s="8">
        <v>13.86</v>
      </c>
      <c r="C1657" s="8">
        <v>172.18</v>
      </c>
      <c r="D1657" s="8">
        <v>151.69999999999999</v>
      </c>
      <c r="E1657">
        <v>0</v>
      </c>
      <c r="G1657">
        <f t="shared" si="155"/>
        <v>99.971064762231805</v>
      </c>
      <c r="H1657">
        <f t="shared" si="156"/>
        <v>-3.8532297103299751E-4</v>
      </c>
      <c r="I1657">
        <f t="shared" si="157"/>
        <v>-3.8532297103299751E-4</v>
      </c>
      <c r="K1657">
        <f t="shared" si="158"/>
        <v>5.0761421319798217E-3</v>
      </c>
      <c r="L1657">
        <f t="shared" si="159"/>
        <v>-2.7800301169929043E-3</v>
      </c>
      <c r="M1657">
        <f t="shared" si="160"/>
        <v>1.6507098052163105E-3</v>
      </c>
    </row>
    <row r="1658" spans="1:13" x14ac:dyDescent="0.3">
      <c r="A1658" s="3">
        <v>44406</v>
      </c>
      <c r="B1658" s="8">
        <v>14.39</v>
      </c>
      <c r="C1658" s="8">
        <v>172.18</v>
      </c>
      <c r="D1658" s="8">
        <v>153</v>
      </c>
      <c r="E1658">
        <v>0</v>
      </c>
      <c r="G1658">
        <f t="shared" si="155"/>
        <v>100.72323995912767</v>
      </c>
      <c r="H1658">
        <f t="shared" si="156"/>
        <v>7.5239290357145272E-3</v>
      </c>
      <c r="I1658">
        <f t="shared" si="157"/>
        <v>7.5239290357145272E-3</v>
      </c>
      <c r="K1658">
        <f t="shared" si="158"/>
        <v>3.8239538239538406E-2</v>
      </c>
      <c r="L1658">
        <f t="shared" si="159"/>
        <v>0</v>
      </c>
      <c r="M1658">
        <f t="shared" si="160"/>
        <v>8.5695451549110402E-3</v>
      </c>
    </row>
    <row r="1659" spans="1:13" x14ac:dyDescent="0.3">
      <c r="A1659" s="3">
        <v>44407</v>
      </c>
      <c r="B1659" s="8">
        <v>13.95</v>
      </c>
      <c r="C1659" s="8">
        <v>172.2</v>
      </c>
      <c r="D1659" s="8">
        <v>151.78</v>
      </c>
      <c r="E1659">
        <v>0</v>
      </c>
      <c r="G1659">
        <f t="shared" si="155"/>
        <v>99.385511075355737</v>
      </c>
      <c r="H1659">
        <f t="shared" si="156"/>
        <v>-1.3281233648905322E-2</v>
      </c>
      <c r="I1659">
        <f t="shared" si="157"/>
        <v>-1.3281233648905322E-2</v>
      </c>
      <c r="K1659">
        <f t="shared" si="158"/>
        <v>-3.0576789437109175E-2</v>
      </c>
      <c r="L1659">
        <f t="shared" si="159"/>
        <v>1.1615750958293702E-4</v>
      </c>
      <c r="M1659">
        <f t="shared" si="160"/>
        <v>-7.9738562091503651E-3</v>
      </c>
    </row>
    <row r="1660" spans="1:13" x14ac:dyDescent="0.3">
      <c r="A1660" s="3">
        <v>44410</v>
      </c>
      <c r="B1660" s="8">
        <v>13.91</v>
      </c>
      <c r="C1660" s="8">
        <v>172.27</v>
      </c>
      <c r="D1660" s="8">
        <v>151.16999999999999</v>
      </c>
      <c r="E1660">
        <v>0</v>
      </c>
      <c r="G1660">
        <f t="shared" si="155"/>
        <v>99.839804015757821</v>
      </c>
      <c r="H1660">
        <f t="shared" si="156"/>
        <v>4.5710178021585168E-3</v>
      </c>
      <c r="I1660">
        <f t="shared" si="157"/>
        <v>4.5710178021585168E-3</v>
      </c>
      <c r="K1660">
        <f t="shared" si="158"/>
        <v>-2.8673835125447855E-3</v>
      </c>
      <c r="L1660">
        <f t="shared" si="159"/>
        <v>4.0650406504072478E-4</v>
      </c>
      <c r="M1660">
        <f t="shared" si="160"/>
        <v>-4.0189748319937602E-3</v>
      </c>
    </row>
    <row r="1661" spans="1:13" x14ac:dyDescent="0.3">
      <c r="A1661" s="3">
        <v>44411</v>
      </c>
      <c r="B1661" s="8">
        <v>14.02</v>
      </c>
      <c r="C1661" s="8">
        <v>174.39</v>
      </c>
      <c r="D1661" s="8">
        <v>152.88999999999999</v>
      </c>
      <c r="E1661">
        <v>0</v>
      </c>
      <c r="G1661">
        <f t="shared" si="155"/>
        <v>101.14959675883853</v>
      </c>
      <c r="H1661">
        <f t="shared" si="156"/>
        <v>1.3118943451391196E-2</v>
      </c>
      <c r="I1661">
        <f t="shared" si="157"/>
        <v>1.3118943451391196E-2</v>
      </c>
      <c r="K1661">
        <f t="shared" si="158"/>
        <v>7.9079798705965487E-3</v>
      </c>
      <c r="L1661">
        <f t="shared" si="159"/>
        <v>1.230626342369523E-2</v>
      </c>
      <c r="M1661">
        <f t="shared" si="160"/>
        <v>1.1377918899252437E-2</v>
      </c>
    </row>
    <row r="1662" spans="1:13" x14ac:dyDescent="0.3">
      <c r="A1662" s="3">
        <v>44412</v>
      </c>
      <c r="B1662" s="8">
        <v>13.32</v>
      </c>
      <c r="C1662" s="8">
        <v>173.36</v>
      </c>
      <c r="D1662" s="8">
        <v>151.24</v>
      </c>
      <c r="E1662">
        <v>0</v>
      </c>
      <c r="G1662">
        <f t="shared" si="155"/>
        <v>98.764148604863848</v>
      </c>
      <c r="H1662">
        <f t="shared" si="156"/>
        <v>-2.3583367906666819E-2</v>
      </c>
      <c r="I1662">
        <f t="shared" si="157"/>
        <v>-2.3583367906666819E-2</v>
      </c>
      <c r="K1662">
        <f t="shared" si="158"/>
        <v>-4.9928673323823114E-2</v>
      </c>
      <c r="L1662">
        <f t="shared" si="159"/>
        <v>-5.9063019668557093E-3</v>
      </c>
      <c r="M1662">
        <f t="shared" si="160"/>
        <v>-1.0792072732029423E-2</v>
      </c>
    </row>
    <row r="1663" spans="1:13" x14ac:dyDescent="0.3">
      <c r="A1663" s="3">
        <v>44413</v>
      </c>
      <c r="B1663" s="8">
        <v>13.71</v>
      </c>
      <c r="C1663" s="8">
        <v>173.69</v>
      </c>
      <c r="D1663" s="8">
        <v>153.15</v>
      </c>
      <c r="E1663">
        <v>0</v>
      </c>
      <c r="G1663">
        <f t="shared" si="155"/>
        <v>100.88086631710232</v>
      </c>
      <c r="H1663">
        <f t="shared" si="156"/>
        <v>2.1432045353896978E-2</v>
      </c>
      <c r="I1663">
        <f t="shared" si="157"/>
        <v>2.1432045353896978E-2</v>
      </c>
      <c r="K1663">
        <f t="shared" si="158"/>
        <v>2.9279279279279313E-2</v>
      </c>
      <c r="L1663">
        <f t="shared" si="159"/>
        <v>1.9035532994922111E-3</v>
      </c>
      <c r="M1663">
        <f t="shared" si="160"/>
        <v>1.2628934144406134E-2</v>
      </c>
    </row>
    <row r="1664" spans="1:13" x14ac:dyDescent="0.3">
      <c r="A1664" s="3">
        <v>44414</v>
      </c>
      <c r="B1664" s="8">
        <v>13.8</v>
      </c>
      <c r="C1664" s="8">
        <v>173.11</v>
      </c>
      <c r="D1664" s="8">
        <v>157.5</v>
      </c>
      <c r="E1664">
        <v>0</v>
      </c>
      <c r="G1664">
        <f t="shared" si="155"/>
        <v>100.96438051560197</v>
      </c>
      <c r="H1664">
        <f t="shared" si="156"/>
        <v>8.278497355200809E-4</v>
      </c>
      <c r="I1664">
        <f t="shared" si="157"/>
        <v>8.278497355200809E-4</v>
      </c>
      <c r="K1664">
        <f t="shared" si="158"/>
        <v>6.5645514223193757E-3</v>
      </c>
      <c r="L1664">
        <f t="shared" si="159"/>
        <v>-3.3392826299728506E-3</v>
      </c>
      <c r="M1664">
        <f t="shared" si="160"/>
        <v>2.8403525954945996E-2</v>
      </c>
    </row>
    <row r="1665" spans="1:13" x14ac:dyDescent="0.3">
      <c r="A1665" s="3">
        <v>44417</v>
      </c>
      <c r="B1665" s="8">
        <v>13.75</v>
      </c>
      <c r="C1665" s="8">
        <v>173.71</v>
      </c>
      <c r="D1665" s="8">
        <v>157.33000000000001</v>
      </c>
      <c r="E1665">
        <v>0</v>
      </c>
      <c r="G1665">
        <f t="shared" si="155"/>
        <v>100.10125715461031</v>
      </c>
      <c r="H1665">
        <f t="shared" si="156"/>
        <v>-8.5487907377224115E-3</v>
      </c>
      <c r="I1665">
        <f t="shared" si="157"/>
        <v>-8.5487907377224115E-3</v>
      </c>
      <c r="K1665">
        <f t="shared" si="158"/>
        <v>-3.6231884057971175E-3</v>
      </c>
      <c r="L1665">
        <f t="shared" si="159"/>
        <v>3.4660042747385322E-3</v>
      </c>
      <c r="M1665">
        <f t="shared" si="160"/>
        <v>-1.0793650793650134E-3</v>
      </c>
    </row>
    <row r="1666" spans="1:13" x14ac:dyDescent="0.3">
      <c r="A1666" s="3">
        <v>44418</v>
      </c>
      <c r="B1666" s="8">
        <v>13.82</v>
      </c>
      <c r="C1666" s="8">
        <v>173.77</v>
      </c>
      <c r="D1666" s="8">
        <v>159.26</v>
      </c>
      <c r="E1666">
        <v>0</v>
      </c>
      <c r="G1666">
        <f t="shared" si="155"/>
        <v>100.53290405317736</v>
      </c>
      <c r="H1666">
        <f t="shared" si="156"/>
        <v>4.3121026731998136E-3</v>
      </c>
      <c r="I1666">
        <f t="shared" si="157"/>
        <v>4.3121026731998136E-3</v>
      </c>
      <c r="K1666">
        <f t="shared" si="158"/>
        <v>5.0909090909090349E-3</v>
      </c>
      <c r="L1666">
        <f t="shared" si="159"/>
        <v>3.4540325830412222E-4</v>
      </c>
      <c r="M1666">
        <f t="shared" si="160"/>
        <v>1.2267209051039174E-2</v>
      </c>
    </row>
    <row r="1667" spans="1:13" x14ac:dyDescent="0.3">
      <c r="A1667" s="3">
        <v>44419</v>
      </c>
      <c r="B1667" s="8">
        <v>13.93</v>
      </c>
      <c r="C1667" s="8">
        <v>173.8</v>
      </c>
      <c r="D1667" s="8">
        <v>161.16</v>
      </c>
      <c r="E1667">
        <v>0</v>
      </c>
      <c r="G1667">
        <f t="shared" si="155"/>
        <v>100.54132010787778</v>
      </c>
      <c r="H1667">
        <f t="shared" si="156"/>
        <v>8.3714429416792413E-5</v>
      </c>
      <c r="I1667">
        <f t="shared" si="157"/>
        <v>8.3714429416792413E-5</v>
      </c>
      <c r="K1667">
        <f t="shared" si="158"/>
        <v>7.9594790159189799E-3</v>
      </c>
      <c r="L1667">
        <f t="shared" si="159"/>
        <v>1.7264199804345459E-4</v>
      </c>
      <c r="M1667">
        <f t="shared" si="160"/>
        <v>1.1930177068943948E-2</v>
      </c>
    </row>
    <row r="1668" spans="1:13" x14ac:dyDescent="0.3">
      <c r="A1668" s="3">
        <v>44420</v>
      </c>
      <c r="B1668" s="8">
        <v>13.9</v>
      </c>
      <c r="C1668" s="8">
        <v>175.2</v>
      </c>
      <c r="D1668" s="8">
        <v>161.79</v>
      </c>
      <c r="E1668">
        <v>0</v>
      </c>
      <c r="G1668">
        <f t="shared" si="155"/>
        <v>100.54251123622495</v>
      </c>
      <c r="H1668">
        <f t="shared" si="156"/>
        <v>1.1847152453281495E-5</v>
      </c>
      <c r="I1668">
        <f t="shared" si="157"/>
        <v>1.1847152453281495E-5</v>
      </c>
      <c r="K1668">
        <f t="shared" si="158"/>
        <v>-2.1536252692031521E-3</v>
      </c>
      <c r="L1668">
        <f t="shared" si="159"/>
        <v>8.0552359033370102E-3</v>
      </c>
      <c r="M1668">
        <f t="shared" si="160"/>
        <v>3.9091586001489542E-3</v>
      </c>
    </row>
    <row r="1669" spans="1:13" x14ac:dyDescent="0.3">
      <c r="A1669" s="3">
        <v>44421</v>
      </c>
      <c r="B1669" s="8">
        <v>13.59</v>
      </c>
      <c r="C1669" s="8">
        <v>176.25</v>
      </c>
      <c r="D1669" s="8">
        <v>159.97999999999999</v>
      </c>
      <c r="E1669">
        <v>0</v>
      </c>
      <c r="G1669">
        <f t="shared" ref="G1669:G1723" si="161">$G$4*(B1669*$P$8/B1668 + C1669*$Q$8/C1668 + D1669*$R$8/D1668)</f>
        <v>99.65625420266511</v>
      </c>
      <c r="H1669">
        <f t="shared" ref="H1669:H1723" si="162">G1669/G1668-1</f>
        <v>-8.8147493300378965E-3</v>
      </c>
      <c r="I1669">
        <f t="shared" si="157"/>
        <v>-8.8147493300378965E-3</v>
      </c>
      <c r="K1669">
        <f t="shared" si="158"/>
        <v>-2.2302158273381334E-2</v>
      </c>
      <c r="L1669">
        <f t="shared" si="159"/>
        <v>5.9931506849315586E-3</v>
      </c>
      <c r="M1669">
        <f t="shared" si="160"/>
        <v>-1.1187341615674695E-2</v>
      </c>
    </row>
    <row r="1670" spans="1:13" x14ac:dyDescent="0.3">
      <c r="A1670" s="3">
        <v>44424</v>
      </c>
      <c r="B1670" s="8">
        <v>13.46</v>
      </c>
      <c r="C1670" s="8">
        <v>177.84</v>
      </c>
      <c r="D1670" s="8">
        <v>158.93</v>
      </c>
      <c r="E1670">
        <v>0</v>
      </c>
      <c r="G1670">
        <f t="shared" si="161"/>
        <v>100.12086588855644</v>
      </c>
      <c r="H1670">
        <f t="shared" si="162"/>
        <v>4.6621427787811864E-3</v>
      </c>
      <c r="I1670">
        <f t="shared" ref="I1670:I1723" si="163">H1670-E1670</f>
        <v>4.6621427787811864E-3</v>
      </c>
      <c r="K1670">
        <f t="shared" ref="K1670:K1723" si="164">B1670/B1669-1</f>
        <v>-9.5658572479764281E-3</v>
      </c>
      <c r="L1670">
        <f t="shared" ref="L1670:L1723" si="165">C1670/C1669-1</f>
        <v>9.0212765957446983E-3</v>
      </c>
      <c r="M1670">
        <f t="shared" ref="M1670:M1723" si="166">D1670/D1669-1</f>
        <v>-6.5633204150518099E-3</v>
      </c>
    </row>
    <row r="1671" spans="1:13" x14ac:dyDescent="0.3">
      <c r="A1671" s="3">
        <v>44425</v>
      </c>
      <c r="B1671" s="8">
        <v>12.99</v>
      </c>
      <c r="C1671" s="8">
        <v>179.47</v>
      </c>
      <c r="D1671" s="8">
        <v>157.01</v>
      </c>
      <c r="E1671">
        <v>0</v>
      </c>
      <c r="G1671">
        <f t="shared" si="161"/>
        <v>99.655024388592921</v>
      </c>
      <c r="H1671">
        <f t="shared" si="162"/>
        <v>-4.6527913620127981E-3</v>
      </c>
      <c r="I1671">
        <f t="shared" si="163"/>
        <v>-4.6527913620127981E-3</v>
      </c>
      <c r="K1671">
        <f t="shared" si="164"/>
        <v>-3.4918276374442891E-2</v>
      </c>
      <c r="L1671">
        <f t="shared" si="165"/>
        <v>9.165542060278975E-3</v>
      </c>
      <c r="M1671">
        <f t="shared" si="166"/>
        <v>-1.2080790285031284E-2</v>
      </c>
    </row>
    <row r="1672" spans="1:13" x14ac:dyDescent="0.3">
      <c r="A1672" s="3">
        <v>44426</v>
      </c>
      <c r="B1672" s="8">
        <v>13</v>
      </c>
      <c r="C1672" s="8">
        <v>177.19</v>
      </c>
      <c r="D1672" s="8">
        <v>155.58000000000001</v>
      </c>
      <c r="E1672">
        <v>0</v>
      </c>
      <c r="G1672">
        <f t="shared" si="161"/>
        <v>99.006137430053769</v>
      </c>
      <c r="H1672">
        <f t="shared" si="162"/>
        <v>-6.5113320930904051E-3</v>
      </c>
      <c r="I1672">
        <f t="shared" si="163"/>
        <v>-6.5113320930904051E-3</v>
      </c>
      <c r="K1672">
        <f t="shared" si="164"/>
        <v>7.698229407235857E-4</v>
      </c>
      <c r="L1672">
        <f t="shared" si="165"/>
        <v>-1.2704073104140012E-2</v>
      </c>
      <c r="M1672">
        <f t="shared" si="166"/>
        <v>-9.1077001464873186E-3</v>
      </c>
    </row>
    <row r="1673" spans="1:13" x14ac:dyDescent="0.3">
      <c r="A1673" s="3">
        <v>44427</v>
      </c>
      <c r="B1673" s="8">
        <v>12.67</v>
      </c>
      <c r="C1673" s="8">
        <v>178.57</v>
      </c>
      <c r="D1673" s="8">
        <v>154.28</v>
      </c>
      <c r="E1673">
        <v>0</v>
      </c>
      <c r="G1673">
        <f t="shared" si="161"/>
        <v>99.823647468014769</v>
      </c>
      <c r="H1673">
        <f t="shared" si="162"/>
        <v>8.2571652544121132E-3</v>
      </c>
      <c r="I1673">
        <f t="shared" si="163"/>
        <v>8.2571652544121132E-3</v>
      </c>
      <c r="K1673">
        <f t="shared" si="164"/>
        <v>-2.5384615384615339E-2</v>
      </c>
      <c r="L1673">
        <f t="shared" si="165"/>
        <v>7.7882499012358331E-3</v>
      </c>
      <c r="M1673">
        <f t="shared" si="166"/>
        <v>-8.3558297981746188E-3</v>
      </c>
    </row>
    <row r="1674" spans="1:13" x14ac:dyDescent="0.3">
      <c r="A1674" s="3">
        <v>44428</v>
      </c>
      <c r="B1674" s="8">
        <v>12.57</v>
      </c>
      <c r="C1674" s="8">
        <v>179.44</v>
      </c>
      <c r="D1674" s="8">
        <v>154.72</v>
      </c>
      <c r="E1674">
        <v>0</v>
      </c>
      <c r="G1674">
        <f t="shared" si="161"/>
        <v>100.27740916600563</v>
      </c>
      <c r="H1674">
        <f t="shared" si="162"/>
        <v>4.5456333193620857E-3</v>
      </c>
      <c r="I1674">
        <f t="shared" si="163"/>
        <v>4.5456333193620857E-3</v>
      </c>
      <c r="K1674">
        <f t="shared" si="164"/>
        <v>-7.8926598263614478E-3</v>
      </c>
      <c r="L1674">
        <f t="shared" si="165"/>
        <v>4.8720389763119432E-3</v>
      </c>
      <c r="M1674">
        <f t="shared" si="166"/>
        <v>2.8519574799066305E-3</v>
      </c>
    </row>
    <row r="1675" spans="1:13" x14ac:dyDescent="0.3">
      <c r="A1675" s="3">
        <v>44431</v>
      </c>
      <c r="B1675" s="8">
        <v>12.73</v>
      </c>
      <c r="C1675" s="8">
        <v>177.61</v>
      </c>
      <c r="D1675" s="8">
        <v>156.69999999999999</v>
      </c>
      <c r="E1675">
        <v>0</v>
      </c>
      <c r="G1675">
        <f t="shared" si="161"/>
        <v>100.08579388002343</v>
      </c>
      <c r="H1675">
        <f t="shared" si="162"/>
        <v>-1.9108519812770508E-3</v>
      </c>
      <c r="I1675">
        <f t="shared" si="163"/>
        <v>-1.9108519812770508E-3</v>
      </c>
      <c r="K1675">
        <f t="shared" si="164"/>
        <v>1.2728719172633296E-2</v>
      </c>
      <c r="L1675">
        <f t="shared" si="165"/>
        <v>-1.01983950066874E-2</v>
      </c>
      <c r="M1675">
        <f t="shared" si="166"/>
        <v>1.2797311271975031E-2</v>
      </c>
    </row>
    <row r="1676" spans="1:13" x14ac:dyDescent="0.3">
      <c r="A1676" s="3">
        <v>44432</v>
      </c>
      <c r="B1676" s="8">
        <v>13.08</v>
      </c>
      <c r="C1676" s="8">
        <v>175.39</v>
      </c>
      <c r="D1676" s="8">
        <v>157.66999999999999</v>
      </c>
      <c r="E1676">
        <v>0</v>
      </c>
      <c r="G1676">
        <f t="shared" si="161"/>
        <v>99.872514314489266</v>
      </c>
      <c r="H1676">
        <f t="shared" si="162"/>
        <v>-2.1309674157137248E-3</v>
      </c>
      <c r="I1676">
        <f t="shared" si="163"/>
        <v>-2.1309674157137248E-3</v>
      </c>
      <c r="K1676">
        <f t="shared" si="164"/>
        <v>2.7494108405341722E-2</v>
      </c>
      <c r="L1676">
        <f t="shared" si="165"/>
        <v>-1.2499296210799149E-2</v>
      </c>
      <c r="M1676">
        <f t="shared" si="166"/>
        <v>6.1901723037651735E-3</v>
      </c>
    </row>
    <row r="1677" spans="1:13" x14ac:dyDescent="0.3">
      <c r="A1677" s="3">
        <v>44433</v>
      </c>
      <c r="B1677" s="8">
        <v>13.17</v>
      </c>
      <c r="C1677" s="8">
        <v>174.23</v>
      </c>
      <c r="D1677" s="8">
        <v>160.91999999999999</v>
      </c>
      <c r="E1677">
        <v>0</v>
      </c>
      <c r="G1677">
        <f t="shared" si="161"/>
        <v>100.50460412733517</v>
      </c>
      <c r="H1677">
        <f t="shared" si="162"/>
        <v>6.3289666549848356E-3</v>
      </c>
      <c r="I1677">
        <f t="shared" si="163"/>
        <v>6.3289666549848356E-3</v>
      </c>
      <c r="K1677">
        <f t="shared" si="164"/>
        <v>6.8807339449541427E-3</v>
      </c>
      <c r="L1677">
        <f t="shared" si="165"/>
        <v>-6.6138320314726995E-3</v>
      </c>
      <c r="M1677">
        <f t="shared" si="166"/>
        <v>2.0612672036532054E-2</v>
      </c>
    </row>
    <row r="1678" spans="1:13" x14ac:dyDescent="0.3">
      <c r="A1678" s="3">
        <v>44434</v>
      </c>
      <c r="B1678" s="8">
        <v>12.9</v>
      </c>
      <c r="C1678" s="8">
        <v>173.3</v>
      </c>
      <c r="D1678" s="8">
        <v>161.75</v>
      </c>
      <c r="E1678">
        <v>0</v>
      </c>
      <c r="G1678">
        <f t="shared" si="161"/>
        <v>99.702267892453975</v>
      </c>
      <c r="H1678">
        <f t="shared" si="162"/>
        <v>-7.9830794006677808E-3</v>
      </c>
      <c r="I1678">
        <f t="shared" si="163"/>
        <v>-7.9830794006677808E-3</v>
      </c>
      <c r="K1678">
        <f t="shared" si="164"/>
        <v>-2.0501138952163989E-2</v>
      </c>
      <c r="L1678">
        <f t="shared" si="165"/>
        <v>-5.3377719106926236E-3</v>
      </c>
      <c r="M1678">
        <f t="shared" si="166"/>
        <v>5.157842406164681E-3</v>
      </c>
    </row>
    <row r="1679" spans="1:13" x14ac:dyDescent="0.3">
      <c r="A1679" s="3">
        <v>44435</v>
      </c>
      <c r="B1679" s="8">
        <v>13.31</v>
      </c>
      <c r="C1679" s="8">
        <v>172.93</v>
      </c>
      <c r="D1679" s="8">
        <v>163.05000000000001</v>
      </c>
      <c r="E1679">
        <v>0</v>
      </c>
      <c r="G1679">
        <f t="shared" si="161"/>
        <v>100.52475288078833</v>
      </c>
      <c r="H1679">
        <f t="shared" si="162"/>
        <v>8.2494110286592814E-3</v>
      </c>
      <c r="I1679">
        <f t="shared" si="163"/>
        <v>8.2494110286592814E-3</v>
      </c>
      <c r="K1679">
        <f t="shared" si="164"/>
        <v>3.1782945736434032E-2</v>
      </c>
      <c r="L1679">
        <f t="shared" si="165"/>
        <v>-2.1350259665320337E-3</v>
      </c>
      <c r="M1679">
        <f t="shared" si="166"/>
        <v>8.0370942812983959E-3</v>
      </c>
    </row>
    <row r="1680" spans="1:13" x14ac:dyDescent="0.3">
      <c r="A1680" s="3">
        <v>44438</v>
      </c>
      <c r="B1680" s="8">
        <v>13.05</v>
      </c>
      <c r="C1680" s="8">
        <v>173.66</v>
      </c>
      <c r="D1680" s="8">
        <v>160.44</v>
      </c>
      <c r="E1680">
        <v>0</v>
      </c>
      <c r="G1680">
        <f t="shared" si="161"/>
        <v>99.411945069056529</v>
      </c>
      <c r="H1680">
        <f t="shared" si="162"/>
        <v>-1.1069988036195078E-2</v>
      </c>
      <c r="I1680">
        <f t="shared" si="163"/>
        <v>-1.1069988036195078E-2</v>
      </c>
      <c r="K1680">
        <f t="shared" si="164"/>
        <v>-1.9534184823441048E-2</v>
      </c>
      <c r="L1680">
        <f t="shared" si="165"/>
        <v>4.2213612444341742E-3</v>
      </c>
      <c r="M1680">
        <f t="shared" si="166"/>
        <v>-1.6007359705611846E-2</v>
      </c>
    </row>
    <row r="1681" spans="1:13" x14ac:dyDescent="0.3">
      <c r="A1681" s="3">
        <v>44439</v>
      </c>
      <c r="B1681" s="8">
        <v>13.03</v>
      </c>
      <c r="C1681" s="8">
        <v>173.13</v>
      </c>
      <c r="D1681" s="8">
        <v>159.94999999999999</v>
      </c>
      <c r="E1681">
        <v>0</v>
      </c>
      <c r="G1681">
        <f t="shared" si="161"/>
        <v>99.71064802193996</v>
      </c>
      <c r="H1681">
        <f t="shared" si="162"/>
        <v>3.0046988083367587E-3</v>
      </c>
      <c r="I1681">
        <f t="shared" si="163"/>
        <v>3.0046988083367587E-3</v>
      </c>
      <c r="K1681">
        <f t="shared" si="164"/>
        <v>-1.5325670498085309E-3</v>
      </c>
      <c r="L1681">
        <f t="shared" si="165"/>
        <v>-3.0519405735345284E-3</v>
      </c>
      <c r="M1681">
        <f t="shared" si="166"/>
        <v>-3.054101221640515E-3</v>
      </c>
    </row>
    <row r="1682" spans="1:13" x14ac:dyDescent="0.3">
      <c r="A1682" s="3">
        <v>44440</v>
      </c>
      <c r="B1682" s="8">
        <v>13.11</v>
      </c>
      <c r="C1682" s="8">
        <v>173.74</v>
      </c>
      <c r="D1682" s="8">
        <v>159.72</v>
      </c>
      <c r="E1682">
        <v>0</v>
      </c>
      <c r="G1682">
        <f t="shared" si="161"/>
        <v>100.19305668273513</v>
      </c>
      <c r="H1682">
        <f t="shared" si="162"/>
        <v>4.8380857046383952E-3</v>
      </c>
      <c r="I1682">
        <f t="shared" si="163"/>
        <v>4.8380857046383952E-3</v>
      </c>
      <c r="K1682">
        <f t="shared" si="164"/>
        <v>6.1396776669224717E-3</v>
      </c>
      <c r="L1682">
        <f t="shared" si="165"/>
        <v>3.5233639461675903E-3</v>
      </c>
      <c r="M1682">
        <f t="shared" si="166"/>
        <v>-1.4379493591746284E-3</v>
      </c>
    </row>
    <row r="1683" spans="1:13" x14ac:dyDescent="0.3">
      <c r="A1683" s="3">
        <v>44441</v>
      </c>
      <c r="B1683" s="8">
        <v>13.01</v>
      </c>
      <c r="C1683" s="8">
        <v>174.93</v>
      </c>
      <c r="D1683" s="8">
        <v>160.46</v>
      </c>
      <c r="E1683">
        <v>0</v>
      </c>
      <c r="G1683">
        <f t="shared" si="161"/>
        <v>100.44981021412684</v>
      </c>
      <c r="H1683">
        <f t="shared" si="162"/>
        <v>2.5625880664039702E-3</v>
      </c>
      <c r="I1683">
        <f t="shared" si="163"/>
        <v>2.5625880664039702E-3</v>
      </c>
      <c r="K1683">
        <f t="shared" si="164"/>
        <v>-7.6277650648359785E-3</v>
      </c>
      <c r="L1683">
        <f t="shared" si="165"/>
        <v>6.8493150684931781E-3</v>
      </c>
      <c r="M1683">
        <f t="shared" si="166"/>
        <v>4.6331079388930441E-3</v>
      </c>
    </row>
    <row r="1684" spans="1:13" x14ac:dyDescent="0.3">
      <c r="A1684" s="3">
        <v>44442</v>
      </c>
      <c r="B1684" s="8">
        <v>12.89</v>
      </c>
      <c r="C1684" s="8">
        <v>175.04</v>
      </c>
      <c r="D1684" s="8">
        <v>159.49</v>
      </c>
      <c r="E1684">
        <v>0</v>
      </c>
      <c r="G1684">
        <f t="shared" si="161"/>
        <v>99.708478543722464</v>
      </c>
      <c r="H1684">
        <f t="shared" si="162"/>
        <v>-7.3801201697055729E-3</v>
      </c>
      <c r="I1684">
        <f t="shared" si="163"/>
        <v>-7.3801201697055729E-3</v>
      </c>
      <c r="K1684">
        <f t="shared" si="164"/>
        <v>-9.2236740968485442E-3</v>
      </c>
      <c r="L1684">
        <f t="shared" si="165"/>
        <v>6.2882295775446018E-4</v>
      </c>
      <c r="M1684">
        <f t="shared" si="166"/>
        <v>-6.0451202791973468E-3</v>
      </c>
    </row>
    <row r="1685" spans="1:13" x14ac:dyDescent="0.3">
      <c r="A1685" s="3">
        <v>44446</v>
      </c>
      <c r="B1685" s="8">
        <v>12.95</v>
      </c>
      <c r="C1685" s="8">
        <v>172.32</v>
      </c>
      <c r="D1685" s="8">
        <v>159.21</v>
      </c>
      <c r="E1685">
        <v>0</v>
      </c>
      <c r="G1685">
        <f t="shared" si="161"/>
        <v>99.176403129636327</v>
      </c>
      <c r="H1685">
        <f t="shared" si="162"/>
        <v>-5.3363106313253361E-3</v>
      </c>
      <c r="I1685">
        <f t="shared" si="163"/>
        <v>-5.3363106313253361E-3</v>
      </c>
      <c r="K1685">
        <f t="shared" si="164"/>
        <v>4.6547711404187897E-3</v>
      </c>
      <c r="L1685">
        <f t="shared" si="165"/>
        <v>-1.5539305301645379E-2</v>
      </c>
      <c r="M1685">
        <f t="shared" si="166"/>
        <v>-1.7555959621292638E-3</v>
      </c>
    </row>
    <row r="1686" spans="1:13" x14ac:dyDescent="0.3">
      <c r="A1686" s="3">
        <v>44447</v>
      </c>
      <c r="B1686" s="8">
        <v>13.03</v>
      </c>
      <c r="C1686" s="8">
        <v>171.9</v>
      </c>
      <c r="D1686" s="8">
        <v>158.5</v>
      </c>
      <c r="E1686">
        <v>0</v>
      </c>
      <c r="G1686">
        <f t="shared" si="161"/>
        <v>99.770456708007146</v>
      </c>
      <c r="H1686">
        <f t="shared" si="162"/>
        <v>5.9898681503331996E-3</v>
      </c>
      <c r="I1686">
        <f t="shared" si="163"/>
        <v>5.9898681503331996E-3</v>
      </c>
      <c r="K1686">
        <f t="shared" si="164"/>
        <v>6.1776061776062097E-3</v>
      </c>
      <c r="L1686">
        <f t="shared" si="165"/>
        <v>-2.4373259052924423E-3</v>
      </c>
      <c r="M1686">
        <f t="shared" si="166"/>
        <v>-4.4595188744426251E-3</v>
      </c>
    </row>
    <row r="1687" spans="1:13" x14ac:dyDescent="0.3">
      <c r="A1687" s="3">
        <v>44448</v>
      </c>
      <c r="B1687" s="8">
        <v>12.76</v>
      </c>
      <c r="C1687" s="8">
        <v>168.07</v>
      </c>
      <c r="D1687" s="8">
        <v>159.19</v>
      </c>
      <c r="E1687">
        <v>0</v>
      </c>
      <c r="G1687">
        <f t="shared" si="161"/>
        <v>98.790552575487965</v>
      </c>
      <c r="H1687">
        <f t="shared" si="162"/>
        <v>-9.8215861172913366E-3</v>
      </c>
      <c r="I1687">
        <f t="shared" si="163"/>
        <v>-9.8215861172913366E-3</v>
      </c>
      <c r="K1687">
        <f t="shared" si="164"/>
        <v>-2.0721412125863314E-2</v>
      </c>
      <c r="L1687">
        <f t="shared" si="165"/>
        <v>-2.2280395578824996E-2</v>
      </c>
      <c r="M1687">
        <f t="shared" si="166"/>
        <v>4.3533123028391962E-3</v>
      </c>
    </row>
    <row r="1688" spans="1:13" x14ac:dyDescent="0.3">
      <c r="A1688" s="3">
        <v>44449</v>
      </c>
      <c r="B1688" s="8">
        <v>12.68</v>
      </c>
      <c r="C1688" s="8">
        <v>166.97</v>
      </c>
      <c r="D1688" s="8">
        <v>157.36000000000001</v>
      </c>
      <c r="E1688">
        <v>0</v>
      </c>
      <c r="G1688">
        <f t="shared" si="161"/>
        <v>99.162092155795435</v>
      </c>
      <c r="H1688">
        <f t="shared" si="162"/>
        <v>3.7608816898111463E-3</v>
      </c>
      <c r="I1688">
        <f t="shared" si="163"/>
        <v>3.7608816898111463E-3</v>
      </c>
      <c r="K1688">
        <f t="shared" si="164"/>
        <v>-6.2695924764890609E-3</v>
      </c>
      <c r="L1688">
        <f t="shared" si="165"/>
        <v>-6.5448920092817664E-3</v>
      </c>
      <c r="M1688">
        <f t="shared" si="166"/>
        <v>-1.1495696965889701E-2</v>
      </c>
    </row>
    <row r="1689" spans="1:13" x14ac:dyDescent="0.3">
      <c r="A1689" s="3">
        <v>44452</v>
      </c>
      <c r="B1689" s="8">
        <v>12.99</v>
      </c>
      <c r="C1689" s="8">
        <v>165.8</v>
      </c>
      <c r="D1689" s="8">
        <v>159.86000000000001</v>
      </c>
      <c r="E1689">
        <v>0</v>
      </c>
      <c r="G1689">
        <f t="shared" si="161"/>
        <v>100.49047213842832</v>
      </c>
      <c r="H1689">
        <f t="shared" si="162"/>
        <v>1.3396046349504642E-2</v>
      </c>
      <c r="I1689">
        <f t="shared" si="163"/>
        <v>1.3396046349504642E-2</v>
      </c>
      <c r="K1689">
        <f t="shared" si="164"/>
        <v>2.444794952681395E-2</v>
      </c>
      <c r="L1689">
        <f t="shared" si="165"/>
        <v>-7.0072468108042241E-3</v>
      </c>
      <c r="M1689">
        <f t="shared" si="166"/>
        <v>1.5887137773258786E-2</v>
      </c>
    </row>
    <row r="1690" spans="1:13" x14ac:dyDescent="0.3">
      <c r="A1690" s="3">
        <v>44453</v>
      </c>
      <c r="B1690" s="8">
        <v>12.86</v>
      </c>
      <c r="C1690" s="8">
        <v>164.8</v>
      </c>
      <c r="D1690" s="8">
        <v>157.07</v>
      </c>
      <c r="E1690">
        <v>0</v>
      </c>
      <c r="G1690">
        <f t="shared" si="161"/>
        <v>98.925391527643839</v>
      </c>
      <c r="H1690">
        <f t="shared" si="162"/>
        <v>-1.5574417927189499E-2</v>
      </c>
      <c r="I1690">
        <f t="shared" si="163"/>
        <v>-1.5574417927189499E-2</v>
      </c>
      <c r="K1690">
        <f t="shared" si="164"/>
        <v>-1.000769822940728E-2</v>
      </c>
      <c r="L1690">
        <f t="shared" si="165"/>
        <v>-6.0313630880578506E-3</v>
      </c>
      <c r="M1690">
        <f t="shared" si="166"/>
        <v>-1.7452771174778059E-2</v>
      </c>
    </row>
    <row r="1691" spans="1:13" x14ac:dyDescent="0.3">
      <c r="A1691" s="3">
        <v>44454</v>
      </c>
      <c r="B1691" s="8">
        <v>13.22</v>
      </c>
      <c r="C1691" s="8">
        <v>165.42</v>
      </c>
      <c r="D1691" s="8">
        <v>158.16</v>
      </c>
      <c r="E1691">
        <v>0</v>
      </c>
      <c r="G1691">
        <f t="shared" si="161"/>
        <v>100.74973733573569</v>
      </c>
      <c r="H1691">
        <f t="shared" si="162"/>
        <v>1.844163343626537E-2</v>
      </c>
      <c r="I1691">
        <f t="shared" si="163"/>
        <v>1.844163343626537E-2</v>
      </c>
      <c r="K1691">
        <f t="shared" si="164"/>
        <v>2.7993779160186749E-2</v>
      </c>
      <c r="L1691">
        <f t="shared" si="165"/>
        <v>3.7621359223298789E-3</v>
      </c>
      <c r="M1691">
        <f t="shared" si="166"/>
        <v>6.9395810785000123E-3</v>
      </c>
    </row>
    <row r="1692" spans="1:13" x14ac:dyDescent="0.3">
      <c r="A1692" s="3">
        <v>44455</v>
      </c>
      <c r="B1692" s="8">
        <v>13.4</v>
      </c>
      <c r="C1692" s="8">
        <v>165.22</v>
      </c>
      <c r="D1692" s="8">
        <v>158.09</v>
      </c>
      <c r="E1692">
        <v>0</v>
      </c>
      <c r="G1692">
        <f t="shared" si="161"/>
        <v>100.06330517999604</v>
      </c>
      <c r="H1692">
        <f t="shared" si="162"/>
        <v>-6.8132401522020825E-3</v>
      </c>
      <c r="I1692">
        <f t="shared" si="163"/>
        <v>-6.8132401522020825E-3</v>
      </c>
      <c r="K1692">
        <f t="shared" si="164"/>
        <v>1.3615733736762392E-2</v>
      </c>
      <c r="L1692">
        <f t="shared" si="165"/>
        <v>-1.2090436464755605E-3</v>
      </c>
      <c r="M1692">
        <f t="shared" si="166"/>
        <v>-4.425897824986702E-4</v>
      </c>
    </row>
    <row r="1693" spans="1:13" x14ac:dyDescent="0.3">
      <c r="A1693" s="3">
        <v>44456</v>
      </c>
      <c r="B1693" s="8">
        <v>13.55</v>
      </c>
      <c r="C1693" s="8">
        <v>164.75</v>
      </c>
      <c r="D1693" s="8">
        <v>157.68</v>
      </c>
      <c r="E1693">
        <v>0</v>
      </c>
      <c r="G1693">
        <f t="shared" si="161"/>
        <v>99.872114001195555</v>
      </c>
      <c r="H1693">
        <f t="shared" si="162"/>
        <v>-1.9107022145287145E-3</v>
      </c>
      <c r="I1693">
        <f t="shared" si="163"/>
        <v>-1.9107022145287145E-3</v>
      </c>
      <c r="K1693">
        <f t="shared" si="164"/>
        <v>1.1194029850746245E-2</v>
      </c>
      <c r="L1693">
        <f t="shared" si="165"/>
        <v>-2.8446919259169645E-3</v>
      </c>
      <c r="M1693">
        <f t="shared" si="166"/>
        <v>-2.5934594218482987E-3</v>
      </c>
    </row>
    <row r="1694" spans="1:13" x14ac:dyDescent="0.3">
      <c r="A1694" s="3">
        <v>44459</v>
      </c>
      <c r="B1694" s="8">
        <v>12.82</v>
      </c>
      <c r="C1694" s="8">
        <v>163.81</v>
      </c>
      <c r="D1694" s="8">
        <v>152.96</v>
      </c>
      <c r="E1694">
        <v>0</v>
      </c>
      <c r="G1694">
        <f t="shared" si="161"/>
        <v>98.012876525950986</v>
      </c>
      <c r="H1694">
        <f t="shared" si="162"/>
        <v>-1.8616182243046508E-2</v>
      </c>
      <c r="I1694">
        <f t="shared" si="163"/>
        <v>-1.8616182243046508E-2</v>
      </c>
      <c r="K1694">
        <f t="shared" si="164"/>
        <v>-5.3874538745387501E-2</v>
      </c>
      <c r="L1694">
        <f t="shared" si="165"/>
        <v>-5.7056145675264958E-3</v>
      </c>
      <c r="M1694">
        <f t="shared" si="166"/>
        <v>-2.9934043632673712E-2</v>
      </c>
    </row>
    <row r="1695" spans="1:13" x14ac:dyDescent="0.3">
      <c r="A1695" s="3">
        <v>44460</v>
      </c>
      <c r="B1695" s="8">
        <v>12.77</v>
      </c>
      <c r="C1695" s="8">
        <v>164.53</v>
      </c>
      <c r="D1695" s="8">
        <v>152.97999999999999</v>
      </c>
      <c r="E1695">
        <v>0</v>
      </c>
      <c r="G1695">
        <f t="shared" si="161"/>
        <v>100.19211431615949</v>
      </c>
      <c r="H1695">
        <f t="shared" si="162"/>
        <v>2.2234198887444157E-2</v>
      </c>
      <c r="I1695">
        <f t="shared" si="163"/>
        <v>2.2234198887444157E-2</v>
      </c>
      <c r="K1695">
        <f t="shared" si="164"/>
        <v>-3.900156006240274E-3</v>
      </c>
      <c r="L1695">
        <f t="shared" si="165"/>
        <v>4.3953360600694769E-3</v>
      </c>
      <c r="M1695">
        <f t="shared" si="166"/>
        <v>1.3075313807520139E-4</v>
      </c>
    </row>
    <row r="1696" spans="1:13" x14ac:dyDescent="0.3">
      <c r="A1696" s="3">
        <v>44461</v>
      </c>
      <c r="B1696" s="8">
        <v>13.23</v>
      </c>
      <c r="C1696" s="8">
        <v>163.93</v>
      </c>
      <c r="D1696" s="8">
        <v>155.91</v>
      </c>
      <c r="E1696">
        <v>0</v>
      </c>
      <c r="G1696">
        <f t="shared" si="161"/>
        <v>100.90903334707306</v>
      </c>
      <c r="H1696">
        <f t="shared" si="162"/>
        <v>7.1554436774465824E-3</v>
      </c>
      <c r="I1696">
        <f t="shared" si="163"/>
        <v>7.1554436774465824E-3</v>
      </c>
      <c r="K1696">
        <f t="shared" si="164"/>
        <v>3.6021926389976588E-2</v>
      </c>
      <c r="L1696">
        <f t="shared" si="165"/>
        <v>-3.646751352336941E-3</v>
      </c>
      <c r="M1696">
        <f t="shared" si="166"/>
        <v>1.9152830435350987E-2</v>
      </c>
    </row>
    <row r="1697" spans="1:13" x14ac:dyDescent="0.3">
      <c r="A1697" s="3">
        <v>44462</v>
      </c>
      <c r="B1697" s="8">
        <v>13.71</v>
      </c>
      <c r="C1697" s="8">
        <v>164.86</v>
      </c>
      <c r="D1697" s="8">
        <v>161.18</v>
      </c>
      <c r="E1697">
        <v>0</v>
      </c>
      <c r="G1697">
        <f t="shared" si="161"/>
        <v>101.94659490258377</v>
      </c>
      <c r="H1697">
        <f t="shared" si="162"/>
        <v>1.0282147406387887E-2</v>
      </c>
      <c r="I1697">
        <f t="shared" si="163"/>
        <v>1.0282147406387887E-2</v>
      </c>
      <c r="K1697">
        <f t="shared" si="164"/>
        <v>3.6281179138321962E-2</v>
      </c>
      <c r="L1697">
        <f t="shared" si="165"/>
        <v>5.6731531751357256E-3</v>
      </c>
      <c r="M1697">
        <f t="shared" si="166"/>
        <v>3.380155217753833E-2</v>
      </c>
    </row>
    <row r="1698" spans="1:13" x14ac:dyDescent="0.3">
      <c r="A1698" s="3">
        <v>44463</v>
      </c>
      <c r="B1698" s="8">
        <v>13.78</v>
      </c>
      <c r="C1698" s="8">
        <v>164.36</v>
      </c>
      <c r="D1698" s="8">
        <v>163.04</v>
      </c>
      <c r="E1698">
        <v>0</v>
      </c>
      <c r="G1698">
        <f t="shared" si="161"/>
        <v>100.33039538488661</v>
      </c>
      <c r="H1698">
        <f t="shared" si="162"/>
        <v>-1.5853393820966066E-2</v>
      </c>
      <c r="I1698">
        <f t="shared" si="163"/>
        <v>-1.5853393820966066E-2</v>
      </c>
      <c r="K1698">
        <f t="shared" si="164"/>
        <v>5.1057622173595885E-3</v>
      </c>
      <c r="L1698">
        <f t="shared" si="165"/>
        <v>-3.0328763799587488E-3</v>
      </c>
      <c r="M1698">
        <f t="shared" si="166"/>
        <v>1.1539893287008329E-2</v>
      </c>
    </row>
    <row r="1699" spans="1:13" x14ac:dyDescent="0.3">
      <c r="A1699" s="3">
        <v>44466</v>
      </c>
      <c r="B1699" s="8">
        <v>14.16</v>
      </c>
      <c r="C1699" s="8">
        <v>163.16999999999999</v>
      </c>
      <c r="D1699" s="8">
        <v>166.98</v>
      </c>
      <c r="E1699">
        <v>0</v>
      </c>
      <c r="G1699">
        <f t="shared" si="161"/>
        <v>100.822705374828</v>
      </c>
      <c r="H1699">
        <f t="shared" si="162"/>
        <v>4.9068877686846424E-3</v>
      </c>
      <c r="I1699">
        <f t="shared" si="163"/>
        <v>4.9068877686846424E-3</v>
      </c>
      <c r="K1699">
        <f t="shared" si="164"/>
        <v>2.7576197387518153E-2</v>
      </c>
      <c r="L1699">
        <f t="shared" si="165"/>
        <v>-7.2402044293017331E-3</v>
      </c>
      <c r="M1699">
        <f t="shared" si="166"/>
        <v>2.4165848871442686E-2</v>
      </c>
    </row>
    <row r="1700" spans="1:13" x14ac:dyDescent="0.3">
      <c r="A1700" s="3">
        <v>44467</v>
      </c>
      <c r="B1700" s="8">
        <v>14.31</v>
      </c>
      <c r="C1700" s="8">
        <v>162.81</v>
      </c>
      <c r="D1700" s="8">
        <v>166.08</v>
      </c>
      <c r="E1700">
        <v>0</v>
      </c>
      <c r="G1700">
        <f t="shared" si="161"/>
        <v>99.793711687513209</v>
      </c>
      <c r="H1700">
        <f t="shared" si="162"/>
        <v>-1.0205971794640001E-2</v>
      </c>
      <c r="I1700">
        <f t="shared" si="163"/>
        <v>-1.0205971794640001E-2</v>
      </c>
      <c r="K1700">
        <f t="shared" si="164"/>
        <v>1.0593220338983134E-2</v>
      </c>
      <c r="L1700">
        <f t="shared" si="165"/>
        <v>-2.2062879205735353E-3</v>
      </c>
      <c r="M1700">
        <f t="shared" si="166"/>
        <v>-5.3898670499459289E-3</v>
      </c>
    </row>
    <row r="1701" spans="1:13" x14ac:dyDescent="0.3">
      <c r="A1701" s="3">
        <v>44468</v>
      </c>
      <c r="B1701" s="8">
        <v>14.3</v>
      </c>
      <c r="C1701" s="8">
        <v>164.02</v>
      </c>
      <c r="D1701" s="8">
        <v>165.95</v>
      </c>
      <c r="E1701">
        <v>0</v>
      </c>
      <c r="G1701">
        <f t="shared" si="161"/>
        <v>100.34885632550142</v>
      </c>
      <c r="H1701">
        <f t="shared" si="162"/>
        <v>5.5629220378790034E-3</v>
      </c>
      <c r="I1701">
        <f t="shared" si="163"/>
        <v>5.5629220378790034E-3</v>
      </c>
      <c r="K1701">
        <f t="shared" si="164"/>
        <v>-6.9881201956667471E-4</v>
      </c>
      <c r="L1701">
        <f t="shared" si="165"/>
        <v>7.4319759228549387E-3</v>
      </c>
      <c r="M1701">
        <f t="shared" si="166"/>
        <v>-7.8275529865134974E-4</v>
      </c>
    </row>
    <row r="1702" spans="1:13" x14ac:dyDescent="0.3">
      <c r="A1702" s="3">
        <v>44469</v>
      </c>
      <c r="B1702" s="8">
        <v>14.16</v>
      </c>
      <c r="C1702" s="8">
        <v>161.5</v>
      </c>
      <c r="D1702" s="8">
        <v>163.69</v>
      </c>
      <c r="E1702">
        <v>0</v>
      </c>
      <c r="G1702">
        <f t="shared" si="161"/>
        <v>98.587698347804235</v>
      </c>
      <c r="H1702">
        <f t="shared" si="162"/>
        <v>-1.7550354256001821E-2</v>
      </c>
      <c r="I1702">
        <f t="shared" si="163"/>
        <v>-1.7550354256001821E-2</v>
      </c>
      <c r="K1702">
        <f t="shared" si="164"/>
        <v>-9.7902097902098362E-3</v>
      </c>
      <c r="L1702">
        <f t="shared" si="165"/>
        <v>-1.5363980002438771E-2</v>
      </c>
      <c r="M1702">
        <f t="shared" si="166"/>
        <v>-1.3618559807170749E-2</v>
      </c>
    </row>
    <row r="1703" spans="1:13" x14ac:dyDescent="0.3">
      <c r="A1703" s="3">
        <v>44470</v>
      </c>
      <c r="B1703" s="8">
        <v>14.16</v>
      </c>
      <c r="C1703" s="8">
        <v>160.47</v>
      </c>
      <c r="D1703" s="8">
        <v>167.13</v>
      </c>
      <c r="E1703">
        <v>0</v>
      </c>
      <c r="G1703">
        <f t="shared" si="161"/>
        <v>100.45989714586774</v>
      </c>
      <c r="H1703">
        <f t="shared" si="162"/>
        <v>1.8990186701170808E-2</v>
      </c>
      <c r="I1703">
        <f t="shared" si="163"/>
        <v>1.8990186701170808E-2</v>
      </c>
      <c r="K1703">
        <f t="shared" si="164"/>
        <v>0</v>
      </c>
      <c r="L1703">
        <f t="shared" si="165"/>
        <v>-6.3777089783282337E-3</v>
      </c>
      <c r="M1703">
        <f t="shared" si="166"/>
        <v>2.101533386278942E-2</v>
      </c>
    </row>
    <row r="1704" spans="1:13" x14ac:dyDescent="0.3">
      <c r="A1704" s="3">
        <v>44473</v>
      </c>
      <c r="B1704" s="8">
        <v>14.35</v>
      </c>
      <c r="C1704" s="8">
        <v>159.22</v>
      </c>
      <c r="D1704" s="8">
        <v>166.95</v>
      </c>
      <c r="E1704">
        <v>0</v>
      </c>
      <c r="G1704">
        <f t="shared" si="161"/>
        <v>99.695902228455708</v>
      </c>
      <c r="H1704">
        <f t="shared" si="162"/>
        <v>-7.6049741152204309E-3</v>
      </c>
      <c r="I1704">
        <f t="shared" si="163"/>
        <v>-7.6049741152204309E-3</v>
      </c>
      <c r="K1704">
        <f t="shared" si="164"/>
        <v>1.3418079096045199E-2</v>
      </c>
      <c r="L1704">
        <f t="shared" si="165"/>
        <v>-7.7896179971334023E-3</v>
      </c>
      <c r="M1704">
        <f t="shared" si="166"/>
        <v>-1.077005923532659E-3</v>
      </c>
    </row>
    <row r="1705" spans="1:13" x14ac:dyDescent="0.3">
      <c r="A1705" s="3">
        <v>44474</v>
      </c>
      <c r="B1705" s="8">
        <v>14.29</v>
      </c>
      <c r="C1705" s="8">
        <v>159.58000000000001</v>
      </c>
      <c r="D1705" s="8">
        <v>168.66</v>
      </c>
      <c r="E1705">
        <v>0</v>
      </c>
      <c r="G1705">
        <f t="shared" si="161"/>
        <v>100.45894087028218</v>
      </c>
      <c r="H1705">
        <f t="shared" si="162"/>
        <v>7.6536610309012598E-3</v>
      </c>
      <c r="I1705">
        <f t="shared" si="163"/>
        <v>7.6536610309012598E-3</v>
      </c>
      <c r="K1705">
        <f t="shared" si="164"/>
        <v>-4.1811846689895349E-3</v>
      </c>
      <c r="L1705">
        <f t="shared" si="165"/>
        <v>2.2610224846124627E-3</v>
      </c>
      <c r="M1705">
        <f t="shared" si="166"/>
        <v>1.0242587601078323E-2</v>
      </c>
    </row>
    <row r="1706" spans="1:13" x14ac:dyDescent="0.3">
      <c r="A1706" s="3">
        <v>44475</v>
      </c>
      <c r="B1706" s="8">
        <v>14.12</v>
      </c>
      <c r="C1706" s="8">
        <v>159.91</v>
      </c>
      <c r="D1706" s="8">
        <v>169.02</v>
      </c>
      <c r="E1706">
        <v>0</v>
      </c>
      <c r="G1706">
        <f t="shared" si="161"/>
        <v>100.06294720454019</v>
      </c>
      <c r="H1706">
        <f t="shared" si="162"/>
        <v>-3.941845915470199E-3</v>
      </c>
      <c r="I1706">
        <f t="shared" si="163"/>
        <v>-3.941845915470199E-3</v>
      </c>
      <c r="K1706">
        <f t="shared" si="164"/>
        <v>-1.1896431070678837E-2</v>
      </c>
      <c r="L1706">
        <f t="shared" si="165"/>
        <v>2.0679283118183456E-3</v>
      </c>
      <c r="M1706">
        <f t="shared" si="166"/>
        <v>2.1344717182498751E-3</v>
      </c>
    </row>
    <row r="1707" spans="1:13" x14ac:dyDescent="0.3">
      <c r="A1707" s="3">
        <v>44476</v>
      </c>
      <c r="B1707" s="8">
        <v>14.89</v>
      </c>
      <c r="C1707" s="8">
        <v>161.34</v>
      </c>
      <c r="D1707" s="8">
        <v>170.09</v>
      </c>
      <c r="E1707">
        <v>0</v>
      </c>
      <c r="G1707">
        <f t="shared" si="161"/>
        <v>101.27375812730799</v>
      </c>
      <c r="H1707">
        <f t="shared" si="162"/>
        <v>1.2100492306035715E-2</v>
      </c>
      <c r="I1707">
        <f t="shared" si="163"/>
        <v>1.2100492306035715E-2</v>
      </c>
      <c r="K1707">
        <f t="shared" si="164"/>
        <v>5.4532577903682711E-2</v>
      </c>
      <c r="L1707">
        <f t="shared" si="165"/>
        <v>8.9425301732224405E-3</v>
      </c>
      <c r="M1707">
        <f t="shared" si="166"/>
        <v>6.3306117619217339E-3</v>
      </c>
    </row>
    <row r="1708" spans="1:13" x14ac:dyDescent="0.3">
      <c r="A1708" s="3">
        <v>44477</v>
      </c>
      <c r="B1708" s="8">
        <v>15.12</v>
      </c>
      <c r="C1708" s="8">
        <v>160.93</v>
      </c>
      <c r="D1708" s="8">
        <v>170.22</v>
      </c>
      <c r="E1708">
        <v>0</v>
      </c>
      <c r="G1708">
        <f t="shared" si="161"/>
        <v>100.05878489158707</v>
      </c>
      <c r="H1708">
        <f t="shared" si="162"/>
        <v>-1.1996920605964023E-2</v>
      </c>
      <c r="I1708">
        <f t="shared" si="163"/>
        <v>-1.1996920605964023E-2</v>
      </c>
      <c r="K1708">
        <f t="shared" si="164"/>
        <v>1.5446608462055034E-2</v>
      </c>
      <c r="L1708">
        <f t="shared" si="165"/>
        <v>-2.5412173050700648E-3</v>
      </c>
      <c r="M1708">
        <f t="shared" si="166"/>
        <v>7.643012522782211E-4</v>
      </c>
    </row>
    <row r="1709" spans="1:13" x14ac:dyDescent="0.3">
      <c r="A1709" s="3">
        <v>44480</v>
      </c>
      <c r="B1709" s="8">
        <v>15.09</v>
      </c>
      <c r="C1709" s="8">
        <v>160.25</v>
      </c>
      <c r="D1709" s="8">
        <v>166.64</v>
      </c>
      <c r="E1709">
        <v>0</v>
      </c>
      <c r="G1709">
        <f t="shared" si="161"/>
        <v>98.968512304356153</v>
      </c>
      <c r="H1709">
        <f t="shared" si="162"/>
        <v>-1.0896320482126742E-2</v>
      </c>
      <c r="I1709">
        <f t="shared" si="163"/>
        <v>-1.0896320482126742E-2</v>
      </c>
      <c r="K1709">
        <f t="shared" si="164"/>
        <v>-1.9841269841269771E-3</v>
      </c>
      <c r="L1709">
        <f t="shared" si="165"/>
        <v>-4.2254396321382837E-3</v>
      </c>
      <c r="M1709">
        <f t="shared" si="166"/>
        <v>-2.1031606156738381E-2</v>
      </c>
    </row>
    <row r="1710" spans="1:13" x14ac:dyDescent="0.3">
      <c r="A1710" s="3">
        <v>44481</v>
      </c>
      <c r="B1710" s="8">
        <v>15.64</v>
      </c>
      <c r="C1710" s="8">
        <v>157.69</v>
      </c>
      <c r="D1710" s="8">
        <v>165.36</v>
      </c>
      <c r="E1710">
        <v>0</v>
      </c>
      <c r="G1710">
        <f t="shared" si="161"/>
        <v>99.264006016885446</v>
      </c>
      <c r="H1710">
        <f t="shared" si="162"/>
        <v>2.9857346104240623E-3</v>
      </c>
      <c r="I1710">
        <f t="shared" si="163"/>
        <v>2.9857346104240623E-3</v>
      </c>
      <c r="K1710">
        <f t="shared" si="164"/>
        <v>3.6447978793903379E-2</v>
      </c>
      <c r="L1710">
        <f t="shared" si="165"/>
        <v>-1.5975039001560054E-2</v>
      </c>
      <c r="M1710">
        <f t="shared" si="166"/>
        <v>-7.6812289966392555E-3</v>
      </c>
    </row>
    <row r="1711" spans="1:13" x14ac:dyDescent="0.3">
      <c r="A1711" s="3">
        <v>44482</v>
      </c>
      <c r="B1711" s="8">
        <v>15.51</v>
      </c>
      <c r="C1711" s="8">
        <v>159.19999999999999</v>
      </c>
      <c r="D1711" s="8">
        <v>161</v>
      </c>
      <c r="E1711">
        <v>0</v>
      </c>
      <c r="G1711">
        <f t="shared" si="161"/>
        <v>99.417555350332748</v>
      </c>
      <c r="H1711">
        <f t="shared" si="162"/>
        <v>1.5468782654326496E-3</v>
      </c>
      <c r="I1711">
        <f t="shared" si="163"/>
        <v>1.5468782654326496E-3</v>
      </c>
      <c r="K1711">
        <f t="shared" si="164"/>
        <v>-8.3120204603580605E-3</v>
      </c>
      <c r="L1711">
        <f t="shared" si="165"/>
        <v>9.5757498890227666E-3</v>
      </c>
      <c r="M1711">
        <f t="shared" si="166"/>
        <v>-2.6366715045960443E-2</v>
      </c>
    </row>
    <row r="1712" spans="1:13" x14ac:dyDescent="0.3">
      <c r="A1712" s="3">
        <v>44483</v>
      </c>
      <c r="B1712" s="8">
        <v>15.45</v>
      </c>
      <c r="C1712" s="8">
        <v>160.11000000000001</v>
      </c>
      <c r="D1712" s="8">
        <v>163.47</v>
      </c>
      <c r="E1712">
        <v>0</v>
      </c>
      <c r="G1712">
        <f t="shared" si="161"/>
        <v>100.8333784028498</v>
      </c>
      <c r="H1712">
        <f t="shared" si="162"/>
        <v>1.4241177501578051E-2</v>
      </c>
      <c r="I1712">
        <f t="shared" si="163"/>
        <v>1.4241177501578051E-2</v>
      </c>
      <c r="K1712">
        <f t="shared" si="164"/>
        <v>-3.8684719535784229E-3</v>
      </c>
      <c r="L1712">
        <f t="shared" si="165"/>
        <v>5.7160804020102152E-3</v>
      </c>
      <c r="M1712">
        <f t="shared" si="166"/>
        <v>1.534161490683239E-2</v>
      </c>
    </row>
    <row r="1713" spans="1:13" x14ac:dyDescent="0.3">
      <c r="A1713" s="3">
        <v>44484</v>
      </c>
      <c r="B1713" s="8">
        <v>15.7</v>
      </c>
      <c r="C1713" s="8">
        <v>161.30000000000001</v>
      </c>
      <c r="D1713" s="8">
        <v>166.61</v>
      </c>
      <c r="E1713">
        <v>0</v>
      </c>
      <c r="G1713">
        <f t="shared" si="161"/>
        <v>101.27807281893043</v>
      </c>
      <c r="H1713">
        <f t="shared" si="162"/>
        <v>4.4101905849467382E-3</v>
      </c>
      <c r="I1713">
        <f t="shared" si="163"/>
        <v>4.4101905849467382E-3</v>
      </c>
      <c r="K1713">
        <f t="shared" si="164"/>
        <v>1.6181229773462702E-2</v>
      </c>
      <c r="L1713">
        <f t="shared" si="165"/>
        <v>7.4323902317157131E-3</v>
      </c>
      <c r="M1713">
        <f t="shared" si="166"/>
        <v>1.9208417446626491E-2</v>
      </c>
    </row>
    <row r="1714" spans="1:13" x14ac:dyDescent="0.3">
      <c r="A1714" s="3">
        <v>44487</v>
      </c>
      <c r="B1714" s="8">
        <v>15.56</v>
      </c>
      <c r="C1714" s="8">
        <v>160.12</v>
      </c>
      <c r="D1714" s="8">
        <v>166.55</v>
      </c>
      <c r="E1714">
        <v>0</v>
      </c>
      <c r="G1714">
        <f t="shared" si="161"/>
        <v>99.51339863103064</v>
      </c>
      <c r="H1714">
        <f t="shared" si="162"/>
        <v>-1.7424049834111166E-2</v>
      </c>
      <c r="I1714">
        <f t="shared" si="163"/>
        <v>-1.7424049834111166E-2</v>
      </c>
      <c r="K1714">
        <f t="shared" si="164"/>
        <v>-8.9171974522291864E-3</v>
      </c>
      <c r="L1714">
        <f t="shared" si="165"/>
        <v>-7.3155610663360182E-3</v>
      </c>
      <c r="M1714">
        <f t="shared" si="166"/>
        <v>-3.6012244163019513E-4</v>
      </c>
    </row>
    <row r="1715" spans="1:13" x14ac:dyDescent="0.3">
      <c r="A1715" s="3">
        <v>44488</v>
      </c>
      <c r="B1715" s="8">
        <v>15.42</v>
      </c>
      <c r="C1715" s="8">
        <v>163.87</v>
      </c>
      <c r="D1715" s="8">
        <v>168.57</v>
      </c>
      <c r="E1715">
        <v>0</v>
      </c>
      <c r="G1715">
        <f t="shared" si="161"/>
        <v>101.57734340281243</v>
      </c>
      <c r="H1715">
        <f t="shared" si="162"/>
        <v>2.0740370645307316E-2</v>
      </c>
      <c r="I1715">
        <f t="shared" si="163"/>
        <v>2.0740370645307316E-2</v>
      </c>
      <c r="K1715">
        <f t="shared" si="164"/>
        <v>-8.9974293059126298E-3</v>
      </c>
      <c r="L1715">
        <f t="shared" si="165"/>
        <v>2.3419935048713425E-2</v>
      </c>
      <c r="M1715">
        <f t="shared" si="166"/>
        <v>1.2128489942959897E-2</v>
      </c>
    </row>
    <row r="1716" spans="1:13" x14ac:dyDescent="0.3">
      <c r="A1716" s="3">
        <v>44489</v>
      </c>
      <c r="B1716" s="8">
        <v>16.04</v>
      </c>
      <c r="C1716" s="8">
        <v>163.78</v>
      </c>
      <c r="D1716" s="8">
        <v>170.84</v>
      </c>
      <c r="E1716">
        <v>0</v>
      </c>
      <c r="G1716">
        <f t="shared" si="161"/>
        <v>100.89963348784651</v>
      </c>
      <c r="H1716">
        <f t="shared" si="162"/>
        <v>-6.6718609904810044E-3</v>
      </c>
      <c r="I1716">
        <f t="shared" si="163"/>
        <v>-6.6718609904810044E-3</v>
      </c>
      <c r="K1716">
        <f t="shared" si="164"/>
        <v>4.0207522697794928E-2</v>
      </c>
      <c r="L1716">
        <f t="shared" si="165"/>
        <v>-5.4921584182587857E-4</v>
      </c>
      <c r="M1716">
        <f t="shared" si="166"/>
        <v>1.3466215815388427E-2</v>
      </c>
    </row>
    <row r="1717" spans="1:13" x14ac:dyDescent="0.3">
      <c r="A1717" s="3">
        <v>44490</v>
      </c>
      <c r="B1717" s="8">
        <v>16.55</v>
      </c>
      <c r="C1717" s="8">
        <v>163.4</v>
      </c>
      <c r="D1717" s="8">
        <v>169.5</v>
      </c>
      <c r="E1717">
        <v>0</v>
      </c>
      <c r="G1717">
        <f t="shared" si="161"/>
        <v>99.917670262404059</v>
      </c>
      <c r="H1717">
        <f t="shared" si="162"/>
        <v>-9.7320792107806753E-3</v>
      </c>
      <c r="I1717">
        <f t="shared" si="163"/>
        <v>-9.7320792107806753E-3</v>
      </c>
      <c r="K1717">
        <f t="shared" si="164"/>
        <v>3.1795511221945238E-2</v>
      </c>
      <c r="L1717">
        <f t="shared" si="165"/>
        <v>-2.3201856148491462E-3</v>
      </c>
      <c r="M1717">
        <f t="shared" si="166"/>
        <v>-7.8435963474596804E-3</v>
      </c>
    </row>
    <row r="1718" spans="1:13" x14ac:dyDescent="0.3">
      <c r="A1718" s="3">
        <v>44491</v>
      </c>
      <c r="B1718" s="8">
        <v>16.28</v>
      </c>
      <c r="C1718" s="8">
        <v>163.72</v>
      </c>
      <c r="D1718" s="8">
        <v>171.78</v>
      </c>
      <c r="E1718">
        <v>0</v>
      </c>
      <c r="G1718">
        <f t="shared" si="161"/>
        <v>100.43682870587153</v>
      </c>
      <c r="H1718">
        <f t="shared" si="162"/>
        <v>5.1958621743688482E-3</v>
      </c>
      <c r="I1718">
        <f t="shared" si="163"/>
        <v>5.1958621743688482E-3</v>
      </c>
      <c r="K1718">
        <f t="shared" si="164"/>
        <v>-1.631419939577039E-2</v>
      </c>
      <c r="L1718">
        <f t="shared" si="165"/>
        <v>1.9583843329253892E-3</v>
      </c>
      <c r="M1718">
        <f t="shared" si="166"/>
        <v>1.3451327433628313E-2</v>
      </c>
    </row>
    <row r="1719" spans="1:13" x14ac:dyDescent="0.3">
      <c r="A1719" s="3">
        <v>44494</v>
      </c>
      <c r="B1719" s="8">
        <v>16</v>
      </c>
      <c r="C1719" s="8">
        <v>164.08</v>
      </c>
      <c r="D1719" s="8">
        <v>170.94</v>
      </c>
      <c r="E1719">
        <v>0</v>
      </c>
      <c r="G1719">
        <f t="shared" si="161"/>
        <v>99.749832467150952</v>
      </c>
      <c r="H1719">
        <f t="shared" si="162"/>
        <v>-6.840082941412251E-3</v>
      </c>
      <c r="I1719">
        <f t="shared" si="163"/>
        <v>-6.840082941412251E-3</v>
      </c>
      <c r="K1719">
        <f t="shared" si="164"/>
        <v>-1.7199017199017286E-2</v>
      </c>
      <c r="L1719">
        <f t="shared" si="165"/>
        <v>2.1988761299780446E-3</v>
      </c>
      <c r="M1719">
        <f t="shared" si="166"/>
        <v>-4.8899755501222719E-3</v>
      </c>
    </row>
    <row r="1720" spans="1:13" x14ac:dyDescent="0.3">
      <c r="A1720" s="3">
        <v>44495</v>
      </c>
      <c r="B1720" s="8">
        <v>15.94</v>
      </c>
      <c r="C1720" s="8">
        <v>165.75</v>
      </c>
      <c r="D1720" s="8">
        <v>171.4</v>
      </c>
      <c r="E1720">
        <v>0</v>
      </c>
      <c r="G1720">
        <f t="shared" si="161"/>
        <v>100.59008600411387</v>
      </c>
      <c r="H1720">
        <f t="shared" si="162"/>
        <v>8.4236085031985652E-3</v>
      </c>
      <c r="I1720">
        <f t="shared" si="163"/>
        <v>8.4236085031985652E-3</v>
      </c>
      <c r="K1720">
        <f t="shared" si="164"/>
        <v>-3.7500000000000311E-3</v>
      </c>
      <c r="L1720">
        <f t="shared" si="165"/>
        <v>1.0177961969770832E-2</v>
      </c>
      <c r="M1720">
        <f t="shared" si="166"/>
        <v>2.6910026910027529E-3</v>
      </c>
    </row>
    <row r="1721" spans="1:13" x14ac:dyDescent="0.3">
      <c r="A1721" s="3">
        <v>44496</v>
      </c>
      <c r="B1721" s="8">
        <v>15.51</v>
      </c>
      <c r="C1721" s="8">
        <v>163.74</v>
      </c>
      <c r="D1721" s="8">
        <v>167.83</v>
      </c>
      <c r="E1721">
        <v>0</v>
      </c>
      <c r="G1721">
        <f t="shared" si="161"/>
        <v>98.304247831123675</v>
      </c>
      <c r="H1721">
        <f t="shared" si="162"/>
        <v>-2.2724288881676769E-2</v>
      </c>
      <c r="I1721">
        <f t="shared" si="163"/>
        <v>-2.2724288881676769E-2</v>
      </c>
      <c r="K1721">
        <f t="shared" si="164"/>
        <v>-2.6976160602258492E-2</v>
      </c>
      <c r="L1721">
        <f t="shared" si="165"/>
        <v>-1.2126696832579165E-2</v>
      </c>
      <c r="M1721">
        <f t="shared" si="166"/>
        <v>-2.0828471411901917E-2</v>
      </c>
    </row>
    <row r="1722" spans="1:13" x14ac:dyDescent="0.3">
      <c r="A1722" s="3">
        <v>44497</v>
      </c>
      <c r="B1722" s="8">
        <v>16.86</v>
      </c>
      <c r="C1722" s="8">
        <v>162.85</v>
      </c>
      <c r="D1722" s="8">
        <v>170.36</v>
      </c>
      <c r="E1722">
        <v>0</v>
      </c>
      <c r="G1722">
        <f t="shared" si="161"/>
        <v>101.1974466476095</v>
      </c>
      <c r="H1722">
        <f t="shared" si="162"/>
        <v>2.9431066106685666E-2</v>
      </c>
      <c r="I1722">
        <f t="shared" si="163"/>
        <v>2.9431066106685666E-2</v>
      </c>
      <c r="K1722">
        <f t="shared" si="164"/>
        <v>8.7040618955512628E-2</v>
      </c>
      <c r="L1722">
        <f t="shared" si="165"/>
        <v>-5.4354464394773538E-3</v>
      </c>
      <c r="M1722">
        <f t="shared" si="166"/>
        <v>1.507477804921642E-2</v>
      </c>
    </row>
    <row r="1723" spans="1:13" x14ac:dyDescent="0.3">
      <c r="A1723" s="3">
        <v>44498</v>
      </c>
      <c r="B1723" s="8">
        <v>17.079999999999998</v>
      </c>
      <c r="C1723" s="8">
        <v>162.88</v>
      </c>
      <c r="D1723" s="8">
        <v>169.89</v>
      </c>
      <c r="E1723">
        <v>0</v>
      </c>
      <c r="G1723">
        <f t="shared" si="161"/>
        <v>100.04249274656556</v>
      </c>
      <c r="H1723">
        <f t="shared" si="162"/>
        <v>-1.1412875910453812E-2</v>
      </c>
      <c r="I1723">
        <f t="shared" si="163"/>
        <v>-1.1412875910453812E-2</v>
      </c>
      <c r="K1723">
        <f t="shared" si="164"/>
        <v>1.3048635824436383E-2</v>
      </c>
      <c r="L1723">
        <f t="shared" si="165"/>
        <v>1.842186060792006E-4</v>
      </c>
      <c r="M1723">
        <f t="shared" si="166"/>
        <v>-2.7588635830008146E-3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23"/>
  <sheetViews>
    <sheetView showGridLines="0" workbookViewId="0">
      <selection activeCell="I12" sqref="I12"/>
    </sheetView>
  </sheetViews>
  <sheetFormatPr baseColWidth="10" defaultColWidth="9.109375" defaultRowHeight="14.4" x14ac:dyDescent="0.3"/>
  <cols>
    <col min="1" max="1" width="10.44140625" bestFit="1" customWidth="1"/>
  </cols>
  <sheetData>
    <row r="2" spans="1:6" x14ac:dyDescent="0.3">
      <c r="A2" s="10" t="s">
        <v>9</v>
      </c>
    </row>
    <row r="3" spans="1:6" x14ac:dyDescent="0.3">
      <c r="A3" s="7"/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</row>
    <row r="4" spans="1:6" x14ac:dyDescent="0.3">
      <c r="A4" s="3">
        <v>42006</v>
      </c>
      <c r="B4" s="9"/>
      <c r="C4" s="9"/>
      <c r="D4" s="9"/>
      <c r="E4" s="9"/>
      <c r="F4" s="9"/>
    </row>
    <row r="5" spans="1:6" x14ac:dyDescent="0.3">
      <c r="A5" s="3">
        <v>42009</v>
      </c>
      <c r="B5">
        <v>-1.84E-2</v>
      </c>
      <c r="C5">
        <v>2.5000000000000001E-3</v>
      </c>
      <c r="D5">
        <v>-6.8000000000000005E-3</v>
      </c>
      <c r="E5">
        <v>1.7000000000000001E-3</v>
      </c>
      <c r="F5">
        <v>-8.0000000000000004E-4</v>
      </c>
    </row>
    <row r="6" spans="1:6" x14ac:dyDescent="0.3">
      <c r="A6" s="3">
        <v>42010</v>
      </c>
      <c r="B6">
        <v>-1.04E-2</v>
      </c>
      <c r="C6">
        <v>-7.8000000000000005E-3</v>
      </c>
      <c r="D6">
        <v>-3.0999999999999999E-3</v>
      </c>
      <c r="E6">
        <v>5.4000000000000003E-3</v>
      </c>
      <c r="F6">
        <v>2.0000000000000001E-4</v>
      </c>
    </row>
    <row r="7" spans="1:6" x14ac:dyDescent="0.3">
      <c r="A7" s="3">
        <v>42011</v>
      </c>
      <c r="B7">
        <v>1.1899999999999999E-2</v>
      </c>
      <c r="C7">
        <v>1.7000000000000001E-3</v>
      </c>
      <c r="D7">
        <v>-6.5000000000000006E-3</v>
      </c>
      <c r="E7">
        <v>2.5000000000000001E-3</v>
      </c>
      <c r="F7">
        <v>-1.4000000000000002E-3</v>
      </c>
    </row>
    <row r="8" spans="1:6" x14ac:dyDescent="0.3">
      <c r="A8" s="3">
        <v>42012</v>
      </c>
      <c r="B8">
        <v>1.8100000000000002E-2</v>
      </c>
      <c r="C8">
        <v>-8.9999999999999998E-4</v>
      </c>
      <c r="D8">
        <v>-2.8000000000000004E-3</v>
      </c>
      <c r="E8">
        <v>1.1000000000000001E-3</v>
      </c>
      <c r="F8">
        <v>-1.6000000000000001E-3</v>
      </c>
    </row>
    <row r="9" spans="1:6" x14ac:dyDescent="0.3">
      <c r="A9" s="3">
        <v>42013</v>
      </c>
      <c r="B9">
        <v>-8.5000000000000006E-3</v>
      </c>
      <c r="C9">
        <v>-2.9999999999999997E-4</v>
      </c>
      <c r="D9">
        <v>-4.6999999999999993E-3</v>
      </c>
      <c r="E9">
        <v>-1.1999999999999999E-3</v>
      </c>
      <c r="F9">
        <v>-1.6000000000000001E-3</v>
      </c>
    </row>
    <row r="10" spans="1:6" x14ac:dyDescent="0.3">
      <c r="A10" s="3">
        <v>42016</v>
      </c>
      <c r="B10">
        <v>-7.9000000000000008E-3</v>
      </c>
      <c r="C10">
        <v>3.4999999999999996E-3</v>
      </c>
      <c r="D10">
        <v>-4.4000000000000003E-3</v>
      </c>
      <c r="E10">
        <v>1.6000000000000001E-3</v>
      </c>
      <c r="F10">
        <v>1.7000000000000001E-3</v>
      </c>
    </row>
    <row r="11" spans="1:6" x14ac:dyDescent="0.3">
      <c r="A11" s="3">
        <v>42017</v>
      </c>
      <c r="B11">
        <v>-1.9E-3</v>
      </c>
      <c r="C11">
        <v>2.5999999999999999E-3</v>
      </c>
      <c r="D11">
        <v>0</v>
      </c>
      <c r="E11">
        <v>4.4000000000000003E-3</v>
      </c>
      <c r="F11">
        <v>1E-4</v>
      </c>
    </row>
    <row r="12" spans="1:6" x14ac:dyDescent="0.3">
      <c r="A12" s="3">
        <v>42018</v>
      </c>
      <c r="B12">
        <v>-6.0000000000000001E-3</v>
      </c>
      <c r="C12">
        <v>2.7000000000000001E-3</v>
      </c>
      <c r="D12">
        <v>-5.1999999999999998E-3</v>
      </c>
      <c r="E12">
        <v>1.9E-3</v>
      </c>
      <c r="F12">
        <v>-1.4000000000000002E-3</v>
      </c>
    </row>
    <row r="13" spans="1:6" x14ac:dyDescent="0.3">
      <c r="A13" s="3">
        <v>42019</v>
      </c>
      <c r="B13">
        <v>-1.0800000000000001E-2</v>
      </c>
      <c r="C13">
        <v>-9.3999999999999986E-3</v>
      </c>
      <c r="D13">
        <v>5.8999999999999999E-3</v>
      </c>
      <c r="E13">
        <v>7.0999999999999995E-3</v>
      </c>
      <c r="F13">
        <v>6.0000000000000001E-3</v>
      </c>
    </row>
    <row r="14" spans="1:6" x14ac:dyDescent="0.3">
      <c r="A14" s="3">
        <v>42020</v>
      </c>
      <c r="B14">
        <v>1.3600000000000001E-2</v>
      </c>
      <c r="C14">
        <v>4.8999999999999998E-3</v>
      </c>
      <c r="D14">
        <v>-1.1999999999999999E-3</v>
      </c>
      <c r="E14">
        <v>-3.0999999999999999E-3</v>
      </c>
      <c r="F14">
        <v>-8.9999999999999998E-4</v>
      </c>
    </row>
    <row r="15" spans="1:6" x14ac:dyDescent="0.3">
      <c r="A15" s="3">
        <v>42024</v>
      </c>
      <c r="B15">
        <v>1.1000000000000001E-3</v>
      </c>
      <c r="C15">
        <v>-7.3000000000000001E-3</v>
      </c>
      <c r="D15">
        <v>-5.4000000000000003E-3</v>
      </c>
      <c r="E15">
        <v>2.9999999999999997E-4</v>
      </c>
      <c r="F15">
        <v>-4.5000000000000005E-3</v>
      </c>
    </row>
    <row r="16" spans="1:6" x14ac:dyDescent="0.3">
      <c r="A16" s="3">
        <v>42025</v>
      </c>
      <c r="B16">
        <v>4.1999999999999997E-3</v>
      </c>
      <c r="C16">
        <v>-9.1000000000000004E-3</v>
      </c>
      <c r="D16">
        <v>5.6999999999999993E-3</v>
      </c>
      <c r="E16">
        <v>1.8E-3</v>
      </c>
      <c r="F16">
        <v>-2.0000000000000001E-4</v>
      </c>
    </row>
    <row r="17" spans="1:6" x14ac:dyDescent="0.3">
      <c r="A17" s="3">
        <v>42026</v>
      </c>
      <c r="B17">
        <v>1.5800000000000002E-2</v>
      </c>
      <c r="C17">
        <v>4.5999999999999999E-3</v>
      </c>
      <c r="D17">
        <v>4.1999999999999997E-3</v>
      </c>
      <c r="E17">
        <v>2.0000000000000001E-4</v>
      </c>
      <c r="F17">
        <v>-1E-3</v>
      </c>
    </row>
    <row r="18" spans="1:6" x14ac:dyDescent="0.3">
      <c r="A18" s="3">
        <v>42027</v>
      </c>
      <c r="B18">
        <v>-4.6999999999999993E-3</v>
      </c>
      <c r="C18">
        <v>4.4000000000000003E-3</v>
      </c>
      <c r="D18">
        <v>-7.7000000000000002E-3</v>
      </c>
      <c r="E18">
        <v>-4.0000000000000002E-4</v>
      </c>
      <c r="F18">
        <v>-5.3E-3</v>
      </c>
    </row>
    <row r="19" spans="1:6" x14ac:dyDescent="0.3">
      <c r="A19" s="3">
        <v>42030</v>
      </c>
      <c r="B19">
        <v>4.3E-3</v>
      </c>
      <c r="C19">
        <v>5.7999999999999996E-3</v>
      </c>
      <c r="D19">
        <v>-4.0000000000000002E-4</v>
      </c>
      <c r="E19">
        <v>-4.3E-3</v>
      </c>
      <c r="F19">
        <v>-7.000000000000001E-4</v>
      </c>
    </row>
    <row r="20" spans="1:6" x14ac:dyDescent="0.3">
      <c r="A20" s="3">
        <v>42031</v>
      </c>
      <c r="B20">
        <v>-1.21E-2</v>
      </c>
      <c r="C20">
        <v>7.3000000000000001E-3</v>
      </c>
      <c r="D20">
        <v>2E-3</v>
      </c>
      <c r="E20">
        <v>-3.5999999999999999E-3</v>
      </c>
      <c r="F20">
        <v>4.8999999999999998E-3</v>
      </c>
    </row>
    <row r="21" spans="1:6" x14ac:dyDescent="0.3">
      <c r="A21" s="3">
        <v>42032</v>
      </c>
      <c r="B21">
        <v>-1.3899999999999999E-2</v>
      </c>
      <c r="C21">
        <v>-1.7000000000000001E-3</v>
      </c>
      <c r="D21">
        <v>-8.199999999999999E-3</v>
      </c>
      <c r="E21">
        <v>5.1999999999999998E-3</v>
      </c>
      <c r="F21">
        <v>-2.3E-3</v>
      </c>
    </row>
    <row r="22" spans="1:6" x14ac:dyDescent="0.3">
      <c r="A22" s="3">
        <v>42033</v>
      </c>
      <c r="B22">
        <v>9.7999999999999997E-3</v>
      </c>
      <c r="C22">
        <v>2.0999999999999999E-3</v>
      </c>
      <c r="D22">
        <v>4.0000000000000002E-4</v>
      </c>
      <c r="E22">
        <v>2.9999999999999997E-4</v>
      </c>
      <c r="F22">
        <v>-3.4000000000000002E-3</v>
      </c>
    </row>
    <row r="23" spans="1:6" x14ac:dyDescent="0.3">
      <c r="A23" s="3">
        <v>42034</v>
      </c>
      <c r="B23">
        <v>-1.3000000000000001E-2</v>
      </c>
      <c r="C23">
        <v>-8.3000000000000001E-3</v>
      </c>
      <c r="D23">
        <v>5.0000000000000001E-4</v>
      </c>
      <c r="E23">
        <v>-1.6000000000000001E-3</v>
      </c>
      <c r="F23">
        <v>-4.5000000000000005E-3</v>
      </c>
    </row>
    <row r="24" spans="1:6" x14ac:dyDescent="0.3">
      <c r="A24" s="3">
        <v>42037</v>
      </c>
      <c r="B24">
        <v>1.2500000000000001E-2</v>
      </c>
      <c r="C24">
        <v>-3.8E-3</v>
      </c>
      <c r="D24">
        <v>0.01</v>
      </c>
      <c r="E24">
        <v>4.0000000000000002E-4</v>
      </c>
      <c r="F24">
        <v>1.4000000000000002E-3</v>
      </c>
    </row>
    <row r="25" spans="1:6" x14ac:dyDescent="0.3">
      <c r="A25" s="3">
        <v>42038</v>
      </c>
      <c r="B25">
        <v>1.49E-2</v>
      </c>
      <c r="C25">
        <v>2.3999999999999998E-3</v>
      </c>
      <c r="D25">
        <v>4.7999999999999996E-3</v>
      </c>
      <c r="E25">
        <v>5.0000000000000001E-4</v>
      </c>
      <c r="F25">
        <v>3.9000000000000003E-3</v>
      </c>
    </row>
    <row r="26" spans="1:6" x14ac:dyDescent="0.3">
      <c r="A26" s="3">
        <v>42039</v>
      </c>
      <c r="B26">
        <v>-3.4999999999999996E-3</v>
      </c>
      <c r="C26">
        <v>-8.9999999999999998E-4</v>
      </c>
      <c r="D26">
        <v>-2.3E-3</v>
      </c>
      <c r="E26">
        <v>3.3E-3</v>
      </c>
      <c r="F26">
        <v>-7.000000000000001E-4</v>
      </c>
    </row>
    <row r="27" spans="1:6" x14ac:dyDescent="0.3">
      <c r="A27" s="3">
        <v>42040</v>
      </c>
      <c r="B27">
        <v>1.1000000000000001E-2</v>
      </c>
      <c r="C27">
        <v>4.3E-3</v>
      </c>
      <c r="D27">
        <v>-8.9999999999999998E-4</v>
      </c>
      <c r="E27">
        <v>-5.1000000000000004E-3</v>
      </c>
      <c r="F27">
        <v>-1.9E-3</v>
      </c>
    </row>
    <row r="28" spans="1:6" x14ac:dyDescent="0.3">
      <c r="A28" s="3">
        <v>42041</v>
      </c>
      <c r="B28">
        <v>-2E-3</v>
      </c>
      <c r="C28">
        <v>8.0000000000000004E-4</v>
      </c>
      <c r="D28">
        <v>3.5999999999999999E-3</v>
      </c>
      <c r="E28">
        <v>-1.9E-3</v>
      </c>
      <c r="F28">
        <v>-1.1000000000000001E-3</v>
      </c>
    </row>
    <row r="29" spans="1:6" x14ac:dyDescent="0.3">
      <c r="A29" s="3">
        <v>42044</v>
      </c>
      <c r="B29">
        <v>-4.5999999999999999E-3</v>
      </c>
      <c r="C29">
        <v>-3.5999999999999999E-3</v>
      </c>
      <c r="D29">
        <v>1.1999999999999999E-3</v>
      </c>
      <c r="E29">
        <v>-2.0000000000000001E-4</v>
      </c>
      <c r="F29">
        <v>-2.0000000000000001E-4</v>
      </c>
    </row>
    <row r="30" spans="1:6" x14ac:dyDescent="0.3">
      <c r="A30" s="3">
        <v>42045</v>
      </c>
      <c r="B30">
        <v>1.0500000000000001E-2</v>
      </c>
      <c r="C30">
        <v>-3.5999999999999999E-3</v>
      </c>
      <c r="D30">
        <v>-7.1999999999999998E-3</v>
      </c>
      <c r="E30">
        <v>1E-3</v>
      </c>
      <c r="F30">
        <v>-3.7000000000000002E-3</v>
      </c>
    </row>
    <row r="31" spans="1:6" x14ac:dyDescent="0.3">
      <c r="A31" s="3">
        <v>42046</v>
      </c>
      <c r="B31">
        <v>2.9999999999999997E-4</v>
      </c>
      <c r="C31">
        <v>-1.6000000000000001E-3</v>
      </c>
      <c r="D31">
        <v>-3.3E-3</v>
      </c>
      <c r="E31">
        <v>7.000000000000001E-4</v>
      </c>
      <c r="F31">
        <v>-7.000000000000001E-4</v>
      </c>
    </row>
    <row r="32" spans="1:6" x14ac:dyDescent="0.3">
      <c r="A32" s="3">
        <v>42047</v>
      </c>
      <c r="B32">
        <v>0.01</v>
      </c>
      <c r="C32">
        <v>1.7000000000000001E-3</v>
      </c>
      <c r="D32">
        <v>-5.9999999999999995E-4</v>
      </c>
      <c r="E32">
        <v>-1.5E-3</v>
      </c>
      <c r="F32">
        <v>-2.8000000000000004E-3</v>
      </c>
    </row>
    <row r="33" spans="1:6" x14ac:dyDescent="0.3">
      <c r="A33" s="3">
        <v>42048</v>
      </c>
      <c r="B33">
        <v>4.6999999999999993E-3</v>
      </c>
      <c r="C33">
        <v>1.4000000000000002E-3</v>
      </c>
      <c r="D33">
        <v>-3.0999999999999999E-3</v>
      </c>
      <c r="E33">
        <v>-3.0000000000000001E-3</v>
      </c>
      <c r="F33">
        <v>-2.3999999999999998E-3</v>
      </c>
    </row>
    <row r="34" spans="1:6" x14ac:dyDescent="0.3">
      <c r="A34" s="3">
        <v>42052</v>
      </c>
      <c r="B34">
        <v>1.7000000000000001E-3</v>
      </c>
      <c r="C34">
        <v>-2.0000000000000001E-4</v>
      </c>
      <c r="D34">
        <v>-7.000000000000001E-4</v>
      </c>
      <c r="E34">
        <v>-1.8E-3</v>
      </c>
      <c r="F34">
        <v>-1.5E-3</v>
      </c>
    </row>
    <row r="35" spans="1:6" x14ac:dyDescent="0.3">
      <c r="A35" s="3">
        <v>42053</v>
      </c>
      <c r="B35">
        <v>2.9999999999999997E-4</v>
      </c>
      <c r="C35">
        <v>2.5000000000000001E-3</v>
      </c>
      <c r="D35">
        <v>-8.0000000000000002E-3</v>
      </c>
      <c r="E35">
        <v>2.8999999999999998E-3</v>
      </c>
      <c r="F35">
        <v>-1.8E-3</v>
      </c>
    </row>
    <row r="36" spans="1:6" x14ac:dyDescent="0.3">
      <c r="A36" s="3">
        <v>42054</v>
      </c>
      <c r="B36">
        <v>-1E-4</v>
      </c>
      <c r="C36">
        <v>2.0999999999999999E-3</v>
      </c>
      <c r="D36">
        <v>-3.8E-3</v>
      </c>
      <c r="E36">
        <v>-5.0000000000000001E-4</v>
      </c>
      <c r="F36">
        <v>-3.7000000000000002E-3</v>
      </c>
    </row>
    <row r="37" spans="1:6" x14ac:dyDescent="0.3">
      <c r="A37" s="3">
        <v>42055</v>
      </c>
      <c r="B37">
        <v>6.0999999999999995E-3</v>
      </c>
      <c r="C37">
        <v>-4.4000000000000003E-3</v>
      </c>
      <c r="D37">
        <v>-2.7000000000000001E-3</v>
      </c>
      <c r="E37">
        <v>-8.0000000000000004E-4</v>
      </c>
      <c r="F37">
        <v>-1E-3</v>
      </c>
    </row>
    <row r="38" spans="1:6" x14ac:dyDescent="0.3">
      <c r="A38" s="3">
        <v>42058</v>
      </c>
      <c r="B38">
        <v>-8.0000000000000004E-4</v>
      </c>
      <c r="C38">
        <v>4.0000000000000002E-4</v>
      </c>
      <c r="D38">
        <v>-3.7000000000000002E-3</v>
      </c>
      <c r="E38">
        <v>3.8E-3</v>
      </c>
      <c r="F38">
        <v>-2.2000000000000001E-3</v>
      </c>
    </row>
    <row r="39" spans="1:6" x14ac:dyDescent="0.3">
      <c r="A39" s="3">
        <v>42059</v>
      </c>
      <c r="B39">
        <v>3.2000000000000002E-3</v>
      </c>
      <c r="C39">
        <v>-1E-4</v>
      </c>
      <c r="D39">
        <v>7.1999999999999998E-3</v>
      </c>
      <c r="E39">
        <v>-2.3999999999999998E-3</v>
      </c>
      <c r="F39">
        <v>3.4999999999999996E-3</v>
      </c>
    </row>
    <row r="40" spans="1:6" x14ac:dyDescent="0.3">
      <c r="A40" s="3">
        <v>42060</v>
      </c>
      <c r="B40">
        <v>2.0000000000000001E-4</v>
      </c>
      <c r="C40">
        <v>1.9E-3</v>
      </c>
      <c r="D40">
        <v>-5.0000000000000001E-3</v>
      </c>
      <c r="E40">
        <v>-5.6000000000000008E-3</v>
      </c>
      <c r="F40">
        <v>-2E-3</v>
      </c>
    </row>
    <row r="41" spans="1:6" x14ac:dyDescent="0.3">
      <c r="A41" s="3">
        <v>42061</v>
      </c>
      <c r="B41">
        <v>-8.0000000000000004E-4</v>
      </c>
      <c r="C41">
        <v>5.4000000000000003E-3</v>
      </c>
      <c r="D41">
        <v>-4.8999999999999998E-3</v>
      </c>
      <c r="E41">
        <v>-1.4000000000000002E-3</v>
      </c>
      <c r="F41">
        <v>-3.2000000000000002E-3</v>
      </c>
    </row>
    <row r="42" spans="1:6" x14ac:dyDescent="0.3">
      <c r="A42" s="3">
        <v>42062</v>
      </c>
      <c r="B42">
        <v>-3.5999999999999999E-3</v>
      </c>
      <c r="C42">
        <v>-2.2000000000000001E-3</v>
      </c>
      <c r="D42">
        <v>2E-3</v>
      </c>
      <c r="E42">
        <v>5.9999999999999995E-4</v>
      </c>
      <c r="F42">
        <v>2.8000000000000004E-3</v>
      </c>
    </row>
    <row r="43" spans="1:6" x14ac:dyDescent="0.3">
      <c r="A43" s="3">
        <v>42065</v>
      </c>
      <c r="B43">
        <v>6.1999999999999998E-3</v>
      </c>
      <c r="C43">
        <v>1.9E-3</v>
      </c>
      <c r="D43">
        <v>-4.5000000000000005E-3</v>
      </c>
      <c r="E43">
        <v>5.9999999999999995E-4</v>
      </c>
      <c r="F43">
        <v>5.0000000000000001E-4</v>
      </c>
    </row>
    <row r="44" spans="1:6" x14ac:dyDescent="0.3">
      <c r="A44" s="3">
        <v>42066</v>
      </c>
      <c r="B44">
        <v>-4.3E-3</v>
      </c>
      <c r="C44">
        <v>-2.8999999999999998E-3</v>
      </c>
      <c r="D44">
        <v>3.0000000000000001E-3</v>
      </c>
      <c r="E44">
        <v>-7.000000000000001E-4</v>
      </c>
      <c r="F44">
        <v>2.9999999999999997E-4</v>
      </c>
    </row>
    <row r="45" spans="1:6" x14ac:dyDescent="0.3">
      <c r="A45" s="3">
        <v>42067</v>
      </c>
      <c r="B45">
        <v>-4.0999999999999995E-3</v>
      </c>
      <c r="C45">
        <v>1.1999999999999999E-3</v>
      </c>
      <c r="D45">
        <v>-3.8E-3</v>
      </c>
      <c r="E45">
        <v>-4.0000000000000002E-4</v>
      </c>
      <c r="F45">
        <v>-2.5999999999999999E-3</v>
      </c>
    </row>
    <row r="46" spans="1:6" x14ac:dyDescent="0.3">
      <c r="A46" s="3">
        <v>42068</v>
      </c>
      <c r="B46">
        <v>1.5E-3</v>
      </c>
      <c r="C46">
        <v>2.2000000000000001E-3</v>
      </c>
      <c r="D46">
        <v>-4.1999999999999997E-3</v>
      </c>
      <c r="E46">
        <v>-5.1000000000000004E-3</v>
      </c>
      <c r="F46">
        <v>-1.1999999999999999E-3</v>
      </c>
    </row>
    <row r="47" spans="1:6" x14ac:dyDescent="0.3">
      <c r="A47" s="3">
        <v>42069</v>
      </c>
      <c r="B47">
        <v>-1.29E-2</v>
      </c>
      <c r="C47">
        <v>3.0000000000000001E-3</v>
      </c>
      <c r="D47">
        <v>4.3E-3</v>
      </c>
      <c r="E47">
        <v>-1.1000000000000001E-3</v>
      </c>
      <c r="F47">
        <v>1E-4</v>
      </c>
    </row>
    <row r="48" spans="1:6" x14ac:dyDescent="0.3">
      <c r="A48" s="3">
        <v>42072</v>
      </c>
      <c r="B48">
        <v>3.7000000000000002E-3</v>
      </c>
      <c r="C48">
        <v>1.1000000000000001E-3</v>
      </c>
      <c r="D48">
        <v>-2.9999999999999997E-4</v>
      </c>
      <c r="E48">
        <v>3.0999999999999999E-3</v>
      </c>
      <c r="F48">
        <v>-5.9999999999999995E-4</v>
      </c>
    </row>
    <row r="49" spans="1:6" x14ac:dyDescent="0.3">
      <c r="A49" s="3">
        <v>42073</v>
      </c>
      <c r="B49">
        <v>-1.6299999999999999E-2</v>
      </c>
      <c r="C49">
        <v>4.3E-3</v>
      </c>
      <c r="D49">
        <v>-5.1999999999999998E-3</v>
      </c>
      <c r="E49">
        <v>1.1999999999999999E-3</v>
      </c>
      <c r="F49">
        <v>-1.5E-3</v>
      </c>
    </row>
    <row r="50" spans="1:6" x14ac:dyDescent="0.3">
      <c r="A50" s="3">
        <v>42074</v>
      </c>
      <c r="B50">
        <v>-4.0000000000000002E-4</v>
      </c>
      <c r="C50">
        <v>6.0999999999999995E-3</v>
      </c>
      <c r="D50">
        <v>5.0000000000000001E-3</v>
      </c>
      <c r="E50">
        <v>-4.6999999999999993E-3</v>
      </c>
      <c r="F50">
        <v>-5.0000000000000001E-4</v>
      </c>
    </row>
    <row r="51" spans="1:6" x14ac:dyDescent="0.3">
      <c r="A51" s="3">
        <v>42075</v>
      </c>
      <c r="B51">
        <v>1.2800000000000001E-2</v>
      </c>
      <c r="C51">
        <v>3.9000000000000003E-3</v>
      </c>
      <c r="D51">
        <v>5.0000000000000001E-3</v>
      </c>
      <c r="E51">
        <v>-5.9999999999999995E-4</v>
      </c>
      <c r="F51">
        <v>2.3E-3</v>
      </c>
    </row>
    <row r="52" spans="1:6" x14ac:dyDescent="0.3">
      <c r="A52" s="3">
        <v>42076</v>
      </c>
      <c r="B52">
        <v>-5.6999999999999993E-3</v>
      </c>
      <c r="C52">
        <v>2E-3</v>
      </c>
      <c r="D52">
        <v>-2.9999999999999997E-4</v>
      </c>
      <c r="E52">
        <v>-1E-3</v>
      </c>
      <c r="F52">
        <v>-1E-3</v>
      </c>
    </row>
    <row r="53" spans="1:6" x14ac:dyDescent="0.3">
      <c r="A53" s="3">
        <v>42079</v>
      </c>
      <c r="B53">
        <v>1.23E-2</v>
      </c>
      <c r="C53">
        <v>-7.8000000000000005E-3</v>
      </c>
      <c r="D53">
        <v>-3.9000000000000003E-3</v>
      </c>
      <c r="E53">
        <v>-1.1999999999999999E-3</v>
      </c>
      <c r="F53">
        <v>-1.1999999999999999E-3</v>
      </c>
    </row>
    <row r="54" spans="1:6" x14ac:dyDescent="0.3">
      <c r="A54" s="3">
        <v>42080</v>
      </c>
      <c r="B54">
        <v>-2E-3</v>
      </c>
      <c r="C54">
        <v>5.1999999999999998E-3</v>
      </c>
      <c r="D54">
        <v>-2.0000000000000001E-4</v>
      </c>
      <c r="E54">
        <v>-2.0000000000000001E-4</v>
      </c>
      <c r="F54">
        <v>-2.5000000000000001E-3</v>
      </c>
    </row>
    <row r="55" spans="1:6" x14ac:dyDescent="0.3">
      <c r="A55" s="3">
        <v>42081</v>
      </c>
      <c r="B55">
        <v>1.0800000000000001E-2</v>
      </c>
      <c r="C55">
        <v>-4.8999999999999998E-3</v>
      </c>
      <c r="D55">
        <v>2.0000000000000001E-4</v>
      </c>
      <c r="E55">
        <v>1.6000000000000001E-3</v>
      </c>
      <c r="F55">
        <v>-2.0000000000000001E-4</v>
      </c>
    </row>
    <row r="56" spans="1:6" x14ac:dyDescent="0.3">
      <c r="A56" s="3">
        <v>42082</v>
      </c>
      <c r="B56">
        <v>-3.5999999999999999E-3</v>
      </c>
      <c r="C56">
        <v>7.9000000000000008E-3</v>
      </c>
      <c r="D56">
        <v>-1.1200000000000002E-2</v>
      </c>
      <c r="E56">
        <v>8.9999999999999998E-4</v>
      </c>
      <c r="F56">
        <v>-3.7000000000000002E-3</v>
      </c>
    </row>
    <row r="57" spans="1:6" x14ac:dyDescent="0.3">
      <c r="A57" s="3">
        <v>42083</v>
      </c>
      <c r="B57">
        <v>8.1000000000000013E-3</v>
      </c>
      <c r="C57">
        <v>-1.1000000000000001E-3</v>
      </c>
      <c r="D57">
        <v>5.6000000000000008E-3</v>
      </c>
      <c r="E57">
        <v>4.4000000000000003E-3</v>
      </c>
      <c r="F57">
        <v>2.2000000000000001E-3</v>
      </c>
    </row>
    <row r="58" spans="1:6" x14ac:dyDescent="0.3">
      <c r="A58" s="3">
        <v>42086</v>
      </c>
      <c r="B58">
        <v>-1.9E-3</v>
      </c>
      <c r="C58">
        <v>2E-3</v>
      </c>
      <c r="D58">
        <v>2.3E-3</v>
      </c>
      <c r="E58">
        <v>1.7000000000000001E-3</v>
      </c>
      <c r="F58">
        <v>2.7000000000000001E-3</v>
      </c>
    </row>
    <row r="59" spans="1:6" x14ac:dyDescent="0.3">
      <c r="A59" s="3">
        <v>42087</v>
      </c>
      <c r="B59">
        <v>-5.1000000000000004E-3</v>
      </c>
      <c r="C59">
        <v>5.3E-3</v>
      </c>
      <c r="D59">
        <v>-2.5000000000000001E-3</v>
      </c>
      <c r="E59">
        <v>1E-3</v>
      </c>
      <c r="F59">
        <v>-2.2000000000000001E-3</v>
      </c>
    </row>
    <row r="60" spans="1:6" x14ac:dyDescent="0.3">
      <c r="A60" s="3">
        <v>42088</v>
      </c>
      <c r="B60">
        <v>-1.5600000000000001E-2</v>
      </c>
      <c r="C60">
        <v>-9.0000000000000011E-3</v>
      </c>
      <c r="D60">
        <v>1.03E-2</v>
      </c>
      <c r="E60">
        <v>3.4999999999999996E-3</v>
      </c>
      <c r="F60">
        <v>4.5000000000000005E-3</v>
      </c>
    </row>
    <row r="61" spans="1:6" x14ac:dyDescent="0.3">
      <c r="A61" s="3">
        <v>42089</v>
      </c>
      <c r="B61">
        <v>-2.2000000000000001E-3</v>
      </c>
      <c r="C61">
        <v>8.9999999999999998E-4</v>
      </c>
      <c r="D61">
        <v>-4.0000000000000002E-4</v>
      </c>
      <c r="E61">
        <v>2.9999999999999997E-4</v>
      </c>
      <c r="F61">
        <v>-2E-3</v>
      </c>
    </row>
    <row r="62" spans="1:6" x14ac:dyDescent="0.3">
      <c r="A62" s="3">
        <v>42090</v>
      </c>
      <c r="B62">
        <v>3.2000000000000002E-3</v>
      </c>
      <c r="C62">
        <v>4.3E-3</v>
      </c>
      <c r="D62">
        <v>-7.0999999999999995E-3</v>
      </c>
      <c r="E62">
        <v>-1.4000000000000002E-3</v>
      </c>
      <c r="F62">
        <v>-1.1999999999999999E-3</v>
      </c>
    </row>
    <row r="63" spans="1:6" x14ac:dyDescent="0.3">
      <c r="A63" s="3">
        <v>42093</v>
      </c>
      <c r="B63">
        <v>1.24E-2</v>
      </c>
      <c r="C63">
        <v>5.9999999999999995E-4</v>
      </c>
      <c r="D63">
        <v>0</v>
      </c>
      <c r="E63">
        <v>-2.8000000000000004E-3</v>
      </c>
      <c r="F63">
        <v>1E-4</v>
      </c>
    </row>
    <row r="64" spans="1:6" x14ac:dyDescent="0.3">
      <c r="A64" s="3">
        <v>42094</v>
      </c>
      <c r="B64">
        <v>-7.4999999999999997E-3</v>
      </c>
      <c r="C64">
        <v>4.4000000000000003E-3</v>
      </c>
      <c r="D64">
        <v>3.7000000000000002E-3</v>
      </c>
      <c r="E64">
        <v>1.9E-3</v>
      </c>
      <c r="F64">
        <v>1.9E-3</v>
      </c>
    </row>
    <row r="65" spans="1:6" x14ac:dyDescent="0.3">
      <c r="A65" s="3">
        <v>42095</v>
      </c>
      <c r="B65">
        <v>-3.8E-3</v>
      </c>
      <c r="C65">
        <v>3.4000000000000002E-3</v>
      </c>
      <c r="D65">
        <v>4.4000000000000003E-3</v>
      </c>
      <c r="E65">
        <v>-1.7000000000000001E-3</v>
      </c>
      <c r="F65">
        <v>2.3999999999999998E-3</v>
      </c>
    </row>
    <row r="66" spans="1:6" x14ac:dyDescent="0.3">
      <c r="A66" s="3">
        <v>42096</v>
      </c>
      <c r="B66">
        <v>3.4999999999999996E-3</v>
      </c>
      <c r="C66">
        <v>-1E-3</v>
      </c>
      <c r="D66">
        <v>2.8000000000000004E-3</v>
      </c>
      <c r="E66">
        <v>-1.1000000000000001E-3</v>
      </c>
      <c r="F66">
        <v>2.3E-3</v>
      </c>
    </row>
    <row r="67" spans="1:6" x14ac:dyDescent="0.3">
      <c r="A67" s="3">
        <v>42100</v>
      </c>
      <c r="B67">
        <v>6.0999999999999995E-3</v>
      </c>
      <c r="C67">
        <v>-2.8999999999999998E-3</v>
      </c>
      <c r="D67">
        <v>-1.1000000000000001E-3</v>
      </c>
      <c r="E67">
        <v>2.2000000000000001E-3</v>
      </c>
      <c r="F67">
        <v>-2.2000000000000001E-3</v>
      </c>
    </row>
    <row r="68" spans="1:6" x14ac:dyDescent="0.3">
      <c r="A68" s="3">
        <v>42101</v>
      </c>
      <c r="B68">
        <v>-2.2000000000000001E-3</v>
      </c>
      <c r="C68">
        <v>-2E-3</v>
      </c>
      <c r="D68">
        <v>-1.8E-3</v>
      </c>
      <c r="E68">
        <v>-1.9E-3</v>
      </c>
      <c r="F68">
        <v>-2.3E-3</v>
      </c>
    </row>
    <row r="69" spans="1:6" x14ac:dyDescent="0.3">
      <c r="A69" s="3">
        <v>42102</v>
      </c>
      <c r="B69">
        <v>3.7000000000000002E-3</v>
      </c>
      <c r="C69">
        <v>4.5999999999999999E-3</v>
      </c>
      <c r="D69">
        <v>-7.3000000000000001E-3</v>
      </c>
      <c r="E69">
        <v>-4.0000000000000002E-4</v>
      </c>
      <c r="F69">
        <v>-2.7000000000000001E-3</v>
      </c>
    </row>
    <row r="70" spans="1:6" x14ac:dyDescent="0.3">
      <c r="A70" s="3">
        <v>42103</v>
      </c>
      <c r="B70">
        <v>4.0999999999999995E-3</v>
      </c>
      <c r="C70">
        <v>-7.3000000000000001E-3</v>
      </c>
      <c r="D70">
        <v>-5.9999999999999995E-4</v>
      </c>
      <c r="E70">
        <v>-2.5999999999999999E-3</v>
      </c>
      <c r="F70">
        <v>1.4000000000000002E-3</v>
      </c>
    </row>
    <row r="71" spans="1:6" x14ac:dyDescent="0.3">
      <c r="A71" s="3">
        <v>42104</v>
      </c>
      <c r="B71">
        <v>4.8999999999999998E-3</v>
      </c>
      <c r="C71">
        <v>-1.5E-3</v>
      </c>
      <c r="D71">
        <v>-2.8999999999999998E-3</v>
      </c>
      <c r="E71">
        <v>-4.5999999999999999E-3</v>
      </c>
      <c r="F71">
        <v>2.0999999999999999E-3</v>
      </c>
    </row>
    <row r="72" spans="1:6" x14ac:dyDescent="0.3">
      <c r="A72" s="3">
        <v>42107</v>
      </c>
      <c r="B72">
        <v>-3.8E-3</v>
      </c>
      <c r="C72">
        <v>5.5000000000000005E-3</v>
      </c>
      <c r="D72">
        <v>2.3999999999999998E-3</v>
      </c>
      <c r="E72">
        <v>-1.5E-3</v>
      </c>
      <c r="F72">
        <v>-8.9999999999999998E-4</v>
      </c>
    </row>
    <row r="73" spans="1:6" x14ac:dyDescent="0.3">
      <c r="A73" s="3">
        <v>42108</v>
      </c>
      <c r="B73">
        <v>1.1000000000000001E-3</v>
      </c>
      <c r="C73">
        <v>-1.5E-3</v>
      </c>
      <c r="D73">
        <v>2.3E-3</v>
      </c>
      <c r="E73">
        <v>7.000000000000001E-4</v>
      </c>
      <c r="F73">
        <v>1E-3</v>
      </c>
    </row>
    <row r="74" spans="1:6" x14ac:dyDescent="0.3">
      <c r="A74" s="3">
        <v>42109</v>
      </c>
      <c r="B74">
        <v>5.6999999999999993E-3</v>
      </c>
      <c r="C74">
        <v>2.8000000000000004E-3</v>
      </c>
      <c r="D74">
        <v>3.5999999999999999E-3</v>
      </c>
      <c r="E74">
        <v>-2.2000000000000001E-3</v>
      </c>
      <c r="F74">
        <v>-1E-3</v>
      </c>
    </row>
    <row r="75" spans="1:6" x14ac:dyDescent="0.3">
      <c r="A75" s="3">
        <v>42110</v>
      </c>
      <c r="B75">
        <v>-8.0000000000000004E-4</v>
      </c>
      <c r="C75">
        <v>-1E-3</v>
      </c>
      <c r="D75">
        <v>-2.0999999999999999E-3</v>
      </c>
      <c r="E75">
        <v>-2.0999999999999999E-3</v>
      </c>
      <c r="F75">
        <v>-2E-3</v>
      </c>
    </row>
    <row r="76" spans="1:6" x14ac:dyDescent="0.3">
      <c r="A76" s="3">
        <v>42111</v>
      </c>
      <c r="B76">
        <v>-1.23E-2</v>
      </c>
      <c r="C76">
        <v>-4.1999999999999997E-3</v>
      </c>
      <c r="D76">
        <v>1.6000000000000001E-3</v>
      </c>
      <c r="E76">
        <v>1.7000000000000001E-3</v>
      </c>
      <c r="F76">
        <v>8.0000000000000004E-4</v>
      </c>
    </row>
    <row r="77" spans="1:6" x14ac:dyDescent="0.3">
      <c r="A77" s="3">
        <v>42114</v>
      </c>
      <c r="B77">
        <v>9.4999999999999998E-3</v>
      </c>
      <c r="C77">
        <v>1.5E-3</v>
      </c>
      <c r="D77">
        <v>-2.7000000000000001E-3</v>
      </c>
      <c r="E77">
        <v>4.5999999999999999E-3</v>
      </c>
      <c r="F77">
        <v>-3.0000000000000001E-3</v>
      </c>
    </row>
    <row r="78" spans="1:6" x14ac:dyDescent="0.3">
      <c r="A78" s="3">
        <v>42115</v>
      </c>
      <c r="B78">
        <v>-1E-3</v>
      </c>
      <c r="C78">
        <v>1.1000000000000001E-3</v>
      </c>
      <c r="D78">
        <v>-7.3000000000000001E-3</v>
      </c>
      <c r="E78">
        <v>1.1000000000000001E-3</v>
      </c>
      <c r="F78">
        <v>-2.5000000000000001E-3</v>
      </c>
    </row>
    <row r="79" spans="1:6" x14ac:dyDescent="0.3">
      <c r="A79" s="3">
        <v>42116</v>
      </c>
      <c r="B79">
        <v>4.5999999999999999E-3</v>
      </c>
      <c r="C79">
        <v>-3.9000000000000003E-3</v>
      </c>
      <c r="D79">
        <v>1.8E-3</v>
      </c>
      <c r="E79">
        <v>-5.9999999999999995E-4</v>
      </c>
      <c r="F79">
        <v>1E-4</v>
      </c>
    </row>
    <row r="80" spans="1:6" x14ac:dyDescent="0.3">
      <c r="A80" s="3">
        <v>42117</v>
      </c>
      <c r="B80">
        <v>2.8999999999999998E-3</v>
      </c>
      <c r="C80">
        <v>3.0000000000000001E-3</v>
      </c>
      <c r="D80">
        <v>-2.5000000000000001E-3</v>
      </c>
      <c r="E80">
        <v>-1E-4</v>
      </c>
      <c r="F80">
        <v>-2.5000000000000001E-3</v>
      </c>
    </row>
    <row r="81" spans="1:6" x14ac:dyDescent="0.3">
      <c r="A81" s="3">
        <v>42118</v>
      </c>
      <c r="B81">
        <v>1.7000000000000001E-3</v>
      </c>
      <c r="C81">
        <v>-5.1999999999999998E-3</v>
      </c>
      <c r="D81">
        <v>-3.0999999999999999E-3</v>
      </c>
      <c r="E81">
        <v>8.3000000000000001E-3</v>
      </c>
      <c r="F81">
        <v>-5.1999999999999998E-3</v>
      </c>
    </row>
    <row r="82" spans="1:6" x14ac:dyDescent="0.3">
      <c r="A82" s="3">
        <v>42121</v>
      </c>
      <c r="B82">
        <v>-5.4000000000000003E-3</v>
      </c>
      <c r="C82">
        <v>-6.7000000000000002E-3</v>
      </c>
      <c r="D82">
        <v>5.6000000000000008E-3</v>
      </c>
      <c r="E82">
        <v>5.1999999999999998E-3</v>
      </c>
      <c r="F82">
        <v>-8.0000000000000004E-4</v>
      </c>
    </row>
    <row r="83" spans="1:6" x14ac:dyDescent="0.3">
      <c r="A83" s="3">
        <v>42122</v>
      </c>
      <c r="B83">
        <v>2.7000000000000001E-3</v>
      </c>
      <c r="C83">
        <v>2.3999999999999998E-3</v>
      </c>
      <c r="D83">
        <v>1.0500000000000001E-2</v>
      </c>
      <c r="E83">
        <v>7.000000000000001E-4</v>
      </c>
      <c r="F83">
        <v>3.9000000000000003E-3</v>
      </c>
    </row>
    <row r="84" spans="1:6" x14ac:dyDescent="0.3">
      <c r="A84" s="3">
        <v>42123</v>
      </c>
      <c r="B84">
        <v>-3.8E-3</v>
      </c>
      <c r="C84">
        <v>-7.3000000000000001E-3</v>
      </c>
      <c r="D84">
        <v>7.3000000000000001E-3</v>
      </c>
      <c r="E84">
        <v>-7.7000000000000002E-3</v>
      </c>
      <c r="F84">
        <v>-2.9999999999999997E-4</v>
      </c>
    </row>
    <row r="85" spans="1:6" x14ac:dyDescent="0.3">
      <c r="A85" s="3">
        <v>42124</v>
      </c>
      <c r="B85">
        <v>-1.11E-2</v>
      </c>
      <c r="C85">
        <v>-1.0200000000000001E-2</v>
      </c>
      <c r="D85">
        <v>7.3000000000000001E-3</v>
      </c>
      <c r="E85">
        <v>2.5000000000000001E-3</v>
      </c>
      <c r="F85">
        <v>4.1999999999999997E-3</v>
      </c>
    </row>
    <row r="86" spans="1:6" x14ac:dyDescent="0.3">
      <c r="A86" s="3">
        <v>42125</v>
      </c>
      <c r="B86">
        <v>1.01E-2</v>
      </c>
      <c r="C86">
        <v>-3.0000000000000001E-3</v>
      </c>
      <c r="D86">
        <v>-6.0000000000000001E-3</v>
      </c>
      <c r="E86">
        <v>2.5000000000000001E-3</v>
      </c>
      <c r="F86">
        <v>-1E-3</v>
      </c>
    </row>
    <row r="87" spans="1:6" x14ac:dyDescent="0.3">
      <c r="A87" s="3">
        <v>42128</v>
      </c>
      <c r="B87">
        <v>3.2000000000000002E-3</v>
      </c>
      <c r="C87">
        <v>8.9999999999999998E-4</v>
      </c>
      <c r="D87">
        <v>2.3E-3</v>
      </c>
      <c r="E87">
        <v>-1.5E-3</v>
      </c>
      <c r="F87">
        <v>2.0000000000000001E-4</v>
      </c>
    </row>
    <row r="88" spans="1:6" x14ac:dyDescent="0.3">
      <c r="A88" s="3">
        <v>42129</v>
      </c>
      <c r="B88">
        <v>-1.1899999999999999E-2</v>
      </c>
      <c r="C88">
        <v>-1.5E-3</v>
      </c>
      <c r="D88">
        <v>5.1999999999999998E-3</v>
      </c>
      <c r="E88">
        <v>-1E-4</v>
      </c>
      <c r="F88">
        <v>2.2000000000000001E-3</v>
      </c>
    </row>
    <row r="89" spans="1:6" x14ac:dyDescent="0.3">
      <c r="A89" s="3">
        <v>42130</v>
      </c>
      <c r="B89">
        <v>-3.0999999999999999E-3</v>
      </c>
      <c r="C89">
        <v>6.0000000000000001E-3</v>
      </c>
      <c r="D89">
        <v>-1.1999999999999999E-3</v>
      </c>
      <c r="E89">
        <v>-2.5999999999999999E-3</v>
      </c>
      <c r="F89">
        <v>1.5E-3</v>
      </c>
    </row>
    <row r="90" spans="1:6" x14ac:dyDescent="0.3">
      <c r="A90" s="3">
        <v>42131</v>
      </c>
      <c r="B90">
        <v>3.9000000000000003E-3</v>
      </c>
      <c r="C90">
        <v>2.0000000000000001E-4</v>
      </c>
      <c r="D90">
        <v>-3.8E-3</v>
      </c>
      <c r="E90">
        <v>-2.2000000000000001E-3</v>
      </c>
      <c r="F90">
        <v>5.9999999999999995E-4</v>
      </c>
    </row>
    <row r="91" spans="1:6" x14ac:dyDescent="0.3">
      <c r="A91" s="3">
        <v>42132</v>
      </c>
      <c r="B91">
        <v>1.21E-2</v>
      </c>
      <c r="C91">
        <v>-5.6999999999999993E-3</v>
      </c>
      <c r="D91">
        <v>-8.9999999999999998E-4</v>
      </c>
      <c r="E91">
        <v>-3.0000000000000001E-3</v>
      </c>
      <c r="F91">
        <v>-2.0999999999999999E-3</v>
      </c>
    </row>
    <row r="92" spans="1:6" x14ac:dyDescent="0.3">
      <c r="A92" s="3">
        <v>42135</v>
      </c>
      <c r="B92">
        <v>-3.9000000000000003E-3</v>
      </c>
      <c r="C92">
        <v>6.7000000000000002E-3</v>
      </c>
      <c r="D92">
        <v>-2.0000000000000001E-4</v>
      </c>
      <c r="E92">
        <v>-4.0000000000000002E-4</v>
      </c>
      <c r="F92">
        <v>2.9999999999999997E-4</v>
      </c>
    </row>
    <row r="93" spans="1:6" x14ac:dyDescent="0.3">
      <c r="A93" s="3">
        <v>42136</v>
      </c>
      <c r="B93">
        <v>-2.7000000000000001E-3</v>
      </c>
      <c r="C93">
        <v>0</v>
      </c>
      <c r="D93">
        <v>1.1999999999999999E-3</v>
      </c>
      <c r="E93">
        <v>-1.5E-3</v>
      </c>
      <c r="F93">
        <v>0</v>
      </c>
    </row>
    <row r="94" spans="1:6" x14ac:dyDescent="0.3">
      <c r="A94" s="3">
        <v>42137</v>
      </c>
      <c r="B94">
        <v>1E-4</v>
      </c>
      <c r="C94">
        <v>-1E-4</v>
      </c>
      <c r="D94">
        <v>4.0000000000000002E-4</v>
      </c>
      <c r="E94">
        <v>-1.1000000000000001E-3</v>
      </c>
      <c r="F94">
        <v>2.0000000000000001E-4</v>
      </c>
    </row>
    <row r="95" spans="1:6" x14ac:dyDescent="0.3">
      <c r="A95" s="3">
        <v>42138</v>
      </c>
      <c r="B95">
        <v>1.01E-2</v>
      </c>
      <c r="C95">
        <v>-1.5E-3</v>
      </c>
      <c r="D95">
        <v>-3.4999999999999996E-3</v>
      </c>
      <c r="E95">
        <v>1.2999999999999999E-3</v>
      </c>
      <c r="F95">
        <v>-4.0000000000000001E-3</v>
      </c>
    </row>
    <row r="96" spans="1:6" x14ac:dyDescent="0.3">
      <c r="A96" s="3">
        <v>42139</v>
      </c>
      <c r="B96">
        <v>5.0000000000000001E-4</v>
      </c>
      <c r="C96">
        <v>-2.2000000000000001E-3</v>
      </c>
      <c r="D96">
        <v>-2.0999999999999999E-3</v>
      </c>
      <c r="E96">
        <v>2.3999999999999998E-3</v>
      </c>
      <c r="F96">
        <v>2.5999999999999999E-3</v>
      </c>
    </row>
    <row r="97" spans="1:6" x14ac:dyDescent="0.3">
      <c r="A97" s="3">
        <v>42142</v>
      </c>
      <c r="B97">
        <v>4.4000000000000003E-3</v>
      </c>
      <c r="C97">
        <v>7.3000000000000001E-3</v>
      </c>
      <c r="D97">
        <v>-8.9999999999999998E-4</v>
      </c>
      <c r="E97">
        <v>-1.9E-3</v>
      </c>
      <c r="F97">
        <v>-2.8000000000000004E-3</v>
      </c>
    </row>
    <row r="98" spans="1:6" x14ac:dyDescent="0.3">
      <c r="A98" s="3">
        <v>42143</v>
      </c>
      <c r="B98">
        <v>-8.9999999999999998E-4</v>
      </c>
      <c r="C98">
        <v>-8.0000000000000004E-4</v>
      </c>
      <c r="D98">
        <v>2.3999999999999998E-3</v>
      </c>
      <c r="E98">
        <v>-8.9999999999999998E-4</v>
      </c>
      <c r="F98">
        <v>-4.0000000000000002E-4</v>
      </c>
    </row>
    <row r="99" spans="1:6" x14ac:dyDescent="0.3">
      <c r="A99" s="3">
        <v>42144</v>
      </c>
      <c r="B99">
        <v>-5.0000000000000001E-4</v>
      </c>
      <c r="C99">
        <v>1.9E-3</v>
      </c>
      <c r="D99">
        <v>-1.1000000000000001E-3</v>
      </c>
      <c r="E99">
        <v>-1.5E-3</v>
      </c>
      <c r="F99">
        <v>4.0000000000000002E-4</v>
      </c>
    </row>
    <row r="100" spans="1:6" x14ac:dyDescent="0.3">
      <c r="A100" s="3">
        <v>42145</v>
      </c>
      <c r="B100">
        <v>2.3E-3</v>
      </c>
      <c r="C100">
        <v>-2.8999999999999998E-3</v>
      </c>
      <c r="D100">
        <v>1E-4</v>
      </c>
      <c r="E100">
        <v>8.9999999999999998E-4</v>
      </c>
      <c r="F100">
        <v>-1.4000000000000002E-3</v>
      </c>
    </row>
    <row r="101" spans="1:6" x14ac:dyDescent="0.3">
      <c r="A101" s="3">
        <v>42146</v>
      </c>
      <c r="B101">
        <v>-2.2000000000000001E-3</v>
      </c>
      <c r="C101">
        <v>-1.2999999999999999E-3</v>
      </c>
      <c r="D101">
        <v>-1.1999999999999999E-3</v>
      </c>
      <c r="E101">
        <v>-1.1999999999999999E-3</v>
      </c>
      <c r="F101">
        <v>-2.9999999999999997E-4</v>
      </c>
    </row>
    <row r="102" spans="1:6" x14ac:dyDescent="0.3">
      <c r="A102" s="3">
        <v>42150</v>
      </c>
      <c r="B102">
        <v>-1.01E-2</v>
      </c>
      <c r="C102">
        <v>-2.9999999999999997E-4</v>
      </c>
      <c r="D102">
        <v>-2.0000000000000001E-4</v>
      </c>
      <c r="E102">
        <v>-1E-3</v>
      </c>
      <c r="F102">
        <v>1.6000000000000001E-3</v>
      </c>
    </row>
    <row r="103" spans="1:6" x14ac:dyDescent="0.3">
      <c r="A103" s="3">
        <v>42151</v>
      </c>
      <c r="B103">
        <v>9.300000000000001E-3</v>
      </c>
      <c r="C103">
        <v>3.0000000000000001E-3</v>
      </c>
      <c r="D103">
        <v>-3.0999999999999999E-3</v>
      </c>
      <c r="E103">
        <v>-4.0000000000000002E-4</v>
      </c>
      <c r="F103">
        <v>-2.8999999999999998E-3</v>
      </c>
    </row>
    <row r="104" spans="1:6" x14ac:dyDescent="0.3">
      <c r="A104" s="3">
        <v>42152</v>
      </c>
      <c r="B104">
        <v>-1.1999999999999999E-3</v>
      </c>
      <c r="C104">
        <v>1E-3</v>
      </c>
      <c r="D104">
        <v>1.5E-3</v>
      </c>
      <c r="E104">
        <v>-2.3E-3</v>
      </c>
      <c r="F104">
        <v>1E-3</v>
      </c>
    </row>
    <row r="105" spans="1:6" x14ac:dyDescent="0.3">
      <c r="A105" s="3">
        <v>42153</v>
      </c>
      <c r="B105">
        <v>-5.7999999999999996E-3</v>
      </c>
      <c r="C105">
        <v>4.0000000000000002E-4</v>
      </c>
      <c r="D105">
        <v>4.0000000000000002E-4</v>
      </c>
      <c r="E105">
        <v>-2.5000000000000001E-3</v>
      </c>
      <c r="F105">
        <v>1E-4</v>
      </c>
    </row>
    <row r="106" spans="1:6" x14ac:dyDescent="0.3">
      <c r="A106" s="3">
        <v>42156</v>
      </c>
      <c r="B106">
        <v>1.7000000000000001E-3</v>
      </c>
      <c r="C106">
        <v>-5.9999999999999995E-4</v>
      </c>
      <c r="D106">
        <v>-2.2000000000000001E-3</v>
      </c>
      <c r="E106">
        <v>2.3E-3</v>
      </c>
      <c r="F106">
        <v>-3.4000000000000002E-3</v>
      </c>
    </row>
    <row r="107" spans="1:6" x14ac:dyDescent="0.3">
      <c r="A107" s="3">
        <v>42157</v>
      </c>
      <c r="B107">
        <v>-2.0000000000000001E-4</v>
      </c>
      <c r="C107">
        <v>3.2000000000000002E-3</v>
      </c>
      <c r="D107">
        <v>3.5999999999999999E-3</v>
      </c>
      <c r="E107">
        <v>-2.2000000000000001E-3</v>
      </c>
      <c r="F107">
        <v>1.8E-3</v>
      </c>
    </row>
    <row r="108" spans="1:6" x14ac:dyDescent="0.3">
      <c r="A108" s="3">
        <v>42158</v>
      </c>
      <c r="B108">
        <v>3.9000000000000003E-3</v>
      </c>
      <c r="C108">
        <v>8.6E-3</v>
      </c>
      <c r="D108">
        <v>-2.3999999999999998E-3</v>
      </c>
      <c r="E108">
        <v>-1.5E-3</v>
      </c>
      <c r="F108">
        <v>-5.0000000000000001E-4</v>
      </c>
    </row>
    <row r="109" spans="1:6" x14ac:dyDescent="0.3">
      <c r="A109" s="3">
        <v>42159</v>
      </c>
      <c r="B109">
        <v>-8.8000000000000005E-3</v>
      </c>
      <c r="C109">
        <v>-8.0000000000000004E-4</v>
      </c>
      <c r="D109">
        <v>0</v>
      </c>
      <c r="E109">
        <v>2E-3</v>
      </c>
      <c r="F109">
        <v>-2.9999999999999997E-4</v>
      </c>
    </row>
    <row r="110" spans="1:6" x14ac:dyDescent="0.3">
      <c r="A110" s="3">
        <v>42160</v>
      </c>
      <c r="B110">
        <v>5.9999999999999995E-4</v>
      </c>
      <c r="C110">
        <v>8.3999999999999995E-3</v>
      </c>
      <c r="D110">
        <v>1E-3</v>
      </c>
      <c r="E110">
        <v>-5.4000000000000003E-3</v>
      </c>
      <c r="F110">
        <v>-3.8E-3</v>
      </c>
    </row>
    <row r="111" spans="1:6" x14ac:dyDescent="0.3">
      <c r="A111" s="3">
        <v>42163</v>
      </c>
      <c r="B111">
        <v>-6.6E-3</v>
      </c>
      <c r="C111">
        <v>5.0000000000000001E-4</v>
      </c>
      <c r="D111">
        <v>0</v>
      </c>
      <c r="E111">
        <v>5.9999999999999995E-4</v>
      </c>
      <c r="F111">
        <v>2.9999999999999997E-4</v>
      </c>
    </row>
    <row r="112" spans="1:6" x14ac:dyDescent="0.3">
      <c r="A112" s="3">
        <v>42164</v>
      </c>
      <c r="B112">
        <v>2.0000000000000001E-4</v>
      </c>
      <c r="C112">
        <v>-2.8999999999999998E-3</v>
      </c>
      <c r="D112">
        <v>3.7000000000000002E-3</v>
      </c>
      <c r="E112">
        <v>1.4000000000000002E-3</v>
      </c>
      <c r="F112">
        <v>1.1000000000000001E-3</v>
      </c>
    </row>
    <row r="113" spans="1:6" x14ac:dyDescent="0.3">
      <c r="A113" s="3">
        <v>42165</v>
      </c>
      <c r="B113">
        <v>1.2E-2</v>
      </c>
      <c r="C113">
        <v>1.7000000000000001E-3</v>
      </c>
      <c r="D113">
        <v>2.0999999999999999E-3</v>
      </c>
      <c r="E113">
        <v>-2.9999999999999997E-4</v>
      </c>
      <c r="F113">
        <v>0</v>
      </c>
    </row>
    <row r="114" spans="1:6" x14ac:dyDescent="0.3">
      <c r="A114" s="3">
        <v>42166</v>
      </c>
      <c r="B114">
        <v>2.0999999999999999E-3</v>
      </c>
      <c r="C114">
        <v>-8.9999999999999998E-4</v>
      </c>
      <c r="D114">
        <v>-1E-3</v>
      </c>
      <c r="E114">
        <v>1.6000000000000001E-3</v>
      </c>
      <c r="F114">
        <v>-1E-4</v>
      </c>
    </row>
    <row r="115" spans="1:6" x14ac:dyDescent="0.3">
      <c r="A115" s="3">
        <v>42167</v>
      </c>
      <c r="B115">
        <v>-6.3E-3</v>
      </c>
      <c r="C115">
        <v>3.4000000000000002E-3</v>
      </c>
      <c r="D115">
        <v>1.1999999999999999E-3</v>
      </c>
      <c r="E115">
        <v>7.000000000000001E-4</v>
      </c>
      <c r="F115">
        <v>8.9999999999999998E-4</v>
      </c>
    </row>
    <row r="116" spans="1:6" x14ac:dyDescent="0.3">
      <c r="A116" s="3">
        <v>42170</v>
      </c>
      <c r="B116">
        <v>-4.5000000000000005E-3</v>
      </c>
      <c r="C116">
        <v>1.5E-3</v>
      </c>
      <c r="D116">
        <v>-1.2999999999999999E-3</v>
      </c>
      <c r="E116">
        <v>-2.0999999999999999E-3</v>
      </c>
      <c r="F116">
        <v>-2.3999999999999998E-3</v>
      </c>
    </row>
    <row r="117" spans="1:6" x14ac:dyDescent="0.3">
      <c r="A117" s="3">
        <v>42171</v>
      </c>
      <c r="B117">
        <v>5.6999999999999993E-3</v>
      </c>
      <c r="C117">
        <v>1E-3</v>
      </c>
      <c r="D117">
        <v>-2.0000000000000001E-4</v>
      </c>
      <c r="E117">
        <v>1.2999999999999999E-3</v>
      </c>
      <c r="F117">
        <v>-8.9999999999999998E-4</v>
      </c>
    </row>
    <row r="118" spans="1:6" x14ac:dyDescent="0.3">
      <c r="A118" s="3">
        <v>42172</v>
      </c>
      <c r="B118">
        <v>1.6000000000000001E-3</v>
      </c>
      <c r="C118">
        <v>-3.0999999999999999E-3</v>
      </c>
      <c r="D118">
        <v>-6.5000000000000006E-3</v>
      </c>
      <c r="E118">
        <v>1.7000000000000001E-3</v>
      </c>
      <c r="F118">
        <v>-7.000000000000001E-4</v>
      </c>
    </row>
    <row r="119" spans="1:6" x14ac:dyDescent="0.3">
      <c r="A119" s="3">
        <v>42173</v>
      </c>
      <c r="B119">
        <v>9.8999999999999991E-3</v>
      </c>
      <c r="C119">
        <v>1.7000000000000001E-3</v>
      </c>
      <c r="D119">
        <v>-4.4000000000000003E-3</v>
      </c>
      <c r="E119">
        <v>-1.2999999999999999E-3</v>
      </c>
      <c r="F119">
        <v>-1.5E-3</v>
      </c>
    </row>
    <row r="120" spans="1:6" x14ac:dyDescent="0.3">
      <c r="A120" s="3">
        <v>42174</v>
      </c>
      <c r="B120">
        <v>-4.3E-3</v>
      </c>
      <c r="C120">
        <v>5.1999999999999998E-3</v>
      </c>
      <c r="D120">
        <v>-2E-3</v>
      </c>
      <c r="E120">
        <v>8.0000000000000004E-4</v>
      </c>
      <c r="F120">
        <v>-4.0000000000000002E-4</v>
      </c>
    </row>
    <row r="121" spans="1:6" x14ac:dyDescent="0.3">
      <c r="A121" s="3">
        <v>42177</v>
      </c>
      <c r="B121">
        <v>6.3E-3</v>
      </c>
      <c r="C121">
        <v>1E-3</v>
      </c>
      <c r="D121">
        <v>-5.0000000000000001E-4</v>
      </c>
      <c r="E121">
        <v>-1.6000000000000001E-3</v>
      </c>
      <c r="F121">
        <v>-1.9E-3</v>
      </c>
    </row>
    <row r="122" spans="1:6" x14ac:dyDescent="0.3">
      <c r="A122" s="3">
        <v>42178</v>
      </c>
      <c r="B122">
        <v>1.1999999999999999E-3</v>
      </c>
      <c r="C122">
        <v>2.5000000000000001E-3</v>
      </c>
      <c r="D122">
        <v>2.8999999999999998E-3</v>
      </c>
      <c r="E122">
        <v>-1E-3</v>
      </c>
      <c r="F122">
        <v>0</v>
      </c>
    </row>
    <row r="123" spans="1:6" x14ac:dyDescent="0.3">
      <c r="A123" s="3">
        <v>42179</v>
      </c>
      <c r="B123">
        <v>-7.9000000000000008E-3</v>
      </c>
      <c r="C123">
        <v>-1.4000000000000002E-3</v>
      </c>
      <c r="D123">
        <v>1.1999999999999999E-3</v>
      </c>
      <c r="E123">
        <v>1.6000000000000001E-3</v>
      </c>
      <c r="F123">
        <v>-5.0000000000000001E-4</v>
      </c>
    </row>
    <row r="124" spans="1:6" x14ac:dyDescent="0.3">
      <c r="A124" s="3">
        <v>42180</v>
      </c>
      <c r="B124">
        <v>-2.5000000000000001E-3</v>
      </c>
      <c r="C124">
        <v>3.4999999999999996E-3</v>
      </c>
      <c r="D124">
        <v>-2.0999999999999999E-3</v>
      </c>
      <c r="E124">
        <v>1.8E-3</v>
      </c>
      <c r="F124">
        <v>-8.9999999999999998E-4</v>
      </c>
    </row>
    <row r="125" spans="1:6" x14ac:dyDescent="0.3">
      <c r="A125" s="3">
        <v>42181</v>
      </c>
      <c r="B125">
        <v>-5.9999999999999995E-4</v>
      </c>
      <c r="C125">
        <v>-1.8E-3</v>
      </c>
      <c r="D125">
        <v>4.0999999999999995E-3</v>
      </c>
      <c r="E125">
        <v>3.4000000000000002E-3</v>
      </c>
      <c r="F125">
        <v>2.8999999999999998E-3</v>
      </c>
    </row>
    <row r="126" spans="1:6" x14ac:dyDescent="0.3">
      <c r="A126" s="3">
        <v>42184</v>
      </c>
      <c r="B126">
        <v>-2.1499999999999998E-2</v>
      </c>
      <c r="C126">
        <v>-4.0999999999999995E-3</v>
      </c>
      <c r="D126">
        <v>1.7000000000000001E-3</v>
      </c>
      <c r="E126">
        <v>3.2000000000000002E-3</v>
      </c>
      <c r="F126">
        <v>8.0000000000000004E-4</v>
      </c>
    </row>
    <row r="127" spans="1:6" x14ac:dyDescent="0.3">
      <c r="A127" s="3">
        <v>42185</v>
      </c>
      <c r="B127">
        <v>3.4000000000000002E-3</v>
      </c>
      <c r="C127">
        <v>2.8000000000000004E-3</v>
      </c>
      <c r="D127">
        <v>-6.4000000000000003E-3</v>
      </c>
      <c r="E127">
        <v>-3.0999999999999999E-3</v>
      </c>
      <c r="F127">
        <v>-5.8999999999999999E-3</v>
      </c>
    </row>
    <row r="128" spans="1:6" x14ac:dyDescent="0.3">
      <c r="A128" s="3">
        <v>42186</v>
      </c>
      <c r="B128">
        <v>6.0000000000000001E-3</v>
      </c>
      <c r="C128">
        <v>-7.4999999999999997E-3</v>
      </c>
      <c r="D128">
        <v>-2.0000000000000001E-4</v>
      </c>
      <c r="E128">
        <v>2.2000000000000001E-3</v>
      </c>
      <c r="F128">
        <v>5.9999999999999995E-4</v>
      </c>
    </row>
    <row r="129" spans="1:6" x14ac:dyDescent="0.3">
      <c r="A129" s="3">
        <v>42187</v>
      </c>
      <c r="B129">
        <v>-1.1000000000000001E-3</v>
      </c>
      <c r="C129">
        <v>-6.1999999999999998E-3</v>
      </c>
      <c r="D129">
        <v>-8.9999999999999998E-4</v>
      </c>
      <c r="E129">
        <v>-7.000000000000001E-4</v>
      </c>
      <c r="F129">
        <v>-2.0000000000000001E-4</v>
      </c>
    </row>
    <row r="130" spans="1:6" x14ac:dyDescent="0.3">
      <c r="A130" s="3">
        <v>42191</v>
      </c>
      <c r="B130">
        <v>-3.7000000000000002E-3</v>
      </c>
      <c r="C130">
        <v>1E-3</v>
      </c>
      <c r="D130">
        <v>-5.5000000000000005E-3</v>
      </c>
      <c r="E130">
        <v>-1.9E-3</v>
      </c>
      <c r="F130">
        <v>-2E-3</v>
      </c>
    </row>
    <row r="131" spans="1:6" x14ac:dyDescent="0.3">
      <c r="A131" s="3">
        <v>42192</v>
      </c>
      <c r="B131">
        <v>5.3E-3</v>
      </c>
      <c r="C131">
        <v>-4.8999999999999998E-3</v>
      </c>
      <c r="D131">
        <v>-2.8999999999999998E-3</v>
      </c>
      <c r="E131">
        <v>4.5000000000000005E-3</v>
      </c>
      <c r="F131">
        <v>1E-4</v>
      </c>
    </row>
    <row r="132" spans="1:6" x14ac:dyDescent="0.3">
      <c r="A132" s="3">
        <v>42193</v>
      </c>
      <c r="B132">
        <v>-1.6799999999999999E-2</v>
      </c>
      <c r="C132">
        <v>-2.0000000000000001E-4</v>
      </c>
      <c r="D132">
        <v>8.9999999999999998E-4</v>
      </c>
      <c r="E132">
        <v>1.7000000000000001E-3</v>
      </c>
      <c r="F132">
        <v>5.9999999999999995E-4</v>
      </c>
    </row>
    <row r="133" spans="1:6" x14ac:dyDescent="0.3">
      <c r="A133" s="3">
        <v>42194</v>
      </c>
      <c r="B133">
        <v>2.8999999999999998E-3</v>
      </c>
      <c r="C133">
        <v>1.5E-3</v>
      </c>
      <c r="D133">
        <v>1E-4</v>
      </c>
      <c r="E133">
        <v>-3.3E-3</v>
      </c>
      <c r="F133">
        <v>-2.5000000000000001E-3</v>
      </c>
    </row>
    <row r="134" spans="1:6" x14ac:dyDescent="0.3">
      <c r="A134" s="3">
        <v>42195</v>
      </c>
      <c r="B134">
        <v>1.24E-2</v>
      </c>
      <c r="C134">
        <v>1.8E-3</v>
      </c>
      <c r="D134">
        <v>-5.0000000000000001E-3</v>
      </c>
      <c r="E134">
        <v>-2.0999999999999999E-3</v>
      </c>
      <c r="F134">
        <v>-4.0000000000000002E-4</v>
      </c>
    </row>
    <row r="135" spans="1:6" x14ac:dyDescent="0.3">
      <c r="A135" s="3">
        <v>42198</v>
      </c>
      <c r="B135">
        <v>1.1399999999999999E-2</v>
      </c>
      <c r="C135">
        <v>-1E-3</v>
      </c>
      <c r="D135">
        <v>-4.3E-3</v>
      </c>
      <c r="E135">
        <v>8.9999999999999998E-4</v>
      </c>
      <c r="F135">
        <v>-2.0999999999999999E-3</v>
      </c>
    </row>
    <row r="136" spans="1:6" x14ac:dyDescent="0.3">
      <c r="A136" s="3">
        <v>42199</v>
      </c>
      <c r="B136">
        <v>4.6999999999999993E-3</v>
      </c>
      <c r="C136">
        <v>1.5E-3</v>
      </c>
      <c r="D136">
        <v>1E-3</v>
      </c>
      <c r="E136">
        <v>-3.0999999999999999E-3</v>
      </c>
      <c r="F136">
        <v>-2.5000000000000001E-3</v>
      </c>
    </row>
    <row r="137" spans="1:6" x14ac:dyDescent="0.3">
      <c r="A137" s="3">
        <v>42200</v>
      </c>
      <c r="B137">
        <v>-1.9E-3</v>
      </c>
      <c r="C137">
        <v>-8.0000000000000002E-3</v>
      </c>
      <c r="D137">
        <v>-4.0000000000000002E-4</v>
      </c>
      <c r="E137">
        <v>-2.2000000000000001E-3</v>
      </c>
      <c r="F137">
        <v>-3.4999999999999996E-3</v>
      </c>
    </row>
    <row r="138" spans="1:6" x14ac:dyDescent="0.3">
      <c r="A138" s="3">
        <v>42201</v>
      </c>
      <c r="B138">
        <v>7.8000000000000005E-3</v>
      </c>
      <c r="C138">
        <v>-2.3E-3</v>
      </c>
      <c r="D138">
        <v>-6.1999999999999998E-3</v>
      </c>
      <c r="E138">
        <v>-2.3999999999999998E-3</v>
      </c>
      <c r="F138">
        <v>-5.5000000000000005E-3</v>
      </c>
    </row>
    <row r="139" spans="1:6" x14ac:dyDescent="0.3">
      <c r="A139" s="3">
        <v>42202</v>
      </c>
      <c r="B139">
        <v>5.0000000000000001E-4</v>
      </c>
      <c r="C139">
        <v>-6.5000000000000006E-3</v>
      </c>
      <c r="D139">
        <v>-6.6E-3</v>
      </c>
      <c r="E139">
        <v>-2.3E-3</v>
      </c>
      <c r="F139">
        <v>-7.1999999999999998E-3</v>
      </c>
    </row>
    <row r="140" spans="1:6" x14ac:dyDescent="0.3">
      <c r="A140" s="3">
        <v>42205</v>
      </c>
      <c r="B140">
        <v>-1E-4</v>
      </c>
      <c r="C140">
        <v>-7.7000000000000002E-3</v>
      </c>
      <c r="D140">
        <v>-6.0000000000000001E-3</v>
      </c>
      <c r="E140">
        <v>3.7000000000000002E-3</v>
      </c>
      <c r="F140">
        <v>-2.3999999999999998E-3</v>
      </c>
    </row>
    <row r="141" spans="1:6" x14ac:dyDescent="0.3">
      <c r="A141" s="3">
        <v>42206</v>
      </c>
      <c r="B141">
        <v>-4.6999999999999993E-3</v>
      </c>
      <c r="C141">
        <v>5.9999999999999995E-4</v>
      </c>
      <c r="D141">
        <v>3.0000000000000001E-3</v>
      </c>
      <c r="E141">
        <v>-1.9E-3</v>
      </c>
      <c r="F141">
        <v>-1E-4</v>
      </c>
    </row>
    <row r="142" spans="1:6" x14ac:dyDescent="0.3">
      <c r="A142" s="3">
        <v>42207</v>
      </c>
      <c r="B142">
        <v>-1.8E-3</v>
      </c>
      <c r="C142">
        <v>2.5000000000000001E-3</v>
      </c>
      <c r="D142">
        <v>2.3999999999999998E-3</v>
      </c>
      <c r="E142">
        <v>-3.8E-3</v>
      </c>
      <c r="F142">
        <v>2.9999999999999997E-4</v>
      </c>
    </row>
    <row r="143" spans="1:6" x14ac:dyDescent="0.3">
      <c r="A143" s="3">
        <v>42208</v>
      </c>
      <c r="B143">
        <v>-6.0000000000000001E-3</v>
      </c>
      <c r="C143">
        <v>-4.1999999999999997E-3</v>
      </c>
      <c r="D143">
        <v>-3.0999999999999999E-3</v>
      </c>
      <c r="E143">
        <v>-5.9999999999999995E-4</v>
      </c>
      <c r="F143">
        <v>2.9999999999999997E-4</v>
      </c>
    </row>
    <row r="144" spans="1:6" x14ac:dyDescent="0.3">
      <c r="A144" s="3">
        <v>42209</v>
      </c>
      <c r="B144">
        <v>-1.0800000000000001E-2</v>
      </c>
      <c r="C144">
        <v>-6.7000000000000002E-3</v>
      </c>
      <c r="D144">
        <v>5.0000000000000001E-4</v>
      </c>
      <c r="E144">
        <v>5.0000000000000001E-4</v>
      </c>
      <c r="F144">
        <v>-7.000000000000001E-4</v>
      </c>
    </row>
    <row r="145" spans="1:6" x14ac:dyDescent="0.3">
      <c r="A145" s="3">
        <v>42212</v>
      </c>
      <c r="B145">
        <v>-7.4000000000000003E-3</v>
      </c>
      <c r="C145">
        <v>-2.5999999999999999E-3</v>
      </c>
      <c r="D145">
        <v>7.000000000000001E-4</v>
      </c>
      <c r="E145">
        <v>1E-3</v>
      </c>
      <c r="F145">
        <v>2.8999999999999998E-3</v>
      </c>
    </row>
    <row r="146" spans="1:6" x14ac:dyDescent="0.3">
      <c r="A146" s="3">
        <v>42213</v>
      </c>
      <c r="B146">
        <v>1.23E-2</v>
      </c>
      <c r="C146">
        <v>-3.4999999999999996E-3</v>
      </c>
      <c r="D146">
        <v>-1.4000000000000002E-3</v>
      </c>
      <c r="E146">
        <v>2.0000000000000001E-4</v>
      </c>
      <c r="F146">
        <v>1.6000000000000001E-3</v>
      </c>
    </row>
    <row r="147" spans="1:6" x14ac:dyDescent="0.3">
      <c r="A147" s="3">
        <v>42214</v>
      </c>
      <c r="B147">
        <v>7.4000000000000003E-3</v>
      </c>
      <c r="C147">
        <v>-2.3999999999999998E-3</v>
      </c>
      <c r="D147">
        <v>5.1999999999999998E-3</v>
      </c>
      <c r="E147">
        <v>9.1999999999999998E-3</v>
      </c>
      <c r="F147">
        <v>2.5000000000000001E-3</v>
      </c>
    </row>
    <row r="148" spans="1:6" x14ac:dyDescent="0.3">
      <c r="A148" s="3">
        <v>42215</v>
      </c>
      <c r="B148">
        <v>1.1999999999999999E-3</v>
      </c>
      <c r="C148">
        <v>1.7000000000000001E-3</v>
      </c>
      <c r="D148">
        <v>-2.8000000000000004E-3</v>
      </c>
      <c r="E148">
        <v>1.4000000000000002E-3</v>
      </c>
      <c r="F148">
        <v>-2E-3</v>
      </c>
    </row>
    <row r="149" spans="1:6" x14ac:dyDescent="0.3">
      <c r="A149" s="3">
        <v>42216</v>
      </c>
      <c r="B149">
        <v>-1.5E-3</v>
      </c>
      <c r="C149">
        <v>7.3000000000000001E-3</v>
      </c>
      <c r="D149">
        <v>-9.8999999999999991E-3</v>
      </c>
      <c r="E149">
        <v>2.3999999999999998E-3</v>
      </c>
      <c r="F149">
        <v>-7.000000000000001E-4</v>
      </c>
    </row>
    <row r="150" spans="1:6" x14ac:dyDescent="0.3">
      <c r="A150" s="3">
        <v>42219</v>
      </c>
      <c r="B150">
        <v>-3.4999999999999996E-3</v>
      </c>
      <c r="C150">
        <v>-3.3E-3</v>
      </c>
      <c r="D150">
        <v>-2E-3</v>
      </c>
      <c r="E150">
        <v>7.000000000000001E-4</v>
      </c>
      <c r="F150">
        <v>5.0000000000000001E-4</v>
      </c>
    </row>
    <row r="151" spans="1:6" x14ac:dyDescent="0.3">
      <c r="A151" s="3">
        <v>42220</v>
      </c>
      <c r="B151">
        <v>-1.4000000000000002E-3</v>
      </c>
      <c r="C151">
        <v>-1E-4</v>
      </c>
      <c r="D151">
        <v>-1.2999999999999999E-3</v>
      </c>
      <c r="E151">
        <v>-2.9999999999999997E-4</v>
      </c>
      <c r="F151">
        <v>2.3999999999999998E-3</v>
      </c>
    </row>
    <row r="152" spans="1:6" x14ac:dyDescent="0.3">
      <c r="A152" s="3">
        <v>42221</v>
      </c>
      <c r="B152">
        <v>3.5999999999999999E-3</v>
      </c>
      <c r="C152">
        <v>-8.9999999999999998E-4</v>
      </c>
      <c r="D152">
        <v>-4.0999999999999995E-3</v>
      </c>
      <c r="E152">
        <v>-2.0000000000000001E-4</v>
      </c>
      <c r="F152">
        <v>0</v>
      </c>
    </row>
    <row r="153" spans="1:6" x14ac:dyDescent="0.3">
      <c r="A153" s="3">
        <v>42222</v>
      </c>
      <c r="B153">
        <v>-8.8000000000000005E-3</v>
      </c>
      <c r="C153">
        <v>-3.7000000000000002E-3</v>
      </c>
      <c r="D153">
        <v>1.9599999999999999E-2</v>
      </c>
      <c r="E153">
        <v>2.8999999999999998E-3</v>
      </c>
      <c r="F153">
        <v>7.0999999999999995E-3</v>
      </c>
    </row>
    <row r="154" spans="1:6" x14ac:dyDescent="0.3">
      <c r="A154" s="3">
        <v>42223</v>
      </c>
      <c r="B154">
        <v>-3.5999999999999999E-3</v>
      </c>
      <c r="C154">
        <v>-4.5000000000000005E-3</v>
      </c>
      <c r="D154">
        <v>-2.8999999999999998E-3</v>
      </c>
      <c r="E154">
        <v>2.5000000000000001E-3</v>
      </c>
      <c r="F154">
        <v>8.9999999999999998E-4</v>
      </c>
    </row>
    <row r="155" spans="1:6" x14ac:dyDescent="0.3">
      <c r="A155" s="3">
        <v>42226</v>
      </c>
      <c r="B155">
        <v>1.3100000000000001E-2</v>
      </c>
      <c r="C155">
        <v>1.9E-3</v>
      </c>
      <c r="D155">
        <v>6.8999999999999999E-3</v>
      </c>
      <c r="E155">
        <v>1.7000000000000001E-3</v>
      </c>
      <c r="F155">
        <v>-1E-4</v>
      </c>
    </row>
    <row r="156" spans="1:6" x14ac:dyDescent="0.3">
      <c r="A156" s="3">
        <v>42227</v>
      </c>
      <c r="B156">
        <v>-9.7999999999999997E-3</v>
      </c>
      <c r="C156">
        <v>-8.9999999999999998E-4</v>
      </c>
      <c r="D156">
        <v>4.3E-3</v>
      </c>
      <c r="E156">
        <v>1.5E-3</v>
      </c>
      <c r="F156">
        <v>5.0000000000000001E-4</v>
      </c>
    </row>
    <row r="157" spans="1:6" x14ac:dyDescent="0.3">
      <c r="A157" s="3">
        <v>42228</v>
      </c>
      <c r="B157">
        <v>7.000000000000001E-4</v>
      </c>
      <c r="C157">
        <v>-1.6000000000000001E-3</v>
      </c>
      <c r="D157">
        <v>-3.0999999999999999E-3</v>
      </c>
      <c r="E157">
        <v>-1E-3</v>
      </c>
      <c r="F157">
        <v>-8.0000000000000004E-4</v>
      </c>
    </row>
    <row r="158" spans="1:6" x14ac:dyDescent="0.3">
      <c r="A158" s="3">
        <v>42229</v>
      </c>
      <c r="B158">
        <v>-1.4000000000000002E-3</v>
      </c>
      <c r="C158">
        <v>-4.3E-3</v>
      </c>
      <c r="D158">
        <v>8.0000000000000004E-4</v>
      </c>
      <c r="E158">
        <v>1.4000000000000002E-3</v>
      </c>
      <c r="F158">
        <v>-8.0000000000000004E-4</v>
      </c>
    </row>
    <row r="159" spans="1:6" x14ac:dyDescent="0.3">
      <c r="A159" s="3">
        <v>42230</v>
      </c>
      <c r="B159">
        <v>4.3E-3</v>
      </c>
      <c r="C159">
        <v>1.4000000000000002E-3</v>
      </c>
      <c r="D159">
        <v>4.3E-3</v>
      </c>
      <c r="E159">
        <v>-8.0000000000000004E-4</v>
      </c>
      <c r="F159">
        <v>1E-4</v>
      </c>
    </row>
    <row r="160" spans="1:6" x14ac:dyDescent="0.3">
      <c r="A160" s="3">
        <v>42233</v>
      </c>
      <c r="B160">
        <v>6.0000000000000001E-3</v>
      </c>
      <c r="C160">
        <v>3.5999999999999999E-3</v>
      </c>
      <c r="D160">
        <v>-8.5000000000000006E-3</v>
      </c>
      <c r="E160">
        <v>-2.2000000000000001E-3</v>
      </c>
      <c r="F160">
        <v>-3.7000000000000002E-3</v>
      </c>
    </row>
    <row r="161" spans="1:6" x14ac:dyDescent="0.3">
      <c r="A161" s="3">
        <v>42234</v>
      </c>
      <c r="B161">
        <v>-3.4999999999999996E-3</v>
      </c>
      <c r="C161">
        <v>-6.0999999999999995E-3</v>
      </c>
      <c r="D161">
        <v>3.7000000000000002E-3</v>
      </c>
      <c r="E161">
        <v>3.7000000000000002E-3</v>
      </c>
      <c r="F161">
        <v>2.9999999999999997E-4</v>
      </c>
    </row>
    <row r="162" spans="1:6" x14ac:dyDescent="0.3">
      <c r="A162" s="3">
        <v>42235</v>
      </c>
      <c r="B162">
        <v>-8.5000000000000006E-3</v>
      </c>
      <c r="C162">
        <v>-2E-3</v>
      </c>
      <c r="D162">
        <v>-2.0999999999999999E-3</v>
      </c>
      <c r="E162">
        <v>-1E-3</v>
      </c>
      <c r="F162">
        <v>-2.9999999999999997E-4</v>
      </c>
    </row>
    <row r="163" spans="1:6" x14ac:dyDescent="0.3">
      <c r="A163" s="3">
        <v>42236</v>
      </c>
      <c r="B163">
        <v>-2.2400000000000003E-2</v>
      </c>
      <c r="C163">
        <v>-2.3E-3</v>
      </c>
      <c r="D163">
        <v>5.6000000000000008E-3</v>
      </c>
      <c r="E163">
        <v>6.3E-3</v>
      </c>
      <c r="F163">
        <v>5.3E-3</v>
      </c>
    </row>
    <row r="164" spans="1:6" x14ac:dyDescent="0.3">
      <c r="A164" s="3">
        <v>42237</v>
      </c>
      <c r="B164">
        <v>-2.9500000000000002E-2</v>
      </c>
      <c r="C164">
        <v>1.8000000000000002E-2</v>
      </c>
      <c r="D164">
        <v>1.6000000000000001E-3</v>
      </c>
      <c r="E164">
        <v>-7.3000000000000001E-3</v>
      </c>
      <c r="F164">
        <v>7.4000000000000003E-3</v>
      </c>
    </row>
    <row r="165" spans="1:6" x14ac:dyDescent="0.3">
      <c r="A165" s="3">
        <v>42240</v>
      </c>
      <c r="B165">
        <v>-3.9E-2</v>
      </c>
      <c r="C165">
        <v>2.8999999999999998E-3</v>
      </c>
      <c r="D165">
        <v>-4.0000000000000001E-3</v>
      </c>
      <c r="E165">
        <v>4.5000000000000005E-3</v>
      </c>
      <c r="F165">
        <v>8.9999999999999998E-4</v>
      </c>
    </row>
    <row r="166" spans="1:6" x14ac:dyDescent="0.3">
      <c r="A166" s="3">
        <v>42241</v>
      </c>
      <c r="B166">
        <v>-1.1699999999999999E-2</v>
      </c>
      <c r="C166">
        <v>5.7999999999999996E-3</v>
      </c>
      <c r="D166">
        <v>-6.1999999999999998E-3</v>
      </c>
      <c r="E166">
        <v>-2.8000000000000004E-3</v>
      </c>
      <c r="F166">
        <v>-5.5000000000000005E-3</v>
      </c>
    </row>
    <row r="167" spans="1:6" x14ac:dyDescent="0.3">
      <c r="A167" s="3">
        <v>42242</v>
      </c>
      <c r="B167">
        <v>3.6799999999999999E-2</v>
      </c>
      <c r="C167">
        <v>-1.41E-2</v>
      </c>
      <c r="D167">
        <v>-3.4999999999999996E-3</v>
      </c>
      <c r="E167">
        <v>1.8E-3</v>
      </c>
      <c r="F167">
        <v>-5.8999999999999999E-3</v>
      </c>
    </row>
    <row r="168" spans="1:6" x14ac:dyDescent="0.3">
      <c r="A168" s="3">
        <v>42243</v>
      </c>
      <c r="B168">
        <v>2.4E-2</v>
      </c>
      <c r="C168">
        <v>-6.3E-3</v>
      </c>
      <c r="D168">
        <v>6.0000000000000001E-3</v>
      </c>
      <c r="E168">
        <v>-3.0999999999999999E-3</v>
      </c>
      <c r="F168">
        <v>-1.2999999999999999E-3</v>
      </c>
    </row>
    <row r="169" spans="1:6" x14ac:dyDescent="0.3">
      <c r="A169" s="3">
        <v>42244</v>
      </c>
      <c r="B169">
        <v>2.3E-3</v>
      </c>
      <c r="C169">
        <v>9.8999999999999991E-3</v>
      </c>
      <c r="D169">
        <v>7.000000000000001E-4</v>
      </c>
      <c r="E169">
        <v>-2.5999999999999999E-3</v>
      </c>
      <c r="F169">
        <v>8.0000000000000004E-4</v>
      </c>
    </row>
    <row r="170" spans="1:6" x14ac:dyDescent="0.3">
      <c r="A170" s="3">
        <v>42247</v>
      </c>
      <c r="B170">
        <v>-7.4000000000000003E-3</v>
      </c>
      <c r="C170">
        <v>9.0000000000000011E-3</v>
      </c>
      <c r="D170">
        <v>1.3999999999999999E-2</v>
      </c>
      <c r="E170">
        <v>8.9999999999999998E-4</v>
      </c>
      <c r="F170">
        <v>4.5000000000000005E-3</v>
      </c>
    </row>
    <row r="171" spans="1:6" x14ac:dyDescent="0.3">
      <c r="A171" s="3">
        <v>42248</v>
      </c>
      <c r="B171">
        <v>-2.9100000000000001E-2</v>
      </c>
      <c r="C171">
        <v>2.3999999999999998E-3</v>
      </c>
      <c r="D171">
        <v>-4.7999999999999996E-3</v>
      </c>
      <c r="E171">
        <v>-1E-4</v>
      </c>
      <c r="F171">
        <v>5.9999999999999995E-4</v>
      </c>
    </row>
    <row r="172" spans="1:6" x14ac:dyDescent="0.3">
      <c r="A172" s="3">
        <v>42249</v>
      </c>
      <c r="B172">
        <v>1.8100000000000002E-2</v>
      </c>
      <c r="C172">
        <v>-2.8000000000000004E-3</v>
      </c>
      <c r="D172">
        <v>-9.0000000000000011E-3</v>
      </c>
      <c r="E172">
        <v>1.9E-3</v>
      </c>
      <c r="F172">
        <v>-6.0999999999999995E-3</v>
      </c>
    </row>
    <row r="173" spans="1:6" x14ac:dyDescent="0.3">
      <c r="A173" s="3">
        <v>42250</v>
      </c>
      <c r="B173">
        <v>1.7000000000000001E-3</v>
      </c>
      <c r="C173">
        <v>-2E-3</v>
      </c>
      <c r="D173">
        <v>7.4000000000000003E-3</v>
      </c>
      <c r="E173">
        <v>3.4000000000000002E-3</v>
      </c>
      <c r="F173">
        <v>6.6E-3</v>
      </c>
    </row>
    <row r="174" spans="1:6" x14ac:dyDescent="0.3">
      <c r="A174" s="3">
        <v>42251</v>
      </c>
      <c r="B174">
        <v>-1.3899999999999999E-2</v>
      </c>
      <c r="C174">
        <v>8.3000000000000001E-3</v>
      </c>
      <c r="D174">
        <v>-5.6999999999999993E-3</v>
      </c>
      <c r="E174">
        <v>-7.000000000000001E-4</v>
      </c>
      <c r="F174">
        <v>-4.0000000000000001E-3</v>
      </c>
    </row>
    <row r="175" spans="1:6" x14ac:dyDescent="0.3">
      <c r="A175" s="3">
        <v>42255</v>
      </c>
      <c r="B175">
        <v>2.52E-2</v>
      </c>
      <c r="C175">
        <v>-3.9000000000000003E-3</v>
      </c>
      <c r="D175">
        <v>-5.6000000000000008E-3</v>
      </c>
      <c r="E175">
        <v>-1E-3</v>
      </c>
      <c r="F175">
        <v>-2.8999999999999998E-3</v>
      </c>
    </row>
    <row r="176" spans="1:6" x14ac:dyDescent="0.3">
      <c r="A176" s="3">
        <v>42256</v>
      </c>
      <c r="B176">
        <v>-1.34E-2</v>
      </c>
      <c r="C176">
        <v>1.8E-3</v>
      </c>
      <c r="D176">
        <v>1.2999999999999999E-3</v>
      </c>
      <c r="E176">
        <v>2.2000000000000001E-3</v>
      </c>
      <c r="F176">
        <v>2.0000000000000001E-4</v>
      </c>
    </row>
    <row r="177" spans="1:6" x14ac:dyDescent="0.3">
      <c r="A177" s="3">
        <v>42257</v>
      </c>
      <c r="B177">
        <v>4.8999999999999998E-3</v>
      </c>
      <c r="C177">
        <v>-1.9E-3</v>
      </c>
      <c r="D177">
        <v>-3.4000000000000002E-3</v>
      </c>
      <c r="E177">
        <v>-2.2000000000000001E-3</v>
      </c>
      <c r="F177">
        <v>-6.1999999999999998E-3</v>
      </c>
    </row>
    <row r="178" spans="1:6" x14ac:dyDescent="0.3">
      <c r="A178" s="3">
        <v>42258</v>
      </c>
      <c r="B178">
        <v>4.4000000000000003E-3</v>
      </c>
      <c r="C178">
        <v>-2.8000000000000004E-3</v>
      </c>
      <c r="D178">
        <v>-6.8999999999999999E-3</v>
      </c>
      <c r="E178">
        <v>-8.9999999999999998E-4</v>
      </c>
      <c r="F178">
        <v>-3.0999999999999999E-3</v>
      </c>
    </row>
    <row r="179" spans="1:6" x14ac:dyDescent="0.3">
      <c r="A179" s="3">
        <v>42261</v>
      </c>
      <c r="B179">
        <v>-4.0999999999999995E-3</v>
      </c>
      <c r="C179">
        <v>2.0000000000000001E-4</v>
      </c>
      <c r="D179">
        <v>2.9999999999999997E-4</v>
      </c>
      <c r="E179">
        <v>-2.0000000000000001E-4</v>
      </c>
      <c r="F179">
        <v>-4.0000000000000002E-4</v>
      </c>
    </row>
    <row r="180" spans="1:6" x14ac:dyDescent="0.3">
      <c r="A180" s="3">
        <v>42262</v>
      </c>
      <c r="B180">
        <v>1.2199999999999999E-2</v>
      </c>
      <c r="C180">
        <v>-1.6000000000000001E-3</v>
      </c>
      <c r="D180">
        <v>2.8000000000000004E-3</v>
      </c>
      <c r="E180">
        <v>0</v>
      </c>
      <c r="F180">
        <v>1.1000000000000001E-3</v>
      </c>
    </row>
    <row r="181" spans="1:6" x14ac:dyDescent="0.3">
      <c r="A181" s="3">
        <v>42263</v>
      </c>
      <c r="B181">
        <v>8.3999999999999995E-3</v>
      </c>
      <c r="C181">
        <v>4.0000000000000002E-4</v>
      </c>
      <c r="D181">
        <v>4.3E-3</v>
      </c>
      <c r="E181">
        <v>3.0999999999999999E-3</v>
      </c>
      <c r="F181">
        <v>2E-3</v>
      </c>
    </row>
    <row r="182" spans="1:6" x14ac:dyDescent="0.3">
      <c r="A182" s="3">
        <v>42264</v>
      </c>
      <c r="B182">
        <v>-1.7000000000000001E-3</v>
      </c>
      <c r="C182">
        <v>7.8000000000000005E-3</v>
      </c>
      <c r="D182">
        <v>-1.4999999999999999E-2</v>
      </c>
      <c r="E182">
        <v>-2.5999999999999999E-3</v>
      </c>
      <c r="F182">
        <v>-3.2000000000000002E-3</v>
      </c>
    </row>
    <row r="183" spans="1:6" x14ac:dyDescent="0.3">
      <c r="A183" s="3">
        <v>42265</v>
      </c>
      <c r="B183">
        <v>-1.6200000000000003E-2</v>
      </c>
      <c r="C183">
        <v>2.8999999999999998E-3</v>
      </c>
      <c r="D183">
        <v>-9.3999999999999986E-3</v>
      </c>
      <c r="E183">
        <v>-4.3E-3</v>
      </c>
      <c r="F183">
        <v>-4.5000000000000005E-3</v>
      </c>
    </row>
    <row r="184" spans="1:6" x14ac:dyDescent="0.3">
      <c r="A184" s="3">
        <v>42268</v>
      </c>
      <c r="B184">
        <v>3.5999999999999999E-3</v>
      </c>
      <c r="C184">
        <v>-8.5000000000000006E-3</v>
      </c>
      <c r="D184">
        <v>1.24E-2</v>
      </c>
      <c r="E184">
        <v>4.7999999999999996E-3</v>
      </c>
      <c r="F184">
        <v>1.1000000000000001E-3</v>
      </c>
    </row>
    <row r="185" spans="1:6" x14ac:dyDescent="0.3">
      <c r="A185" s="3">
        <v>42269</v>
      </c>
      <c r="B185">
        <v>-1.29E-2</v>
      </c>
      <c r="C185">
        <v>-3.0000000000000001E-3</v>
      </c>
      <c r="D185">
        <v>1.4000000000000002E-3</v>
      </c>
      <c r="E185">
        <v>3.0000000000000001E-3</v>
      </c>
      <c r="F185">
        <v>1E-3</v>
      </c>
    </row>
    <row r="186" spans="1:6" x14ac:dyDescent="0.3">
      <c r="A186" s="3">
        <v>42270</v>
      </c>
      <c r="B186">
        <v>-2.7000000000000001E-3</v>
      </c>
      <c r="C186">
        <v>-2.2000000000000001E-3</v>
      </c>
      <c r="D186">
        <v>-1.6000000000000001E-3</v>
      </c>
      <c r="E186">
        <v>-1.7000000000000001E-3</v>
      </c>
      <c r="F186">
        <v>-2.7000000000000001E-3</v>
      </c>
    </row>
    <row r="187" spans="1:6" x14ac:dyDescent="0.3">
      <c r="A187" s="3">
        <v>42271</v>
      </c>
      <c r="B187">
        <v>-3.5999999999999999E-3</v>
      </c>
      <c r="C187">
        <v>2.7000000000000001E-3</v>
      </c>
      <c r="D187">
        <v>5.1999999999999998E-3</v>
      </c>
      <c r="E187">
        <v>-8.0000000000000004E-4</v>
      </c>
      <c r="F187">
        <v>4.0000000000000002E-4</v>
      </c>
    </row>
    <row r="188" spans="1:6" x14ac:dyDescent="0.3">
      <c r="A188" s="3">
        <v>42272</v>
      </c>
      <c r="B188">
        <v>-2.2000000000000001E-3</v>
      </c>
      <c r="C188">
        <v>-1.47E-2</v>
      </c>
      <c r="D188">
        <v>1.8700000000000001E-2</v>
      </c>
      <c r="E188">
        <v>5.1999999999999998E-3</v>
      </c>
      <c r="F188">
        <v>4.7999999999999996E-3</v>
      </c>
    </row>
    <row r="189" spans="1:6" x14ac:dyDescent="0.3">
      <c r="A189" s="3">
        <v>42275</v>
      </c>
      <c r="B189">
        <v>-2.63E-2</v>
      </c>
      <c r="C189">
        <v>-2.0999999999999999E-3</v>
      </c>
      <c r="D189">
        <v>1.15E-2</v>
      </c>
      <c r="E189">
        <v>6.7000000000000002E-3</v>
      </c>
      <c r="F189">
        <v>5.3E-3</v>
      </c>
    </row>
    <row r="190" spans="1:6" x14ac:dyDescent="0.3">
      <c r="A190" s="3">
        <v>42276</v>
      </c>
      <c r="B190">
        <v>-7.000000000000001E-4</v>
      </c>
      <c r="C190">
        <v>-6.0999999999999995E-3</v>
      </c>
      <c r="D190">
        <v>6.8999999999999999E-3</v>
      </c>
      <c r="E190">
        <v>7.1999999999999998E-3</v>
      </c>
      <c r="F190">
        <v>4.5000000000000005E-3</v>
      </c>
    </row>
    <row r="191" spans="1:6" x14ac:dyDescent="0.3">
      <c r="A191" s="3">
        <v>42277</v>
      </c>
      <c r="B191">
        <v>1.8799999999999997E-2</v>
      </c>
      <c r="C191">
        <v>-4.6999999999999993E-3</v>
      </c>
      <c r="D191">
        <v>-4.6999999999999993E-3</v>
      </c>
      <c r="E191">
        <v>-4.0999999999999995E-3</v>
      </c>
      <c r="F191">
        <v>-3.3E-3</v>
      </c>
    </row>
    <row r="192" spans="1:6" x14ac:dyDescent="0.3">
      <c r="A192" s="3">
        <v>42278</v>
      </c>
      <c r="B192">
        <v>1.2999999999999999E-3</v>
      </c>
      <c r="C192">
        <v>-5.3E-3</v>
      </c>
      <c r="D192">
        <v>-5.0000000000000001E-4</v>
      </c>
      <c r="E192">
        <v>-1.6000000000000001E-3</v>
      </c>
      <c r="F192">
        <v>-1.5E-3</v>
      </c>
    </row>
    <row r="193" spans="1:6" x14ac:dyDescent="0.3">
      <c r="A193" s="3">
        <v>42279</v>
      </c>
      <c r="B193">
        <v>1.49E-2</v>
      </c>
      <c r="C193">
        <v>2.5000000000000001E-3</v>
      </c>
      <c r="D193">
        <v>-8.199999999999999E-3</v>
      </c>
      <c r="E193">
        <v>-1.5E-3</v>
      </c>
      <c r="F193">
        <v>5.0000000000000001E-4</v>
      </c>
    </row>
    <row r="194" spans="1:6" x14ac:dyDescent="0.3">
      <c r="A194" s="3">
        <v>42282</v>
      </c>
      <c r="B194">
        <v>1.9299999999999998E-2</v>
      </c>
      <c r="C194">
        <v>7.3000000000000001E-3</v>
      </c>
      <c r="D194">
        <v>7.6E-3</v>
      </c>
      <c r="E194">
        <v>1.1000000000000001E-3</v>
      </c>
      <c r="F194">
        <v>5.7999999999999996E-3</v>
      </c>
    </row>
    <row r="195" spans="1:6" x14ac:dyDescent="0.3">
      <c r="A195" s="3">
        <v>42283</v>
      </c>
      <c r="B195">
        <v>-4.3E-3</v>
      </c>
      <c r="C195">
        <v>-8.9999999999999998E-4</v>
      </c>
      <c r="D195">
        <v>1.6399999999999998E-2</v>
      </c>
      <c r="E195">
        <v>3.2000000000000002E-3</v>
      </c>
      <c r="F195">
        <v>5.5000000000000005E-3</v>
      </c>
    </row>
    <row r="196" spans="1:6" x14ac:dyDescent="0.3">
      <c r="A196" s="3">
        <v>42284</v>
      </c>
      <c r="B196">
        <v>9.3999999999999986E-3</v>
      </c>
      <c r="C196">
        <v>7.8000000000000005E-3</v>
      </c>
      <c r="D196">
        <v>-2.3E-3</v>
      </c>
      <c r="E196">
        <v>-1.2999999999999999E-3</v>
      </c>
      <c r="F196">
        <v>8.9999999999999998E-4</v>
      </c>
    </row>
    <row r="197" spans="1:6" x14ac:dyDescent="0.3">
      <c r="A197" s="3">
        <v>42285</v>
      </c>
      <c r="B197">
        <v>8.3999999999999995E-3</v>
      </c>
      <c r="C197">
        <v>3.4000000000000002E-3</v>
      </c>
      <c r="D197">
        <v>7.3000000000000001E-3</v>
      </c>
      <c r="E197">
        <v>5.4000000000000003E-3</v>
      </c>
      <c r="F197">
        <v>6.8999999999999999E-3</v>
      </c>
    </row>
    <row r="198" spans="1:6" x14ac:dyDescent="0.3">
      <c r="A198" s="3">
        <v>42286</v>
      </c>
      <c r="B198">
        <v>1.1999999999999999E-3</v>
      </c>
      <c r="C198">
        <v>1E-3</v>
      </c>
      <c r="D198">
        <v>-1.06E-2</v>
      </c>
      <c r="E198">
        <v>1.1999999999999999E-3</v>
      </c>
      <c r="F198">
        <v>-1.1999999999999999E-3</v>
      </c>
    </row>
    <row r="199" spans="1:6" x14ac:dyDescent="0.3">
      <c r="A199" s="3">
        <v>42289</v>
      </c>
      <c r="B199">
        <v>5.9999999999999995E-4</v>
      </c>
      <c r="C199">
        <v>-4.4000000000000003E-3</v>
      </c>
      <c r="D199">
        <v>-7.000000000000001E-4</v>
      </c>
      <c r="E199">
        <v>1.1000000000000001E-3</v>
      </c>
      <c r="F199">
        <v>-1.7000000000000001E-3</v>
      </c>
    </row>
    <row r="200" spans="1:6" x14ac:dyDescent="0.3">
      <c r="A200" s="3">
        <v>42290</v>
      </c>
      <c r="B200">
        <v>-7.4000000000000003E-3</v>
      </c>
      <c r="C200">
        <v>-6.7000000000000002E-3</v>
      </c>
      <c r="D200">
        <v>6.6E-3</v>
      </c>
      <c r="E200">
        <v>3.2000000000000002E-3</v>
      </c>
      <c r="F200">
        <v>1.7000000000000001E-3</v>
      </c>
    </row>
    <row r="201" spans="1:6" x14ac:dyDescent="0.3">
      <c r="A201" s="3">
        <v>42291</v>
      </c>
      <c r="B201">
        <v>-6.0000000000000001E-3</v>
      </c>
      <c r="C201">
        <v>-2.7000000000000001E-3</v>
      </c>
      <c r="D201">
        <v>-4.0000000000000002E-4</v>
      </c>
      <c r="E201">
        <v>-4.4000000000000003E-3</v>
      </c>
      <c r="F201">
        <v>3.8E-3</v>
      </c>
    </row>
    <row r="202" spans="1:6" x14ac:dyDescent="0.3">
      <c r="A202" s="3">
        <v>42292</v>
      </c>
      <c r="B202">
        <v>1.5600000000000001E-2</v>
      </c>
      <c r="C202">
        <v>6.0000000000000001E-3</v>
      </c>
      <c r="D202">
        <v>-1E-3</v>
      </c>
      <c r="E202">
        <v>-1.0700000000000001E-2</v>
      </c>
      <c r="F202">
        <v>-3.4999999999999996E-3</v>
      </c>
    </row>
    <row r="203" spans="1:6" x14ac:dyDescent="0.3">
      <c r="A203" s="3">
        <v>42293</v>
      </c>
      <c r="B203">
        <v>3.5999999999999999E-3</v>
      </c>
      <c r="C203">
        <v>-5.3E-3</v>
      </c>
      <c r="D203">
        <v>-3.2000000000000002E-3</v>
      </c>
      <c r="E203">
        <v>5.0000000000000001E-4</v>
      </c>
      <c r="F203">
        <v>5.9999999999999995E-4</v>
      </c>
    </row>
    <row r="204" spans="1:6" x14ac:dyDescent="0.3">
      <c r="A204" s="3">
        <v>42296</v>
      </c>
      <c r="B204">
        <v>0</v>
      </c>
      <c r="C204">
        <v>1.1000000000000001E-3</v>
      </c>
      <c r="D204">
        <v>-6.6E-3</v>
      </c>
      <c r="E204">
        <v>1.4000000000000002E-3</v>
      </c>
      <c r="F204">
        <v>-3.2000000000000002E-3</v>
      </c>
    </row>
    <row r="205" spans="1:6" x14ac:dyDescent="0.3">
      <c r="A205" s="3">
        <v>42297</v>
      </c>
      <c r="B205">
        <v>-1.5E-3</v>
      </c>
      <c r="C205">
        <v>1.5E-3</v>
      </c>
      <c r="D205">
        <v>1.2E-2</v>
      </c>
      <c r="E205">
        <v>4.5999999999999999E-3</v>
      </c>
      <c r="F205">
        <v>1.5E-3</v>
      </c>
    </row>
    <row r="206" spans="1:6" x14ac:dyDescent="0.3">
      <c r="A206" s="3">
        <v>42298</v>
      </c>
      <c r="B206">
        <v>-7.4000000000000003E-3</v>
      </c>
      <c r="C206">
        <v>-9.1000000000000004E-3</v>
      </c>
      <c r="D206">
        <v>-2.0999999999999999E-3</v>
      </c>
      <c r="E206">
        <v>4.5999999999999999E-3</v>
      </c>
      <c r="F206">
        <v>1.6000000000000001E-3</v>
      </c>
    </row>
    <row r="207" spans="1:6" x14ac:dyDescent="0.3">
      <c r="A207" s="3">
        <v>42299</v>
      </c>
      <c r="B207">
        <v>1.4999999999999999E-2</v>
      </c>
      <c r="C207">
        <v>-7.6E-3</v>
      </c>
      <c r="D207">
        <v>3.4000000000000002E-3</v>
      </c>
      <c r="E207">
        <v>4.0000000000000002E-4</v>
      </c>
      <c r="F207">
        <v>5.1000000000000004E-3</v>
      </c>
    </row>
    <row r="208" spans="1:6" x14ac:dyDescent="0.3">
      <c r="A208" s="3">
        <v>42300</v>
      </c>
      <c r="B208">
        <v>1.09E-2</v>
      </c>
      <c r="C208">
        <v>-2.9999999999999997E-4</v>
      </c>
      <c r="D208">
        <v>-5.5000000000000005E-3</v>
      </c>
      <c r="E208">
        <v>2E-3</v>
      </c>
      <c r="F208">
        <v>-6.6E-3</v>
      </c>
    </row>
    <row r="209" spans="1:6" x14ac:dyDescent="0.3">
      <c r="A209" s="3">
        <v>42303</v>
      </c>
      <c r="B209">
        <v>-2E-3</v>
      </c>
      <c r="C209">
        <v>-4.4000000000000003E-3</v>
      </c>
      <c r="D209">
        <v>-7.1999999999999998E-3</v>
      </c>
      <c r="E209">
        <v>2.3E-3</v>
      </c>
      <c r="F209">
        <v>-1E-3</v>
      </c>
    </row>
    <row r="210" spans="1:6" x14ac:dyDescent="0.3">
      <c r="A210" s="3">
        <v>42304</v>
      </c>
      <c r="B210">
        <v>-4.1999999999999997E-3</v>
      </c>
      <c r="C210">
        <v>-1.06E-2</v>
      </c>
      <c r="D210">
        <v>-9.1999999999999998E-3</v>
      </c>
      <c r="E210">
        <v>-4.0999999999999995E-3</v>
      </c>
      <c r="F210">
        <v>-5.0000000000000001E-3</v>
      </c>
    </row>
    <row r="211" spans="1:6" x14ac:dyDescent="0.3">
      <c r="A211" s="3">
        <v>42305</v>
      </c>
      <c r="B211">
        <v>1.43E-2</v>
      </c>
      <c r="C211">
        <v>1.52E-2</v>
      </c>
      <c r="D211">
        <v>6.7000000000000002E-3</v>
      </c>
      <c r="E211">
        <v>-6.8000000000000005E-3</v>
      </c>
      <c r="F211">
        <v>-1.5E-3</v>
      </c>
    </row>
    <row r="212" spans="1:6" x14ac:dyDescent="0.3">
      <c r="A212" s="3">
        <v>42306</v>
      </c>
      <c r="B212">
        <v>-2E-3</v>
      </c>
      <c r="C212">
        <v>-8.3000000000000001E-3</v>
      </c>
      <c r="D212">
        <v>-8.0000000000000004E-4</v>
      </c>
      <c r="E212">
        <v>3.7000000000000002E-3</v>
      </c>
      <c r="F212">
        <v>-2.8000000000000004E-3</v>
      </c>
    </row>
    <row r="213" spans="1:6" x14ac:dyDescent="0.3">
      <c r="A213" s="3">
        <v>42307</v>
      </c>
      <c r="B213">
        <v>-4.1999999999999997E-3</v>
      </c>
      <c r="C213">
        <v>1.8E-3</v>
      </c>
      <c r="D213">
        <v>-5.6000000000000008E-3</v>
      </c>
      <c r="E213">
        <v>3.4999999999999996E-3</v>
      </c>
      <c r="F213">
        <v>1.1000000000000001E-3</v>
      </c>
    </row>
    <row r="214" spans="1:6" x14ac:dyDescent="0.3">
      <c r="A214" s="3">
        <v>42310</v>
      </c>
      <c r="B214">
        <v>1.2500000000000001E-2</v>
      </c>
      <c r="C214">
        <v>9.0000000000000011E-3</v>
      </c>
      <c r="D214">
        <v>-2.0000000000000001E-4</v>
      </c>
      <c r="E214">
        <v>-5.5000000000000005E-3</v>
      </c>
      <c r="F214">
        <v>5.0000000000000001E-4</v>
      </c>
    </row>
    <row r="215" spans="1:6" x14ac:dyDescent="0.3">
      <c r="A215" s="3">
        <v>42311</v>
      </c>
      <c r="B215">
        <v>3.2000000000000002E-3</v>
      </c>
      <c r="C215">
        <v>4.3E-3</v>
      </c>
      <c r="D215">
        <v>2.5000000000000001E-3</v>
      </c>
      <c r="E215">
        <v>0</v>
      </c>
      <c r="F215">
        <v>-1.1999999999999999E-3</v>
      </c>
    </row>
    <row r="216" spans="1:6" x14ac:dyDescent="0.3">
      <c r="A216" s="3">
        <v>42312</v>
      </c>
      <c r="B216">
        <v>-2.5999999999999999E-3</v>
      </c>
      <c r="C216">
        <v>1.8E-3</v>
      </c>
      <c r="D216">
        <v>-3.2000000000000002E-3</v>
      </c>
      <c r="E216">
        <v>-6.0999999999999995E-3</v>
      </c>
      <c r="F216">
        <v>-6.8999999999999999E-3</v>
      </c>
    </row>
    <row r="217" spans="1:6" x14ac:dyDescent="0.3">
      <c r="A217" s="3">
        <v>42313</v>
      </c>
      <c r="B217">
        <v>-8.0000000000000004E-4</v>
      </c>
      <c r="C217">
        <v>5.0000000000000001E-4</v>
      </c>
      <c r="D217">
        <v>5.0000000000000001E-3</v>
      </c>
      <c r="E217">
        <v>2.0000000000000001E-4</v>
      </c>
      <c r="F217">
        <v>1.6000000000000001E-3</v>
      </c>
    </row>
    <row r="218" spans="1:6" x14ac:dyDescent="0.3">
      <c r="A218" s="3">
        <v>42314</v>
      </c>
      <c r="B218">
        <v>1.4000000000000002E-3</v>
      </c>
      <c r="C218">
        <v>9.0000000000000011E-3</v>
      </c>
      <c r="D218">
        <v>3.0000000000000001E-3</v>
      </c>
      <c r="E218">
        <v>-5.1999999999999998E-3</v>
      </c>
      <c r="F218">
        <v>-1.2999999999999999E-3</v>
      </c>
    </row>
    <row r="219" spans="1:6" x14ac:dyDescent="0.3">
      <c r="A219" s="3">
        <v>42317</v>
      </c>
      <c r="B219">
        <v>-9.4999999999999998E-3</v>
      </c>
      <c r="C219">
        <v>-3.0000000000000001E-3</v>
      </c>
      <c r="D219">
        <v>-2.9999999999999997E-4</v>
      </c>
      <c r="E219">
        <v>-6.3E-3</v>
      </c>
      <c r="F219">
        <v>-5.0000000000000001E-4</v>
      </c>
    </row>
    <row r="220" spans="1:6" x14ac:dyDescent="0.3">
      <c r="A220" s="3">
        <v>42318</v>
      </c>
      <c r="B220">
        <v>1.2999999999999999E-3</v>
      </c>
      <c r="C220">
        <v>-1E-4</v>
      </c>
      <c r="D220">
        <v>2.2000000000000001E-3</v>
      </c>
      <c r="E220">
        <v>-1.2999999999999999E-3</v>
      </c>
      <c r="F220">
        <v>2.0999999999999999E-3</v>
      </c>
    </row>
    <row r="221" spans="1:6" x14ac:dyDescent="0.3">
      <c r="A221" s="3">
        <v>42319</v>
      </c>
      <c r="B221">
        <v>-4.3E-3</v>
      </c>
      <c r="C221">
        <v>-5.5000000000000005E-3</v>
      </c>
      <c r="D221">
        <v>-1.8E-3</v>
      </c>
      <c r="E221">
        <v>-7.000000000000001E-4</v>
      </c>
      <c r="F221">
        <v>1.1000000000000001E-3</v>
      </c>
    </row>
    <row r="222" spans="1:6" x14ac:dyDescent="0.3">
      <c r="A222" s="3">
        <v>42320</v>
      </c>
      <c r="B222">
        <v>-1.4499999999999999E-2</v>
      </c>
      <c r="C222">
        <v>-5.7999999999999996E-3</v>
      </c>
      <c r="D222">
        <v>-4.0999999999999995E-3</v>
      </c>
      <c r="E222">
        <v>1.5E-3</v>
      </c>
      <c r="F222">
        <v>-2.7000000000000001E-3</v>
      </c>
    </row>
    <row r="223" spans="1:6" x14ac:dyDescent="0.3">
      <c r="A223" s="3">
        <v>42321</v>
      </c>
      <c r="B223">
        <v>-1.0700000000000001E-2</v>
      </c>
      <c r="C223">
        <v>3.2000000000000002E-3</v>
      </c>
      <c r="D223">
        <v>3.4999999999999996E-3</v>
      </c>
      <c r="E223">
        <v>-5.4000000000000003E-3</v>
      </c>
      <c r="F223">
        <v>3.9000000000000003E-3</v>
      </c>
    </row>
    <row r="224" spans="1:6" x14ac:dyDescent="0.3">
      <c r="A224" s="3">
        <v>42324</v>
      </c>
      <c r="B224">
        <v>1.3899999999999999E-2</v>
      </c>
      <c r="C224">
        <v>-5.4000000000000003E-3</v>
      </c>
      <c r="D224">
        <v>4.7999999999999996E-3</v>
      </c>
      <c r="E224">
        <v>1.7000000000000001E-3</v>
      </c>
      <c r="F224">
        <v>-1.7000000000000001E-3</v>
      </c>
    </row>
    <row r="225" spans="1:6" x14ac:dyDescent="0.3">
      <c r="A225" s="3">
        <v>42325</v>
      </c>
      <c r="B225">
        <v>-1.1000000000000001E-3</v>
      </c>
      <c r="C225">
        <v>-2.2000000000000001E-3</v>
      </c>
      <c r="D225">
        <v>-6.4000000000000003E-3</v>
      </c>
      <c r="E225">
        <v>2.9999999999999997E-4</v>
      </c>
      <c r="F225">
        <v>-1.6000000000000001E-3</v>
      </c>
    </row>
    <row r="226" spans="1:6" x14ac:dyDescent="0.3">
      <c r="A226" s="3">
        <v>42326</v>
      </c>
      <c r="B226">
        <v>1.61E-2</v>
      </c>
      <c r="C226">
        <v>-2.0000000000000001E-4</v>
      </c>
      <c r="D226">
        <v>-7.000000000000001E-4</v>
      </c>
      <c r="E226">
        <v>-1.2999999999999999E-3</v>
      </c>
      <c r="F226">
        <v>-3.2000000000000002E-3</v>
      </c>
    </row>
    <row r="227" spans="1:6" x14ac:dyDescent="0.3">
      <c r="A227" s="3">
        <v>42327</v>
      </c>
      <c r="B227">
        <v>-1.2999999999999999E-3</v>
      </c>
      <c r="C227">
        <v>-2.5999999999999999E-3</v>
      </c>
      <c r="D227">
        <v>-1.6000000000000001E-3</v>
      </c>
      <c r="E227">
        <v>1.8E-3</v>
      </c>
      <c r="F227">
        <v>8.0000000000000004E-4</v>
      </c>
    </row>
    <row r="228" spans="1:6" x14ac:dyDescent="0.3">
      <c r="A228" s="3">
        <v>42328</v>
      </c>
      <c r="B228">
        <v>3.4999999999999996E-3</v>
      </c>
      <c r="C228">
        <v>4.0999999999999995E-3</v>
      </c>
      <c r="D228">
        <v>-3.8E-3</v>
      </c>
      <c r="E228">
        <v>2.8999999999999998E-3</v>
      </c>
      <c r="F228">
        <v>4.0000000000000002E-4</v>
      </c>
    </row>
    <row r="229" spans="1:6" x14ac:dyDescent="0.3">
      <c r="A229" s="3">
        <v>42331</v>
      </c>
      <c r="B229">
        <v>-1E-4</v>
      </c>
      <c r="C229">
        <v>6.0000000000000001E-3</v>
      </c>
      <c r="D229">
        <v>-3.4999999999999996E-3</v>
      </c>
      <c r="E229">
        <v>8.0000000000000004E-4</v>
      </c>
      <c r="F229">
        <v>-1.4000000000000002E-3</v>
      </c>
    </row>
    <row r="230" spans="1:6" x14ac:dyDescent="0.3">
      <c r="A230" s="3">
        <v>42332</v>
      </c>
      <c r="B230">
        <v>2.0999999999999999E-3</v>
      </c>
      <c r="C230">
        <v>7.4000000000000003E-3</v>
      </c>
      <c r="D230">
        <v>2.5000000000000001E-3</v>
      </c>
      <c r="E230">
        <v>1.8E-3</v>
      </c>
      <c r="F230">
        <v>1.2999999999999999E-3</v>
      </c>
    </row>
    <row r="231" spans="1:6" x14ac:dyDescent="0.3">
      <c r="A231" s="3">
        <v>42333</v>
      </c>
      <c r="B231">
        <v>8.9999999999999998E-4</v>
      </c>
      <c r="C231">
        <v>8.5000000000000006E-3</v>
      </c>
      <c r="D231">
        <v>-5.5000000000000005E-3</v>
      </c>
      <c r="E231">
        <v>-1E-3</v>
      </c>
      <c r="F231">
        <v>-7.000000000000001E-4</v>
      </c>
    </row>
    <row r="232" spans="1:6" x14ac:dyDescent="0.3">
      <c r="A232" s="3">
        <v>42335</v>
      </c>
      <c r="B232">
        <v>8.9999999999999998E-4</v>
      </c>
      <c r="C232">
        <v>2.0999999999999999E-3</v>
      </c>
      <c r="D232">
        <v>-2.8999999999999998E-3</v>
      </c>
      <c r="E232">
        <v>-1.5E-3</v>
      </c>
      <c r="F232">
        <v>7.000000000000001E-4</v>
      </c>
    </row>
    <row r="233" spans="1:6" x14ac:dyDescent="0.3">
      <c r="A233" s="3">
        <v>42338</v>
      </c>
      <c r="B233">
        <v>-4.6999999999999993E-3</v>
      </c>
      <c r="C233">
        <v>2E-3</v>
      </c>
      <c r="D233">
        <v>6.7000000000000002E-3</v>
      </c>
      <c r="E233">
        <v>-2.3E-3</v>
      </c>
      <c r="F233">
        <v>2.9999999999999997E-4</v>
      </c>
    </row>
    <row r="234" spans="1:6" x14ac:dyDescent="0.3">
      <c r="A234" s="3">
        <v>42339</v>
      </c>
      <c r="B234">
        <v>9.7000000000000003E-3</v>
      </c>
      <c r="C234">
        <v>-6.3E-3</v>
      </c>
      <c r="D234">
        <v>2.5000000000000001E-3</v>
      </c>
      <c r="E234">
        <v>-8.0000000000000004E-4</v>
      </c>
      <c r="F234">
        <v>-1.1999999999999999E-3</v>
      </c>
    </row>
    <row r="235" spans="1:6" x14ac:dyDescent="0.3">
      <c r="A235" s="3">
        <v>42340</v>
      </c>
      <c r="B235">
        <v>-1.01E-2</v>
      </c>
      <c r="C235">
        <v>2E-3</v>
      </c>
      <c r="D235">
        <v>-6.9999999999999993E-3</v>
      </c>
      <c r="E235">
        <v>5.0000000000000001E-4</v>
      </c>
      <c r="F235">
        <v>-8.0000000000000004E-4</v>
      </c>
    </row>
    <row r="236" spans="1:6" x14ac:dyDescent="0.3">
      <c r="A236" s="3">
        <v>42341</v>
      </c>
      <c r="B236">
        <v>-1.4999999999999999E-2</v>
      </c>
      <c r="C236">
        <v>-1.8E-3</v>
      </c>
      <c r="D236">
        <v>3.9000000000000003E-3</v>
      </c>
      <c r="E236">
        <v>3.3E-3</v>
      </c>
      <c r="F236">
        <v>2.5000000000000001E-3</v>
      </c>
    </row>
    <row r="237" spans="1:6" x14ac:dyDescent="0.3">
      <c r="A237" s="3">
        <v>42342</v>
      </c>
      <c r="B237">
        <v>1.8700000000000001E-2</v>
      </c>
      <c r="C237">
        <v>-1.04E-2</v>
      </c>
      <c r="D237">
        <v>-4.7999999999999996E-3</v>
      </c>
      <c r="E237">
        <v>1.4000000000000002E-3</v>
      </c>
      <c r="F237">
        <v>-3.3E-3</v>
      </c>
    </row>
    <row r="238" spans="1:6" x14ac:dyDescent="0.3">
      <c r="A238" s="3">
        <v>42345</v>
      </c>
      <c r="B238">
        <v>-8.3999999999999995E-3</v>
      </c>
      <c r="C238">
        <v>-8.8000000000000005E-3</v>
      </c>
      <c r="D238">
        <v>-6.7000000000000002E-3</v>
      </c>
      <c r="E238">
        <v>7.0999999999999995E-3</v>
      </c>
      <c r="F238">
        <v>1.1999999999999999E-3</v>
      </c>
    </row>
    <row r="239" spans="1:6" x14ac:dyDescent="0.3">
      <c r="A239" s="3">
        <v>42346</v>
      </c>
      <c r="B239">
        <v>-5.8999999999999999E-3</v>
      </c>
      <c r="C239">
        <v>2.5000000000000001E-3</v>
      </c>
      <c r="D239">
        <v>-1.1899999999999999E-2</v>
      </c>
      <c r="E239">
        <v>-1.7000000000000001E-3</v>
      </c>
      <c r="F239">
        <v>-6.5000000000000006E-3</v>
      </c>
    </row>
    <row r="240" spans="1:6" x14ac:dyDescent="0.3">
      <c r="A240" s="3">
        <v>42347</v>
      </c>
      <c r="B240">
        <v>-8.3000000000000001E-3</v>
      </c>
      <c r="C240">
        <v>-2.3E-3</v>
      </c>
      <c r="D240">
        <v>3.9000000000000003E-3</v>
      </c>
      <c r="E240">
        <v>5.0000000000000001E-3</v>
      </c>
      <c r="F240">
        <v>5.5000000000000005E-3</v>
      </c>
    </row>
    <row r="241" spans="1:6" x14ac:dyDescent="0.3">
      <c r="A241" s="3">
        <v>42348</v>
      </c>
      <c r="B241">
        <v>3.0000000000000001E-3</v>
      </c>
      <c r="C241">
        <v>1E-3</v>
      </c>
      <c r="D241">
        <v>-2.3999999999999998E-3</v>
      </c>
      <c r="E241">
        <v>1.1999999999999999E-3</v>
      </c>
      <c r="F241">
        <v>-1.5E-3</v>
      </c>
    </row>
    <row r="242" spans="1:6" x14ac:dyDescent="0.3">
      <c r="A242" s="3">
        <v>42349</v>
      </c>
      <c r="B242">
        <v>-2.0299999999999999E-2</v>
      </c>
      <c r="C242">
        <v>-2E-3</v>
      </c>
      <c r="D242">
        <v>-5.9999999999999995E-4</v>
      </c>
      <c r="E242">
        <v>2.0999999999999999E-3</v>
      </c>
      <c r="F242">
        <v>2.8999999999999998E-3</v>
      </c>
    </row>
    <row r="243" spans="1:6" x14ac:dyDescent="0.3">
      <c r="A243" s="3">
        <v>42352</v>
      </c>
      <c r="B243">
        <v>2.8999999999999998E-3</v>
      </c>
      <c r="C243">
        <v>-1.11E-2</v>
      </c>
      <c r="D243">
        <v>-1.7000000000000001E-3</v>
      </c>
      <c r="E243">
        <v>1.1999999999999999E-3</v>
      </c>
      <c r="F243">
        <v>-3.8E-3</v>
      </c>
    </row>
    <row r="244" spans="1:6" x14ac:dyDescent="0.3">
      <c r="A244" s="3">
        <v>42353</v>
      </c>
      <c r="B244">
        <v>1.1000000000000001E-2</v>
      </c>
      <c r="C244">
        <v>1.9E-3</v>
      </c>
      <c r="D244">
        <v>7.9000000000000008E-3</v>
      </c>
      <c r="E244">
        <v>-7.9000000000000008E-3</v>
      </c>
      <c r="F244">
        <v>2.0000000000000001E-4</v>
      </c>
    </row>
    <row r="245" spans="1:6" x14ac:dyDescent="0.3">
      <c r="A245" s="3">
        <v>42354</v>
      </c>
      <c r="B245">
        <v>1.47E-2</v>
      </c>
      <c r="C245">
        <v>1E-4</v>
      </c>
      <c r="D245">
        <v>-6.7000000000000002E-3</v>
      </c>
      <c r="E245">
        <v>-1.4000000000000002E-3</v>
      </c>
      <c r="F245">
        <v>-1.1999999999999999E-3</v>
      </c>
    </row>
    <row r="246" spans="1:6" x14ac:dyDescent="0.3">
      <c r="A246" s="3">
        <v>42355</v>
      </c>
      <c r="B246">
        <v>-1.46E-2</v>
      </c>
      <c r="C246">
        <v>3.3E-3</v>
      </c>
      <c r="D246">
        <v>-3.5999999999999999E-3</v>
      </c>
      <c r="E246">
        <v>-2.3E-3</v>
      </c>
      <c r="F246">
        <v>1E-4</v>
      </c>
    </row>
    <row r="247" spans="1:6" x14ac:dyDescent="0.3">
      <c r="A247" s="3">
        <v>42356</v>
      </c>
      <c r="B247">
        <v>-1.7000000000000001E-2</v>
      </c>
      <c r="C247">
        <v>6.9999999999999993E-3</v>
      </c>
      <c r="D247">
        <v>-3.5999999999999999E-3</v>
      </c>
      <c r="E247">
        <v>-3.0000000000000001E-3</v>
      </c>
      <c r="F247">
        <v>2.5000000000000001E-3</v>
      </c>
    </row>
    <row r="248" spans="1:6" x14ac:dyDescent="0.3">
      <c r="A248" s="3">
        <v>42359</v>
      </c>
      <c r="B248">
        <v>7.4000000000000003E-3</v>
      </c>
      <c r="C248">
        <v>-1.7000000000000001E-3</v>
      </c>
      <c r="D248">
        <v>-8.0000000000000004E-4</v>
      </c>
      <c r="E248">
        <v>-1.2999999999999999E-3</v>
      </c>
      <c r="F248">
        <v>8.0000000000000004E-4</v>
      </c>
    </row>
    <row r="249" spans="1:6" x14ac:dyDescent="0.3">
      <c r="A249" s="3">
        <v>42360</v>
      </c>
      <c r="B249">
        <v>8.8999999999999999E-3</v>
      </c>
      <c r="C249">
        <v>0</v>
      </c>
      <c r="D249">
        <v>5.1000000000000004E-3</v>
      </c>
      <c r="E249">
        <v>2.0999999999999999E-3</v>
      </c>
      <c r="F249">
        <v>4.5000000000000005E-3</v>
      </c>
    </row>
    <row r="250" spans="1:6" x14ac:dyDescent="0.3">
      <c r="A250" s="3">
        <v>42361</v>
      </c>
      <c r="B250">
        <v>1.3000000000000001E-2</v>
      </c>
      <c r="C250">
        <v>2.3E-3</v>
      </c>
      <c r="D250">
        <v>5.6000000000000008E-3</v>
      </c>
      <c r="E250">
        <v>-1E-4</v>
      </c>
      <c r="F250">
        <v>1.6000000000000001E-3</v>
      </c>
    </row>
    <row r="251" spans="1:6" x14ac:dyDescent="0.3">
      <c r="A251" s="3">
        <v>42362</v>
      </c>
      <c r="B251">
        <v>-1.1000000000000001E-3</v>
      </c>
      <c r="C251">
        <v>2.7000000000000001E-3</v>
      </c>
      <c r="D251">
        <v>-2.0000000000000001E-4</v>
      </c>
      <c r="E251">
        <v>-2E-3</v>
      </c>
      <c r="F251">
        <v>1.1999999999999999E-3</v>
      </c>
    </row>
    <row r="252" spans="1:6" x14ac:dyDescent="0.3">
      <c r="A252" s="3">
        <v>42366</v>
      </c>
      <c r="B252">
        <v>-2.8000000000000004E-3</v>
      </c>
      <c r="C252">
        <v>-5.1999999999999998E-3</v>
      </c>
      <c r="D252">
        <v>-3.4999999999999996E-3</v>
      </c>
      <c r="E252">
        <v>1E-3</v>
      </c>
      <c r="F252">
        <v>-7.000000000000001E-4</v>
      </c>
    </row>
    <row r="253" spans="1:6" x14ac:dyDescent="0.3">
      <c r="A253" s="3">
        <v>42367</v>
      </c>
      <c r="B253">
        <v>1.0500000000000001E-2</v>
      </c>
      <c r="C253">
        <v>2.9999999999999997E-4</v>
      </c>
      <c r="D253">
        <v>-2.8999999999999998E-3</v>
      </c>
      <c r="E253">
        <v>1E-4</v>
      </c>
      <c r="F253">
        <v>-3.2000000000000002E-3</v>
      </c>
    </row>
    <row r="254" spans="1:6" x14ac:dyDescent="0.3">
      <c r="A254" s="3">
        <v>42368</v>
      </c>
      <c r="B254">
        <v>-7.4000000000000003E-3</v>
      </c>
      <c r="C254">
        <v>-1.7000000000000001E-3</v>
      </c>
      <c r="D254">
        <v>-1.5E-3</v>
      </c>
      <c r="E254">
        <v>7.000000000000001E-4</v>
      </c>
      <c r="F254">
        <v>1.7000000000000001E-3</v>
      </c>
    </row>
    <row r="255" spans="1:6" x14ac:dyDescent="0.3">
      <c r="A255" s="3">
        <v>42369</v>
      </c>
      <c r="B255">
        <v>-9.1999999999999998E-3</v>
      </c>
      <c r="C255">
        <v>-2.3E-3</v>
      </c>
      <c r="D255">
        <v>2.3E-3</v>
      </c>
      <c r="E255">
        <v>-1.1999999999999999E-3</v>
      </c>
      <c r="F255">
        <v>8.9999999999999998E-4</v>
      </c>
    </row>
    <row r="256" spans="1:6" x14ac:dyDescent="0.3">
      <c r="A256" s="3">
        <v>42373</v>
      </c>
      <c r="B256">
        <v>-1.5900000000000001E-2</v>
      </c>
      <c r="C256">
        <v>-7.6E-3</v>
      </c>
      <c r="D256">
        <v>5.1999999999999998E-3</v>
      </c>
      <c r="E256">
        <v>3.4999999999999996E-3</v>
      </c>
      <c r="F256">
        <v>4.0000000000000001E-3</v>
      </c>
    </row>
    <row r="257" spans="1:6" x14ac:dyDescent="0.3">
      <c r="A257" s="3">
        <v>42374</v>
      </c>
      <c r="B257">
        <v>1.1999999999999999E-3</v>
      </c>
      <c r="C257">
        <v>-2.3999999999999998E-3</v>
      </c>
      <c r="D257">
        <v>1E-4</v>
      </c>
      <c r="E257">
        <v>7.000000000000001E-4</v>
      </c>
      <c r="F257">
        <v>3.0999999999999999E-3</v>
      </c>
    </row>
    <row r="258" spans="1:6" x14ac:dyDescent="0.3">
      <c r="A258" s="3">
        <v>42375</v>
      </c>
      <c r="B258">
        <v>-1.3500000000000002E-2</v>
      </c>
      <c r="C258">
        <v>-2.2000000000000001E-3</v>
      </c>
      <c r="D258">
        <v>0</v>
      </c>
      <c r="E258">
        <v>1.6000000000000001E-3</v>
      </c>
      <c r="F258">
        <v>5.0000000000000001E-4</v>
      </c>
    </row>
    <row r="259" spans="1:6" x14ac:dyDescent="0.3">
      <c r="A259" s="3">
        <v>42376</v>
      </c>
      <c r="B259">
        <v>-2.4399999999999998E-2</v>
      </c>
      <c r="C259">
        <v>-2.8000000000000004E-3</v>
      </c>
      <c r="D259">
        <v>8.9999999999999998E-4</v>
      </c>
      <c r="E259">
        <v>5.1999999999999998E-3</v>
      </c>
      <c r="F259">
        <v>3.5999999999999999E-3</v>
      </c>
    </row>
    <row r="260" spans="1:6" x14ac:dyDescent="0.3">
      <c r="A260" s="3">
        <v>42377</v>
      </c>
      <c r="B260">
        <v>-1.11E-2</v>
      </c>
      <c r="C260">
        <v>-5.1000000000000004E-3</v>
      </c>
      <c r="D260">
        <v>-4.0000000000000002E-4</v>
      </c>
      <c r="E260">
        <v>2.5000000000000001E-3</v>
      </c>
      <c r="F260">
        <v>5.9999999999999995E-4</v>
      </c>
    </row>
    <row r="261" spans="1:6" x14ac:dyDescent="0.3">
      <c r="A261" s="3">
        <v>42380</v>
      </c>
      <c r="B261">
        <v>-5.9999999999999995E-4</v>
      </c>
      <c r="C261">
        <v>-6.0999999999999995E-3</v>
      </c>
      <c r="D261">
        <v>3.8E-3</v>
      </c>
      <c r="E261">
        <v>6.8999999999999999E-3</v>
      </c>
      <c r="F261">
        <v>3.3E-3</v>
      </c>
    </row>
    <row r="262" spans="1:6" x14ac:dyDescent="0.3">
      <c r="A262" s="3">
        <v>42381</v>
      </c>
      <c r="B262">
        <v>7.1999999999999998E-3</v>
      </c>
      <c r="C262">
        <v>-4.6999999999999993E-3</v>
      </c>
      <c r="D262">
        <v>-7.9000000000000008E-3</v>
      </c>
      <c r="E262">
        <v>-8.0000000000000004E-4</v>
      </c>
      <c r="F262">
        <v>-3.8E-3</v>
      </c>
    </row>
    <row r="263" spans="1:6" x14ac:dyDescent="0.3">
      <c r="A263" s="3">
        <v>42382</v>
      </c>
      <c r="B263">
        <v>-2.6699999999999998E-2</v>
      </c>
      <c r="C263">
        <v>-6.0999999999999995E-3</v>
      </c>
      <c r="D263">
        <v>8.1000000000000013E-3</v>
      </c>
      <c r="E263">
        <v>4.0000000000000001E-3</v>
      </c>
      <c r="F263">
        <v>6.3E-3</v>
      </c>
    </row>
    <row r="264" spans="1:6" x14ac:dyDescent="0.3">
      <c r="A264" s="3">
        <v>42383</v>
      </c>
      <c r="B264">
        <v>1.6500000000000001E-2</v>
      </c>
      <c r="C264">
        <v>-5.0000000000000001E-4</v>
      </c>
      <c r="D264">
        <v>-3.8E-3</v>
      </c>
      <c r="E264">
        <v>-6.0000000000000001E-3</v>
      </c>
      <c r="F264">
        <v>-4.0999999999999995E-3</v>
      </c>
    </row>
    <row r="265" spans="1:6" x14ac:dyDescent="0.3">
      <c r="A265" s="3">
        <v>42384</v>
      </c>
      <c r="B265">
        <v>-2.1400000000000002E-2</v>
      </c>
      <c r="C265">
        <v>3.9000000000000003E-3</v>
      </c>
      <c r="D265">
        <v>-2.3999999999999998E-3</v>
      </c>
      <c r="E265">
        <v>3.7000000000000002E-3</v>
      </c>
      <c r="F265">
        <v>4.5000000000000005E-3</v>
      </c>
    </row>
    <row r="266" spans="1:6" x14ac:dyDescent="0.3">
      <c r="A266" s="3">
        <v>42388</v>
      </c>
      <c r="B266">
        <v>-2E-3</v>
      </c>
      <c r="C266">
        <v>-1.3600000000000001E-2</v>
      </c>
      <c r="D266">
        <v>-5.0000000000000001E-4</v>
      </c>
      <c r="E266">
        <v>3.4999999999999996E-3</v>
      </c>
      <c r="F266">
        <v>2.3999999999999998E-3</v>
      </c>
    </row>
    <row r="267" spans="1:6" x14ac:dyDescent="0.3">
      <c r="A267" s="3">
        <v>42389</v>
      </c>
      <c r="B267">
        <v>-9.3999999999999986E-3</v>
      </c>
      <c r="C267">
        <v>1.7500000000000002E-2</v>
      </c>
      <c r="D267">
        <v>-1.2500000000000001E-2</v>
      </c>
      <c r="E267">
        <v>1E-3</v>
      </c>
      <c r="F267">
        <v>-5.1999999999999998E-3</v>
      </c>
    </row>
    <row r="268" spans="1:6" x14ac:dyDescent="0.3">
      <c r="A268" s="3">
        <v>42390</v>
      </c>
      <c r="B268">
        <v>4.5000000000000005E-3</v>
      </c>
      <c r="C268">
        <v>-4.6999999999999993E-3</v>
      </c>
      <c r="D268">
        <v>-1E-4</v>
      </c>
      <c r="E268">
        <v>4.7999999999999996E-3</v>
      </c>
      <c r="F268">
        <v>6.3E-3</v>
      </c>
    </row>
    <row r="269" spans="1:6" x14ac:dyDescent="0.3">
      <c r="A269" s="3">
        <v>42391</v>
      </c>
      <c r="B269">
        <v>2.0799999999999999E-2</v>
      </c>
      <c r="C269">
        <v>1.2999999999999999E-3</v>
      </c>
      <c r="D269">
        <v>-2.0999999999999999E-3</v>
      </c>
      <c r="E269">
        <v>-4.6999999999999993E-3</v>
      </c>
      <c r="F269">
        <v>-6.5000000000000006E-3</v>
      </c>
    </row>
    <row r="270" spans="1:6" x14ac:dyDescent="0.3">
      <c r="A270" s="3">
        <v>42394</v>
      </c>
      <c r="B270">
        <v>-1.7100000000000001E-2</v>
      </c>
      <c r="C270">
        <v>-5.4000000000000003E-3</v>
      </c>
      <c r="D270">
        <v>-9.4999999999999998E-3</v>
      </c>
      <c r="E270">
        <v>3.2000000000000002E-3</v>
      </c>
      <c r="F270">
        <v>0</v>
      </c>
    </row>
    <row r="271" spans="1:6" x14ac:dyDescent="0.3">
      <c r="A271" s="3">
        <v>42395</v>
      </c>
      <c r="B271">
        <v>1.52E-2</v>
      </c>
      <c r="C271">
        <v>6.0000000000000001E-3</v>
      </c>
      <c r="D271">
        <v>1.1599999999999999E-2</v>
      </c>
      <c r="E271">
        <v>6.1999999999999998E-3</v>
      </c>
      <c r="F271">
        <v>6.1999999999999998E-3</v>
      </c>
    </row>
    <row r="272" spans="1:6" x14ac:dyDescent="0.3">
      <c r="A272" s="3">
        <v>42396</v>
      </c>
      <c r="B272">
        <v>-1.11E-2</v>
      </c>
      <c r="C272">
        <v>-4.1999999999999997E-3</v>
      </c>
      <c r="D272">
        <v>1.6799999999999999E-2</v>
      </c>
      <c r="E272">
        <v>-1.7000000000000001E-3</v>
      </c>
      <c r="F272">
        <v>9.1000000000000004E-3</v>
      </c>
    </row>
    <row r="273" spans="1:6" x14ac:dyDescent="0.3">
      <c r="A273" s="3">
        <v>42397</v>
      </c>
      <c r="B273">
        <v>4.8999999999999998E-3</v>
      </c>
      <c r="C273">
        <v>-5.5000000000000005E-3</v>
      </c>
      <c r="D273">
        <v>1.2500000000000001E-2</v>
      </c>
      <c r="E273">
        <v>-2.8999999999999998E-3</v>
      </c>
      <c r="F273">
        <v>-4.5000000000000005E-3</v>
      </c>
    </row>
    <row r="274" spans="1:6" x14ac:dyDescent="0.3">
      <c r="A274" s="3">
        <v>42398</v>
      </c>
      <c r="B274">
        <v>2.5699999999999997E-2</v>
      </c>
      <c r="C274">
        <v>5.8999999999999999E-3</v>
      </c>
      <c r="D274">
        <v>4.1999999999999997E-3</v>
      </c>
      <c r="E274">
        <v>-2.0000000000000001E-4</v>
      </c>
      <c r="F274">
        <v>4.0000000000000001E-3</v>
      </c>
    </row>
    <row r="275" spans="1:6" x14ac:dyDescent="0.3">
      <c r="A275" s="3">
        <v>42401</v>
      </c>
      <c r="B275">
        <v>-4.0000000000000002E-4</v>
      </c>
      <c r="C275">
        <v>-2.8999999999999998E-3</v>
      </c>
      <c r="D275">
        <v>-0.01</v>
      </c>
      <c r="E275">
        <v>1E-3</v>
      </c>
      <c r="F275">
        <v>-3.5999999999999999E-3</v>
      </c>
    </row>
    <row r="276" spans="1:6" x14ac:dyDescent="0.3">
      <c r="A276" s="3">
        <v>42402</v>
      </c>
      <c r="B276">
        <v>-0.02</v>
      </c>
      <c r="C276">
        <v>-1.5E-3</v>
      </c>
      <c r="D276">
        <v>-3.5999999999999999E-3</v>
      </c>
      <c r="E276">
        <v>2.8000000000000004E-3</v>
      </c>
      <c r="F276">
        <v>3.9000000000000003E-3</v>
      </c>
    </row>
    <row r="277" spans="1:6" x14ac:dyDescent="0.3">
      <c r="A277" s="3">
        <v>42403</v>
      </c>
      <c r="B277">
        <v>4.5999999999999999E-3</v>
      </c>
      <c r="C277">
        <v>-2.5000000000000001E-3</v>
      </c>
      <c r="D277">
        <v>4.5000000000000005E-3</v>
      </c>
      <c r="E277">
        <v>4.0000000000000001E-3</v>
      </c>
      <c r="F277">
        <v>3.2000000000000002E-3</v>
      </c>
    </row>
    <row r="278" spans="1:6" x14ac:dyDescent="0.3">
      <c r="A278" s="3">
        <v>42404</v>
      </c>
      <c r="B278">
        <v>2.7000000000000001E-3</v>
      </c>
      <c r="C278">
        <v>3.0999999999999999E-3</v>
      </c>
      <c r="D278">
        <v>3.7000000000000002E-3</v>
      </c>
      <c r="E278">
        <v>2.0999999999999999E-3</v>
      </c>
      <c r="F278">
        <v>0</v>
      </c>
    </row>
    <row r="279" spans="1:6" x14ac:dyDescent="0.3">
      <c r="A279" s="3">
        <v>42405</v>
      </c>
      <c r="B279">
        <v>-2.06E-2</v>
      </c>
      <c r="C279">
        <v>-7.3000000000000001E-3</v>
      </c>
      <c r="D279">
        <v>1.6299999999999999E-2</v>
      </c>
      <c r="E279">
        <v>1.04E-2</v>
      </c>
      <c r="F279">
        <v>1.18E-2</v>
      </c>
    </row>
    <row r="280" spans="1:6" x14ac:dyDescent="0.3">
      <c r="A280" s="3">
        <v>42408</v>
      </c>
      <c r="B280">
        <v>-1.5100000000000001E-2</v>
      </c>
      <c r="C280">
        <v>1.4000000000000002E-3</v>
      </c>
      <c r="D280">
        <v>8.3000000000000001E-3</v>
      </c>
      <c r="E280">
        <v>1.7000000000000001E-2</v>
      </c>
      <c r="F280">
        <v>8.6E-3</v>
      </c>
    </row>
    <row r="281" spans="1:6" x14ac:dyDescent="0.3">
      <c r="A281" s="3">
        <v>42409</v>
      </c>
      <c r="B281">
        <v>-8.9999999999999998E-4</v>
      </c>
      <c r="C281">
        <v>-5.5000000000000005E-3</v>
      </c>
      <c r="D281">
        <v>-2.5999999999999999E-3</v>
      </c>
      <c r="E281">
        <v>-5.0000000000000001E-4</v>
      </c>
      <c r="F281">
        <v>5.0000000000000001E-4</v>
      </c>
    </row>
    <row r="282" spans="1:6" x14ac:dyDescent="0.3">
      <c r="A282" s="3">
        <v>42410</v>
      </c>
      <c r="B282">
        <v>1E-4</v>
      </c>
      <c r="C282">
        <v>-2E-3</v>
      </c>
      <c r="D282">
        <v>-5.3E-3</v>
      </c>
      <c r="E282">
        <v>-2.8000000000000004E-3</v>
      </c>
      <c r="F282">
        <v>-6.8999999999999999E-3</v>
      </c>
    </row>
    <row r="283" spans="1:6" x14ac:dyDescent="0.3">
      <c r="A283" s="3">
        <v>42411</v>
      </c>
      <c r="B283">
        <v>-1.1699999999999999E-2</v>
      </c>
      <c r="C283">
        <v>3.0000000000000001E-3</v>
      </c>
      <c r="D283">
        <v>-1.4800000000000001E-2</v>
      </c>
      <c r="E283">
        <v>3.9000000000000003E-3</v>
      </c>
      <c r="F283">
        <v>-2.7000000000000001E-3</v>
      </c>
    </row>
    <row r="284" spans="1:6" x14ac:dyDescent="0.3">
      <c r="A284" s="3">
        <v>42412</v>
      </c>
      <c r="B284">
        <v>1.9799999999999998E-2</v>
      </c>
      <c r="C284">
        <v>-2.8000000000000004E-3</v>
      </c>
      <c r="D284">
        <v>1.11E-2</v>
      </c>
      <c r="E284">
        <v>-4.3E-3</v>
      </c>
      <c r="F284">
        <v>2.0999999999999999E-3</v>
      </c>
    </row>
    <row r="285" spans="1:6" x14ac:dyDescent="0.3">
      <c r="A285" s="3">
        <v>42416</v>
      </c>
      <c r="B285">
        <v>1.78E-2</v>
      </c>
      <c r="C285">
        <v>5.5000000000000005E-3</v>
      </c>
      <c r="D285">
        <v>-5.6000000000000008E-3</v>
      </c>
      <c r="E285">
        <v>2.0000000000000001E-4</v>
      </c>
      <c r="F285">
        <v>-2.3999999999999998E-3</v>
      </c>
    </row>
    <row r="286" spans="1:6" x14ac:dyDescent="0.3">
      <c r="A286" s="3">
        <v>42417</v>
      </c>
      <c r="B286">
        <v>1.7500000000000002E-2</v>
      </c>
      <c r="C286">
        <v>-1.4000000000000002E-3</v>
      </c>
      <c r="D286">
        <v>-6.5000000000000006E-3</v>
      </c>
      <c r="E286">
        <v>-4.0999999999999995E-3</v>
      </c>
      <c r="F286">
        <v>-3.7000000000000002E-3</v>
      </c>
    </row>
    <row r="287" spans="1:6" x14ac:dyDescent="0.3">
      <c r="A287" s="3">
        <v>42418</v>
      </c>
      <c r="B287">
        <v>-5.1000000000000004E-3</v>
      </c>
      <c r="C287">
        <v>-2.0000000000000001E-4</v>
      </c>
      <c r="D287">
        <v>2E-3</v>
      </c>
      <c r="E287">
        <v>4.0999999999999995E-3</v>
      </c>
      <c r="F287">
        <v>4.7999999999999996E-3</v>
      </c>
    </row>
    <row r="288" spans="1:6" x14ac:dyDescent="0.3">
      <c r="A288" s="3">
        <v>42419</v>
      </c>
      <c r="B288">
        <v>5.9999999999999995E-4</v>
      </c>
      <c r="C288">
        <v>2.7000000000000001E-3</v>
      </c>
      <c r="D288">
        <v>-5.7999999999999996E-3</v>
      </c>
      <c r="E288">
        <v>-6.4000000000000003E-3</v>
      </c>
      <c r="F288">
        <v>-3.8E-3</v>
      </c>
    </row>
    <row r="289" spans="1:6" x14ac:dyDescent="0.3">
      <c r="A289" s="3">
        <v>42422</v>
      </c>
      <c r="B289">
        <v>1.43E-2</v>
      </c>
      <c r="C289">
        <v>-1.8E-3</v>
      </c>
      <c r="D289">
        <v>2.8000000000000004E-3</v>
      </c>
      <c r="E289">
        <v>2.0999999999999999E-3</v>
      </c>
      <c r="F289">
        <v>-2.5999999999999999E-3</v>
      </c>
    </row>
    <row r="290" spans="1:6" x14ac:dyDescent="0.3">
      <c r="A290" s="3">
        <v>42423</v>
      </c>
      <c r="B290">
        <v>-1.2199999999999999E-2</v>
      </c>
      <c r="C290">
        <v>3.7000000000000002E-3</v>
      </c>
      <c r="D290">
        <v>-5.1000000000000004E-3</v>
      </c>
      <c r="E290">
        <v>7.7000000000000002E-3</v>
      </c>
      <c r="F290">
        <v>4.8999999999999998E-3</v>
      </c>
    </row>
    <row r="291" spans="1:6" x14ac:dyDescent="0.3">
      <c r="A291" s="3">
        <v>42424</v>
      </c>
      <c r="B291">
        <v>5.3E-3</v>
      </c>
      <c r="C291">
        <v>6.5000000000000006E-3</v>
      </c>
      <c r="D291">
        <v>-3.0999999999999999E-3</v>
      </c>
      <c r="E291">
        <v>-2.0000000000000001E-4</v>
      </c>
      <c r="F291">
        <v>1.5E-3</v>
      </c>
    </row>
    <row r="292" spans="1:6" x14ac:dyDescent="0.3">
      <c r="A292" s="3">
        <v>42425</v>
      </c>
      <c r="B292">
        <v>1.1000000000000001E-2</v>
      </c>
      <c r="C292">
        <v>-4.5000000000000005E-3</v>
      </c>
      <c r="D292">
        <v>2.3E-3</v>
      </c>
      <c r="E292">
        <v>-7.000000000000001E-4</v>
      </c>
      <c r="F292">
        <v>-2.5000000000000001E-3</v>
      </c>
    </row>
    <row r="293" spans="1:6" x14ac:dyDescent="0.3">
      <c r="A293" s="3">
        <v>42426</v>
      </c>
      <c r="B293">
        <v>-1E-4</v>
      </c>
      <c r="C293">
        <v>8.6E-3</v>
      </c>
      <c r="D293">
        <v>2.8000000000000004E-3</v>
      </c>
      <c r="E293">
        <v>-5.7999999999999996E-3</v>
      </c>
      <c r="F293">
        <v>-2.9999999999999997E-4</v>
      </c>
    </row>
    <row r="294" spans="1:6" x14ac:dyDescent="0.3">
      <c r="A294" s="3">
        <v>42429</v>
      </c>
      <c r="B294">
        <v>-6.8999999999999999E-3</v>
      </c>
      <c r="C294">
        <v>7.1999999999999998E-3</v>
      </c>
      <c r="D294">
        <v>2.5999999999999999E-3</v>
      </c>
      <c r="E294">
        <v>1.5E-3</v>
      </c>
      <c r="F294">
        <v>5.1000000000000004E-3</v>
      </c>
    </row>
    <row r="295" spans="1:6" x14ac:dyDescent="0.3">
      <c r="A295" s="3">
        <v>42430</v>
      </c>
      <c r="B295">
        <v>2.3399999999999997E-2</v>
      </c>
      <c r="C295">
        <v>-6.7000000000000002E-3</v>
      </c>
      <c r="D295">
        <v>3.9000000000000003E-3</v>
      </c>
      <c r="E295">
        <v>-6.0999999999999995E-3</v>
      </c>
      <c r="F295">
        <v>-6.0000000000000001E-3</v>
      </c>
    </row>
    <row r="296" spans="1:6" x14ac:dyDescent="0.3">
      <c r="A296" s="3">
        <v>42431</v>
      </c>
      <c r="B296">
        <v>5.4000000000000003E-3</v>
      </c>
      <c r="C296">
        <v>5.8999999999999999E-3</v>
      </c>
      <c r="D296">
        <v>6.7000000000000002E-3</v>
      </c>
      <c r="E296">
        <v>-7.3000000000000001E-3</v>
      </c>
      <c r="F296">
        <v>-5.9999999999999995E-4</v>
      </c>
    </row>
    <row r="297" spans="1:6" x14ac:dyDescent="0.3">
      <c r="A297" s="3">
        <v>42432</v>
      </c>
      <c r="B297">
        <v>5.1000000000000004E-3</v>
      </c>
      <c r="C297">
        <v>5.6000000000000008E-3</v>
      </c>
      <c r="D297">
        <v>6.3E-3</v>
      </c>
      <c r="E297">
        <v>2.8000000000000004E-3</v>
      </c>
      <c r="F297">
        <v>3.0999999999999999E-3</v>
      </c>
    </row>
    <row r="298" spans="1:6" x14ac:dyDescent="0.3">
      <c r="A298" s="3">
        <v>42433</v>
      </c>
      <c r="B298">
        <v>3.7000000000000002E-3</v>
      </c>
      <c r="C298">
        <v>3.3E-3</v>
      </c>
      <c r="D298">
        <v>2.8000000000000004E-3</v>
      </c>
      <c r="E298">
        <v>8.9999999999999998E-4</v>
      </c>
      <c r="F298">
        <v>8.9999999999999998E-4</v>
      </c>
    </row>
    <row r="299" spans="1:6" x14ac:dyDescent="0.3">
      <c r="A299" s="3">
        <v>42436</v>
      </c>
      <c r="B299">
        <v>2.0999999999999999E-3</v>
      </c>
      <c r="C299">
        <v>1.2699999999999999E-2</v>
      </c>
      <c r="D299">
        <v>5.0000000000000001E-3</v>
      </c>
      <c r="E299">
        <v>-4.4000000000000003E-3</v>
      </c>
      <c r="F299">
        <v>4.0000000000000001E-3</v>
      </c>
    </row>
    <row r="300" spans="1:6" x14ac:dyDescent="0.3">
      <c r="A300" s="3">
        <v>42437</v>
      </c>
      <c r="B300">
        <v>-1.2699999999999999E-2</v>
      </c>
      <c r="C300">
        <v>-1.2699999999999999E-2</v>
      </c>
      <c r="D300">
        <v>-4.6999999999999993E-3</v>
      </c>
      <c r="E300">
        <v>6.8000000000000005E-3</v>
      </c>
      <c r="F300">
        <v>1.6000000000000001E-3</v>
      </c>
    </row>
    <row r="301" spans="1:6" x14ac:dyDescent="0.3">
      <c r="A301" s="3">
        <v>42438</v>
      </c>
      <c r="B301">
        <v>5.0000000000000001E-3</v>
      </c>
      <c r="C301">
        <v>1E-3</v>
      </c>
      <c r="D301">
        <v>4.0999999999999995E-3</v>
      </c>
      <c r="E301">
        <v>2.2000000000000001E-3</v>
      </c>
      <c r="F301">
        <v>1.7000000000000001E-3</v>
      </c>
    </row>
    <row r="302" spans="1:6" x14ac:dyDescent="0.3">
      <c r="A302" s="3">
        <v>42439</v>
      </c>
      <c r="B302">
        <v>-1.1000000000000001E-3</v>
      </c>
      <c r="C302">
        <v>-7.6E-3</v>
      </c>
      <c r="D302">
        <v>6.3E-3</v>
      </c>
      <c r="E302">
        <v>3.0000000000000001E-3</v>
      </c>
      <c r="F302">
        <v>2E-3</v>
      </c>
    </row>
    <row r="303" spans="1:6" x14ac:dyDescent="0.3">
      <c r="A303" s="3">
        <v>42440</v>
      </c>
      <c r="B303">
        <v>1.6899999999999998E-2</v>
      </c>
      <c r="C303">
        <v>3.0000000000000001E-3</v>
      </c>
      <c r="D303">
        <v>2.3E-3</v>
      </c>
      <c r="E303">
        <v>-4.3E-3</v>
      </c>
      <c r="F303">
        <v>-4.1999999999999997E-3</v>
      </c>
    </row>
    <row r="304" spans="1:6" x14ac:dyDescent="0.3">
      <c r="A304" s="3">
        <v>42443</v>
      </c>
      <c r="B304">
        <v>-1.1999999999999999E-3</v>
      </c>
      <c r="C304">
        <v>-1.5E-3</v>
      </c>
      <c r="D304">
        <v>-9.1000000000000004E-3</v>
      </c>
      <c r="E304">
        <v>-1E-4</v>
      </c>
      <c r="F304">
        <v>-1.8E-3</v>
      </c>
    </row>
    <row r="305" spans="1:6" x14ac:dyDescent="0.3">
      <c r="A305" s="3">
        <v>42444</v>
      </c>
      <c r="B305">
        <v>-3.5999999999999999E-3</v>
      </c>
      <c r="C305">
        <v>-1.46E-2</v>
      </c>
      <c r="D305">
        <v>6.8000000000000005E-3</v>
      </c>
      <c r="E305">
        <v>4.6999999999999993E-3</v>
      </c>
      <c r="F305">
        <v>4.0000000000000002E-4</v>
      </c>
    </row>
    <row r="306" spans="1:6" x14ac:dyDescent="0.3">
      <c r="A306" s="3">
        <v>42445</v>
      </c>
      <c r="B306">
        <v>6.3E-3</v>
      </c>
      <c r="C306">
        <v>1.1999999999999999E-3</v>
      </c>
      <c r="D306">
        <v>-8.9999999999999998E-4</v>
      </c>
      <c r="E306">
        <v>5.7999999999999996E-3</v>
      </c>
      <c r="F306">
        <v>-2.9999999999999997E-4</v>
      </c>
    </row>
    <row r="307" spans="1:6" x14ac:dyDescent="0.3">
      <c r="A307" s="3">
        <v>42446</v>
      </c>
      <c r="B307">
        <v>7.1999999999999998E-3</v>
      </c>
      <c r="C307">
        <v>9.5999999999999992E-3</v>
      </c>
      <c r="D307">
        <v>5.7999999999999996E-3</v>
      </c>
      <c r="E307">
        <v>1.1999999999999999E-3</v>
      </c>
      <c r="F307">
        <v>6.1999999999999998E-3</v>
      </c>
    </row>
    <row r="308" spans="1:6" x14ac:dyDescent="0.3">
      <c r="A308" s="3">
        <v>42447</v>
      </c>
      <c r="B308">
        <v>5.4000000000000003E-3</v>
      </c>
      <c r="C308">
        <v>4.3E-3</v>
      </c>
      <c r="D308">
        <v>-1.5E-3</v>
      </c>
      <c r="E308">
        <v>-2.3999999999999998E-3</v>
      </c>
      <c r="F308">
        <v>1E-3</v>
      </c>
    </row>
    <row r="309" spans="1:6" x14ac:dyDescent="0.3">
      <c r="A309" s="3">
        <v>42450</v>
      </c>
      <c r="B309">
        <v>1E-3</v>
      </c>
      <c r="C309">
        <v>-2.8999999999999998E-3</v>
      </c>
      <c r="D309">
        <v>-3.2000000000000002E-3</v>
      </c>
      <c r="E309">
        <v>-1E-3</v>
      </c>
      <c r="F309">
        <v>-3.2000000000000002E-3</v>
      </c>
    </row>
    <row r="310" spans="1:6" x14ac:dyDescent="0.3">
      <c r="A310" s="3">
        <v>42451</v>
      </c>
      <c r="B310">
        <v>-5.0000000000000001E-4</v>
      </c>
      <c r="C310">
        <v>-8.9999999999999998E-4</v>
      </c>
      <c r="D310">
        <v>-4.5000000000000005E-3</v>
      </c>
      <c r="E310">
        <v>-3.2000000000000002E-3</v>
      </c>
      <c r="F310">
        <v>-2E-3</v>
      </c>
    </row>
    <row r="311" spans="1:6" x14ac:dyDescent="0.3">
      <c r="A311" s="3">
        <v>42452</v>
      </c>
      <c r="B311">
        <v>-8.6E-3</v>
      </c>
      <c r="C311">
        <v>-1.1899999999999999E-2</v>
      </c>
      <c r="D311">
        <v>-1.5E-3</v>
      </c>
      <c r="E311">
        <v>6.9999999999999993E-3</v>
      </c>
      <c r="F311">
        <v>2.0000000000000001E-4</v>
      </c>
    </row>
    <row r="312" spans="1:6" x14ac:dyDescent="0.3">
      <c r="A312" s="3">
        <v>42453</v>
      </c>
      <c r="B312">
        <v>0</v>
      </c>
      <c r="C312">
        <v>4.5000000000000005E-3</v>
      </c>
      <c r="D312">
        <v>-5.9999999999999995E-4</v>
      </c>
      <c r="E312">
        <v>5.0000000000000001E-4</v>
      </c>
      <c r="F312">
        <v>5.9999999999999995E-4</v>
      </c>
    </row>
    <row r="313" spans="1:6" x14ac:dyDescent="0.3">
      <c r="A313" s="3">
        <v>42457</v>
      </c>
      <c r="B313">
        <v>4.0000000000000002E-4</v>
      </c>
      <c r="C313">
        <v>-5.0000000000000001E-4</v>
      </c>
      <c r="D313">
        <v>1.7000000000000001E-3</v>
      </c>
      <c r="E313">
        <v>-5.0000000000000001E-4</v>
      </c>
      <c r="F313">
        <v>2.2000000000000001E-3</v>
      </c>
    </row>
    <row r="314" spans="1:6" x14ac:dyDescent="0.3">
      <c r="A314" s="3">
        <v>42458</v>
      </c>
      <c r="B314">
        <v>1.0700000000000001E-2</v>
      </c>
      <c r="C314">
        <v>1.6799999999999999E-2</v>
      </c>
      <c r="D314">
        <v>-1.18E-2</v>
      </c>
      <c r="E314">
        <v>1.9E-3</v>
      </c>
      <c r="F314">
        <v>-4.4000000000000003E-3</v>
      </c>
    </row>
    <row r="315" spans="1:6" x14ac:dyDescent="0.3">
      <c r="A315" s="3">
        <v>42459</v>
      </c>
      <c r="B315">
        <v>4.0999999999999995E-3</v>
      </c>
      <c r="C315">
        <v>-2.5000000000000001E-3</v>
      </c>
      <c r="D315">
        <v>1.5E-3</v>
      </c>
      <c r="E315">
        <v>-5.0000000000000001E-4</v>
      </c>
      <c r="F315">
        <v>-1E-4</v>
      </c>
    </row>
    <row r="316" spans="1:6" x14ac:dyDescent="0.3">
      <c r="A316" s="3">
        <v>42460</v>
      </c>
      <c r="B316">
        <v>-1.1000000000000001E-3</v>
      </c>
      <c r="C316">
        <v>4.0999999999999995E-3</v>
      </c>
      <c r="D316">
        <v>-4.8999999999999998E-3</v>
      </c>
      <c r="E316">
        <v>-1.1000000000000001E-3</v>
      </c>
      <c r="F316">
        <v>-7.000000000000001E-4</v>
      </c>
    </row>
    <row r="317" spans="1:6" x14ac:dyDescent="0.3">
      <c r="A317" s="3">
        <v>42461</v>
      </c>
      <c r="B317">
        <v>6.4000000000000003E-3</v>
      </c>
      <c r="C317">
        <v>-3.2000000000000002E-3</v>
      </c>
      <c r="D317">
        <v>-6.0999999999999995E-3</v>
      </c>
      <c r="E317">
        <v>-3.9000000000000003E-3</v>
      </c>
      <c r="F317">
        <v>-1.1000000000000001E-3</v>
      </c>
    </row>
    <row r="318" spans="1:6" x14ac:dyDescent="0.3">
      <c r="A318" s="3">
        <v>42464</v>
      </c>
      <c r="B318">
        <v>-4.0999999999999995E-3</v>
      </c>
      <c r="C318">
        <v>-3.0000000000000001E-3</v>
      </c>
      <c r="D318">
        <v>-7.9000000000000008E-3</v>
      </c>
      <c r="E318">
        <v>-2.3E-3</v>
      </c>
      <c r="F318">
        <v>-1.6000000000000001E-3</v>
      </c>
    </row>
    <row r="319" spans="1:6" x14ac:dyDescent="0.3">
      <c r="A319" s="3">
        <v>42465</v>
      </c>
      <c r="B319">
        <v>-9.3999999999999986E-3</v>
      </c>
      <c r="C319">
        <v>-1.8E-3</v>
      </c>
      <c r="D319">
        <v>-3.7000000000000002E-3</v>
      </c>
      <c r="E319">
        <v>8.0000000000000004E-4</v>
      </c>
      <c r="F319">
        <v>2.5000000000000001E-3</v>
      </c>
    </row>
    <row r="320" spans="1:6" x14ac:dyDescent="0.3">
      <c r="A320" s="3">
        <v>42466</v>
      </c>
      <c r="B320">
        <v>1.1399999999999999E-2</v>
      </c>
      <c r="C320">
        <v>5.9999999999999995E-4</v>
      </c>
      <c r="D320">
        <v>-8.1000000000000013E-3</v>
      </c>
      <c r="E320">
        <v>-5.1999999999999998E-3</v>
      </c>
      <c r="F320">
        <v>-5.3E-3</v>
      </c>
    </row>
    <row r="321" spans="1:6" x14ac:dyDescent="0.3">
      <c r="A321" s="3">
        <v>42467</v>
      </c>
      <c r="B321">
        <v>-1.23E-2</v>
      </c>
      <c r="C321">
        <v>-8.0000000000000004E-4</v>
      </c>
      <c r="D321">
        <v>-3.7000000000000002E-3</v>
      </c>
      <c r="E321">
        <v>-1E-4</v>
      </c>
      <c r="F321">
        <v>2.5000000000000001E-3</v>
      </c>
    </row>
    <row r="322" spans="1:6" x14ac:dyDescent="0.3">
      <c r="A322" s="3">
        <v>42468</v>
      </c>
      <c r="B322">
        <v>2.8999999999999998E-3</v>
      </c>
      <c r="C322">
        <v>1.1999999999999999E-3</v>
      </c>
      <c r="D322">
        <v>6.6E-3</v>
      </c>
      <c r="E322">
        <v>3.7000000000000002E-3</v>
      </c>
      <c r="F322">
        <v>2.3999999999999998E-3</v>
      </c>
    </row>
    <row r="323" spans="1:6" x14ac:dyDescent="0.3">
      <c r="A323" s="3">
        <v>42471</v>
      </c>
      <c r="B323">
        <v>-2.8000000000000004E-3</v>
      </c>
      <c r="C323">
        <v>-1E-4</v>
      </c>
      <c r="D323">
        <v>9.4999999999999998E-3</v>
      </c>
      <c r="E323">
        <v>-1E-4</v>
      </c>
      <c r="F323">
        <v>2.3999999999999998E-3</v>
      </c>
    </row>
    <row r="324" spans="1:6" x14ac:dyDescent="0.3">
      <c r="A324" s="3">
        <v>42472</v>
      </c>
      <c r="B324">
        <v>9.8999999999999991E-3</v>
      </c>
      <c r="C324">
        <v>0</v>
      </c>
      <c r="D324">
        <v>8.6E-3</v>
      </c>
      <c r="E324">
        <v>2.9999999999999997E-4</v>
      </c>
      <c r="F324">
        <v>-1.2999999999999999E-3</v>
      </c>
    </row>
    <row r="325" spans="1:6" x14ac:dyDescent="0.3">
      <c r="A325" s="3">
        <v>42473</v>
      </c>
      <c r="B325">
        <v>1.23E-2</v>
      </c>
      <c r="C325">
        <v>9.7999999999999997E-3</v>
      </c>
      <c r="D325">
        <v>3.8E-3</v>
      </c>
      <c r="E325">
        <v>-4.8999999999999998E-3</v>
      </c>
      <c r="F325">
        <v>-4.0000000000000001E-3</v>
      </c>
    </row>
    <row r="326" spans="1:6" x14ac:dyDescent="0.3">
      <c r="A326" s="3">
        <v>42474</v>
      </c>
      <c r="B326">
        <v>2.9999999999999997E-4</v>
      </c>
      <c r="C326">
        <v>-2.3999999999999998E-3</v>
      </c>
      <c r="D326">
        <v>1.5E-3</v>
      </c>
      <c r="E326">
        <v>-3.5999999999999999E-3</v>
      </c>
      <c r="F326">
        <v>-7.000000000000001E-4</v>
      </c>
    </row>
    <row r="327" spans="1:6" x14ac:dyDescent="0.3">
      <c r="A327" s="3">
        <v>42475</v>
      </c>
      <c r="B327">
        <v>-4.0000000000000002E-4</v>
      </c>
      <c r="C327">
        <v>3.0999999999999999E-3</v>
      </c>
      <c r="D327">
        <v>-3.3E-3</v>
      </c>
      <c r="E327">
        <v>2.3999999999999998E-3</v>
      </c>
      <c r="F327">
        <v>2.0999999999999999E-3</v>
      </c>
    </row>
    <row r="328" spans="1:6" x14ac:dyDescent="0.3">
      <c r="A328" s="3">
        <v>42478</v>
      </c>
      <c r="B328">
        <v>6.5000000000000006E-3</v>
      </c>
      <c r="C328">
        <v>1.2999999999999999E-3</v>
      </c>
      <c r="D328">
        <v>-2E-3</v>
      </c>
      <c r="E328">
        <v>-1.6000000000000001E-3</v>
      </c>
      <c r="F328">
        <v>-8.0000000000000004E-4</v>
      </c>
    </row>
    <row r="329" spans="1:6" x14ac:dyDescent="0.3">
      <c r="A329" s="3">
        <v>42479</v>
      </c>
      <c r="B329">
        <v>2.8999999999999998E-3</v>
      </c>
      <c r="C329">
        <v>-2E-3</v>
      </c>
      <c r="D329">
        <v>1.47E-2</v>
      </c>
      <c r="E329">
        <v>-2.2000000000000001E-3</v>
      </c>
      <c r="F329">
        <v>2.8000000000000004E-3</v>
      </c>
    </row>
    <row r="330" spans="1:6" x14ac:dyDescent="0.3">
      <c r="A330" s="3">
        <v>42480</v>
      </c>
      <c r="B330">
        <v>1.5E-3</v>
      </c>
      <c r="C330">
        <v>-1E-4</v>
      </c>
      <c r="D330">
        <v>5.7999999999999996E-3</v>
      </c>
      <c r="E330">
        <v>-3.0000000000000001E-3</v>
      </c>
      <c r="F330">
        <v>-1.7000000000000001E-3</v>
      </c>
    </row>
    <row r="331" spans="1:6" x14ac:dyDescent="0.3">
      <c r="A331" s="3">
        <v>42481</v>
      </c>
      <c r="B331">
        <v>-4.6999999999999993E-3</v>
      </c>
      <c r="C331">
        <v>0</v>
      </c>
      <c r="D331">
        <v>-5.8999999999999999E-3</v>
      </c>
      <c r="E331">
        <v>-6.0000000000000001E-3</v>
      </c>
      <c r="F331">
        <v>-2.8999999999999998E-3</v>
      </c>
    </row>
    <row r="332" spans="1:6" x14ac:dyDescent="0.3">
      <c r="A332" s="3">
        <v>42482</v>
      </c>
      <c r="B332">
        <v>1.1999999999999999E-3</v>
      </c>
      <c r="C332">
        <v>0.01</v>
      </c>
      <c r="D332">
        <v>5.1000000000000004E-3</v>
      </c>
      <c r="E332">
        <v>-8.9999999999999998E-4</v>
      </c>
      <c r="F332">
        <v>8.3000000000000001E-3</v>
      </c>
    </row>
    <row r="333" spans="1:6" x14ac:dyDescent="0.3">
      <c r="A333" s="3">
        <v>42485</v>
      </c>
      <c r="B333">
        <v>-2.3999999999999998E-3</v>
      </c>
      <c r="C333">
        <v>-6.5000000000000006E-3</v>
      </c>
      <c r="D333">
        <v>-1.7000000000000001E-3</v>
      </c>
      <c r="E333">
        <v>1.1000000000000001E-3</v>
      </c>
      <c r="F333">
        <v>-8.9999999999999998E-4</v>
      </c>
    </row>
    <row r="334" spans="1:6" x14ac:dyDescent="0.3">
      <c r="A334" s="3">
        <v>42486</v>
      </c>
      <c r="B334">
        <v>2.8999999999999998E-3</v>
      </c>
      <c r="C334">
        <v>8.1000000000000013E-3</v>
      </c>
      <c r="D334">
        <v>8.1000000000000013E-3</v>
      </c>
      <c r="E334">
        <v>2.8999999999999998E-3</v>
      </c>
      <c r="F334">
        <v>4.8999999999999998E-3</v>
      </c>
    </row>
    <row r="335" spans="1:6" x14ac:dyDescent="0.3">
      <c r="A335" s="3">
        <v>42487</v>
      </c>
      <c r="B335">
        <v>2.0999999999999999E-3</v>
      </c>
      <c r="C335">
        <v>1.8E-3</v>
      </c>
      <c r="D335">
        <v>6.9999999999999993E-3</v>
      </c>
      <c r="E335">
        <v>-1.9E-3</v>
      </c>
      <c r="F335">
        <v>6.5000000000000006E-3</v>
      </c>
    </row>
    <row r="336" spans="1:6" x14ac:dyDescent="0.3">
      <c r="A336" s="3">
        <v>42488</v>
      </c>
      <c r="B336">
        <v>-9.5999999999999992E-3</v>
      </c>
      <c r="C336">
        <v>-1.9E-3</v>
      </c>
      <c r="D336">
        <v>-2.0000000000000001E-4</v>
      </c>
      <c r="E336">
        <v>-4.7999999999999996E-3</v>
      </c>
      <c r="F336">
        <v>5.3E-3</v>
      </c>
    </row>
    <row r="337" spans="1:6" x14ac:dyDescent="0.3">
      <c r="A337" s="3">
        <v>42489</v>
      </c>
      <c r="B337">
        <v>-5.0000000000000001E-3</v>
      </c>
      <c r="C337">
        <v>-2.2000000000000001E-3</v>
      </c>
      <c r="D337">
        <v>3.7000000000000002E-3</v>
      </c>
      <c r="E337">
        <v>5.0000000000000001E-4</v>
      </c>
      <c r="F337">
        <v>-1.9E-3</v>
      </c>
    </row>
    <row r="338" spans="1:6" x14ac:dyDescent="0.3">
      <c r="A338" s="3">
        <v>42492</v>
      </c>
      <c r="B338">
        <v>7.9000000000000008E-3</v>
      </c>
      <c r="C338">
        <v>-2.0000000000000001E-4</v>
      </c>
      <c r="D338">
        <v>-3.7000000000000002E-3</v>
      </c>
      <c r="E338">
        <v>1E-4</v>
      </c>
      <c r="F338">
        <v>-1E-3</v>
      </c>
    </row>
    <row r="339" spans="1:6" x14ac:dyDescent="0.3">
      <c r="A339" s="3">
        <v>42493</v>
      </c>
      <c r="B339">
        <v>-1.0500000000000001E-2</v>
      </c>
      <c r="C339">
        <v>-7.4000000000000003E-3</v>
      </c>
      <c r="D339">
        <v>-4.5999999999999999E-3</v>
      </c>
      <c r="E339">
        <v>5.4000000000000003E-3</v>
      </c>
      <c r="F339">
        <v>4.0000000000000002E-4</v>
      </c>
    </row>
    <row r="340" spans="1:6" x14ac:dyDescent="0.3">
      <c r="A340" s="3">
        <v>42494</v>
      </c>
      <c r="B340">
        <v>-6.6E-3</v>
      </c>
      <c r="C340">
        <v>-1.6000000000000001E-3</v>
      </c>
      <c r="D340">
        <v>5.9999999999999995E-4</v>
      </c>
      <c r="E340">
        <v>4.8999999999999998E-3</v>
      </c>
      <c r="F340">
        <v>3.3E-3</v>
      </c>
    </row>
    <row r="341" spans="1:6" x14ac:dyDescent="0.3">
      <c r="A341" s="3">
        <v>42495</v>
      </c>
      <c r="B341">
        <v>-8.0000000000000004E-4</v>
      </c>
      <c r="C341">
        <v>-5.3E-3</v>
      </c>
      <c r="D341">
        <v>5.0000000000000001E-4</v>
      </c>
      <c r="E341">
        <v>1.1999999999999999E-3</v>
      </c>
      <c r="F341">
        <v>-4.0000000000000002E-4</v>
      </c>
    </row>
    <row r="342" spans="1:6" x14ac:dyDescent="0.3">
      <c r="A342" s="3">
        <v>42496</v>
      </c>
      <c r="B342">
        <v>3.8E-3</v>
      </c>
      <c r="C342">
        <v>7.000000000000001E-4</v>
      </c>
      <c r="D342">
        <v>2.3999999999999998E-3</v>
      </c>
      <c r="E342">
        <v>1.8E-3</v>
      </c>
      <c r="F342">
        <v>2.8000000000000004E-3</v>
      </c>
    </row>
    <row r="343" spans="1:6" x14ac:dyDescent="0.3">
      <c r="A343" s="3">
        <v>42499</v>
      </c>
      <c r="B343">
        <v>5.0000000000000001E-4</v>
      </c>
      <c r="C343">
        <v>2.0999999999999999E-3</v>
      </c>
      <c r="D343">
        <v>-1.46E-2</v>
      </c>
      <c r="E343">
        <v>1.4000000000000002E-3</v>
      </c>
      <c r="F343">
        <v>-4.0999999999999995E-3</v>
      </c>
    </row>
    <row r="344" spans="1:6" x14ac:dyDescent="0.3">
      <c r="A344" s="3">
        <v>42500</v>
      </c>
      <c r="B344">
        <v>1.26E-2</v>
      </c>
      <c r="C344">
        <v>-3.7000000000000002E-3</v>
      </c>
      <c r="D344">
        <v>4.8999999999999998E-3</v>
      </c>
      <c r="E344">
        <v>-1.5E-3</v>
      </c>
      <c r="F344">
        <v>2.9999999999999997E-4</v>
      </c>
    </row>
    <row r="345" spans="1:6" x14ac:dyDescent="0.3">
      <c r="A345" s="3">
        <v>42501</v>
      </c>
      <c r="B345">
        <v>-8.8999999999999999E-3</v>
      </c>
      <c r="C345">
        <v>-3.2000000000000002E-3</v>
      </c>
      <c r="D345">
        <v>7.8000000000000005E-3</v>
      </c>
      <c r="E345">
        <v>-3.8E-3</v>
      </c>
      <c r="F345">
        <v>2.0000000000000001E-4</v>
      </c>
    </row>
    <row r="346" spans="1:6" x14ac:dyDescent="0.3">
      <c r="A346" s="3">
        <v>42502</v>
      </c>
      <c r="B346">
        <v>-1.1000000000000001E-3</v>
      </c>
      <c r="C346">
        <v>-6.1999999999999998E-3</v>
      </c>
      <c r="D346">
        <v>1.2999999999999999E-3</v>
      </c>
      <c r="E346">
        <v>3.9000000000000003E-3</v>
      </c>
      <c r="F346">
        <v>2.0000000000000001E-4</v>
      </c>
    </row>
    <row r="347" spans="1:6" x14ac:dyDescent="0.3">
      <c r="A347" s="3">
        <v>42503</v>
      </c>
      <c r="B347">
        <v>-8.199999999999999E-3</v>
      </c>
      <c r="C347">
        <v>3.0999999999999999E-3</v>
      </c>
      <c r="D347">
        <v>-6.7000000000000002E-3</v>
      </c>
      <c r="E347">
        <v>-5.4000000000000003E-3</v>
      </c>
      <c r="F347">
        <v>-1.1000000000000001E-3</v>
      </c>
    </row>
    <row r="348" spans="1:6" x14ac:dyDescent="0.3">
      <c r="A348" s="3">
        <v>42506</v>
      </c>
      <c r="B348">
        <v>9.8999999999999991E-3</v>
      </c>
      <c r="C348">
        <v>2.2000000000000001E-3</v>
      </c>
      <c r="D348">
        <v>-2.5000000000000001E-3</v>
      </c>
      <c r="E348">
        <v>-8.0000000000000004E-4</v>
      </c>
      <c r="F348">
        <v>-2.5999999999999999E-3</v>
      </c>
    </row>
    <row r="349" spans="1:6" x14ac:dyDescent="0.3">
      <c r="A349" s="3">
        <v>42507</v>
      </c>
      <c r="B349">
        <v>-9.4999999999999998E-3</v>
      </c>
      <c r="C349">
        <v>-7.0999999999999995E-3</v>
      </c>
      <c r="D349">
        <v>6.1999999999999998E-3</v>
      </c>
      <c r="E349">
        <v>-1.5E-3</v>
      </c>
      <c r="F349">
        <v>-1.1000000000000001E-3</v>
      </c>
    </row>
    <row r="350" spans="1:6" x14ac:dyDescent="0.3">
      <c r="A350" s="3">
        <v>42508</v>
      </c>
      <c r="B350">
        <v>1E-3</v>
      </c>
      <c r="C350">
        <v>1.7000000000000001E-3</v>
      </c>
      <c r="D350">
        <v>8.8999999999999999E-3</v>
      </c>
      <c r="E350">
        <v>-1.3300000000000001E-2</v>
      </c>
      <c r="F350">
        <v>-6.5000000000000006E-3</v>
      </c>
    </row>
    <row r="351" spans="1:6" x14ac:dyDescent="0.3">
      <c r="A351" s="3">
        <v>42509</v>
      </c>
      <c r="B351">
        <v>-3.3E-3</v>
      </c>
      <c r="C351">
        <v>-3.3E-3</v>
      </c>
      <c r="D351">
        <v>-2.5999999999999999E-3</v>
      </c>
      <c r="E351">
        <v>3.5999999999999999E-3</v>
      </c>
      <c r="F351">
        <v>2.9999999999999997E-4</v>
      </c>
    </row>
    <row r="352" spans="1:6" x14ac:dyDescent="0.3">
      <c r="A352" s="3">
        <v>42510</v>
      </c>
      <c r="B352">
        <v>7.4999999999999997E-3</v>
      </c>
      <c r="C352">
        <v>8.5000000000000006E-3</v>
      </c>
      <c r="D352">
        <v>-2.5999999999999999E-3</v>
      </c>
      <c r="E352">
        <v>-4.0000000000000001E-3</v>
      </c>
      <c r="F352">
        <v>-3.9000000000000003E-3</v>
      </c>
    </row>
    <row r="353" spans="1:6" x14ac:dyDescent="0.3">
      <c r="A353" s="3">
        <v>42513</v>
      </c>
      <c r="B353">
        <v>-1.8E-3</v>
      </c>
      <c r="C353">
        <v>2.5000000000000001E-3</v>
      </c>
      <c r="D353">
        <v>-3.3E-3</v>
      </c>
      <c r="E353">
        <v>-2.3E-3</v>
      </c>
      <c r="F353">
        <v>1.4000000000000002E-3</v>
      </c>
    </row>
    <row r="354" spans="1:6" x14ac:dyDescent="0.3">
      <c r="A354" s="3">
        <v>42514</v>
      </c>
      <c r="B354">
        <v>1.43E-2</v>
      </c>
      <c r="C354">
        <v>6.4000000000000003E-3</v>
      </c>
      <c r="D354">
        <v>-3.4000000000000002E-3</v>
      </c>
      <c r="E354">
        <v>-1E-3</v>
      </c>
      <c r="F354">
        <v>-3.9000000000000003E-3</v>
      </c>
    </row>
    <row r="355" spans="1:6" x14ac:dyDescent="0.3">
      <c r="A355" s="3">
        <v>42515</v>
      </c>
      <c r="B355">
        <v>7.1999999999999998E-3</v>
      </c>
      <c r="C355">
        <v>-1.2999999999999999E-3</v>
      </c>
      <c r="D355">
        <v>5.6000000000000008E-3</v>
      </c>
      <c r="E355">
        <v>2.0999999999999999E-3</v>
      </c>
      <c r="F355">
        <v>-1.5E-3</v>
      </c>
    </row>
    <row r="356" spans="1:6" x14ac:dyDescent="0.3">
      <c r="A356" s="3">
        <v>42516</v>
      </c>
      <c r="B356">
        <v>-4.0000000000000002E-4</v>
      </c>
      <c r="C356">
        <v>-1.6000000000000001E-3</v>
      </c>
      <c r="D356">
        <v>-5.3E-3</v>
      </c>
      <c r="E356">
        <v>1.6000000000000001E-3</v>
      </c>
      <c r="F356">
        <v>-2E-3</v>
      </c>
    </row>
    <row r="357" spans="1:6" x14ac:dyDescent="0.3">
      <c r="A357" s="3">
        <v>42517</v>
      </c>
      <c r="B357">
        <v>4.8999999999999998E-3</v>
      </c>
      <c r="C357">
        <v>3.5999999999999999E-3</v>
      </c>
      <c r="D357">
        <v>-1.7000000000000001E-3</v>
      </c>
      <c r="E357">
        <v>-1.1999999999999999E-3</v>
      </c>
      <c r="F357">
        <v>-8.9999999999999998E-4</v>
      </c>
    </row>
    <row r="358" spans="1:6" x14ac:dyDescent="0.3">
      <c r="A358" s="3">
        <v>42521</v>
      </c>
      <c r="B358">
        <v>-1E-4</v>
      </c>
      <c r="C358">
        <v>4.6999999999999993E-3</v>
      </c>
      <c r="D358">
        <v>-3.7000000000000002E-3</v>
      </c>
      <c r="E358">
        <v>-2E-3</v>
      </c>
      <c r="F358">
        <v>-2.8000000000000004E-3</v>
      </c>
    </row>
    <row r="359" spans="1:6" x14ac:dyDescent="0.3">
      <c r="A359" s="3">
        <v>42522</v>
      </c>
      <c r="B359">
        <v>2E-3</v>
      </c>
      <c r="C359">
        <v>6.1999999999999998E-3</v>
      </c>
      <c r="D359">
        <v>-2E-3</v>
      </c>
      <c r="E359">
        <v>-2.8999999999999998E-3</v>
      </c>
      <c r="F359">
        <v>2.0000000000000001E-4</v>
      </c>
    </row>
    <row r="360" spans="1:6" x14ac:dyDescent="0.3">
      <c r="A360" s="3">
        <v>42523</v>
      </c>
      <c r="B360">
        <v>3.4999999999999996E-3</v>
      </c>
      <c r="C360">
        <v>2.5999999999999999E-3</v>
      </c>
      <c r="D360">
        <v>-5.7999999999999996E-3</v>
      </c>
      <c r="E360">
        <v>-2.0999999999999999E-3</v>
      </c>
      <c r="F360">
        <v>4.0000000000000002E-4</v>
      </c>
    </row>
    <row r="361" spans="1:6" x14ac:dyDescent="0.3">
      <c r="A361" s="3">
        <v>42524</v>
      </c>
      <c r="B361">
        <v>-3.8E-3</v>
      </c>
      <c r="C361">
        <v>-2E-3</v>
      </c>
      <c r="D361">
        <v>-8.0000000000000004E-4</v>
      </c>
      <c r="E361">
        <v>5.3E-3</v>
      </c>
      <c r="F361">
        <v>1.6000000000000001E-3</v>
      </c>
    </row>
    <row r="362" spans="1:6" x14ac:dyDescent="0.3">
      <c r="A362" s="3">
        <v>42527</v>
      </c>
      <c r="B362">
        <v>6.0000000000000001E-3</v>
      </c>
      <c r="C362">
        <v>7.1999999999999998E-3</v>
      </c>
      <c r="D362">
        <v>3.0000000000000001E-3</v>
      </c>
      <c r="E362">
        <v>-1.9E-3</v>
      </c>
      <c r="F362">
        <v>-1.1999999999999999E-3</v>
      </c>
    </row>
    <row r="363" spans="1:6" x14ac:dyDescent="0.3">
      <c r="A363" s="3">
        <v>42528</v>
      </c>
      <c r="B363">
        <v>1.1999999999999999E-3</v>
      </c>
      <c r="C363">
        <v>2E-3</v>
      </c>
      <c r="D363">
        <v>1E-3</v>
      </c>
      <c r="E363">
        <v>3.4999999999999996E-3</v>
      </c>
      <c r="F363">
        <v>2.2000000000000001E-3</v>
      </c>
    </row>
    <row r="364" spans="1:6" x14ac:dyDescent="0.3">
      <c r="A364" s="3">
        <v>42529</v>
      </c>
      <c r="B364">
        <v>3.7000000000000002E-3</v>
      </c>
      <c r="C364">
        <v>4.4000000000000003E-3</v>
      </c>
      <c r="D364">
        <v>-8.9999999999999998E-4</v>
      </c>
      <c r="E364">
        <v>2.9999999999999997E-4</v>
      </c>
      <c r="F364">
        <v>-1.1000000000000001E-3</v>
      </c>
    </row>
    <row r="365" spans="1:6" x14ac:dyDescent="0.3">
      <c r="A365" s="3">
        <v>42530</v>
      </c>
      <c r="B365">
        <v>-2.7000000000000001E-3</v>
      </c>
      <c r="C365">
        <v>-4.3E-3</v>
      </c>
      <c r="D365">
        <v>-2.3E-3</v>
      </c>
      <c r="E365">
        <v>3.3E-3</v>
      </c>
      <c r="F365">
        <v>1.5E-3</v>
      </c>
    </row>
    <row r="366" spans="1:6" x14ac:dyDescent="0.3">
      <c r="A366" s="3">
        <v>42531</v>
      </c>
      <c r="B366">
        <v>-1.0500000000000001E-2</v>
      </c>
      <c r="C366">
        <v>-3.8E-3</v>
      </c>
      <c r="D366">
        <v>-1.8E-3</v>
      </c>
      <c r="E366">
        <v>1.9E-3</v>
      </c>
      <c r="F366">
        <v>5.6999999999999993E-3</v>
      </c>
    </row>
    <row r="367" spans="1:6" x14ac:dyDescent="0.3">
      <c r="A367" s="3">
        <v>42534</v>
      </c>
      <c r="B367">
        <v>-8.3999999999999995E-3</v>
      </c>
      <c r="C367">
        <v>-3.5999999999999999E-3</v>
      </c>
      <c r="D367">
        <v>1.1999999999999999E-3</v>
      </c>
      <c r="E367">
        <v>-2.0999999999999999E-3</v>
      </c>
      <c r="F367">
        <v>-5.9999999999999995E-4</v>
      </c>
    </row>
    <row r="368" spans="1:6" x14ac:dyDescent="0.3">
      <c r="A368" s="3">
        <v>42535</v>
      </c>
      <c r="B368">
        <v>-1.9E-3</v>
      </c>
      <c r="C368">
        <v>1.5E-3</v>
      </c>
      <c r="D368">
        <v>-7.0999999999999995E-3</v>
      </c>
      <c r="E368">
        <v>3.3E-3</v>
      </c>
      <c r="F368">
        <v>8.9999999999999998E-4</v>
      </c>
    </row>
    <row r="369" spans="1:6" x14ac:dyDescent="0.3">
      <c r="A369" s="3">
        <v>42536</v>
      </c>
      <c r="B369">
        <v>-1.1000000000000001E-3</v>
      </c>
      <c r="C369">
        <v>2.3999999999999998E-3</v>
      </c>
      <c r="D369">
        <v>-2.9999999999999997E-4</v>
      </c>
      <c r="E369">
        <v>-8.9999999999999998E-4</v>
      </c>
      <c r="F369">
        <v>8.0000000000000004E-4</v>
      </c>
    </row>
    <row r="370" spans="1:6" x14ac:dyDescent="0.3">
      <c r="A370" s="3">
        <v>42537</v>
      </c>
      <c r="B370">
        <v>2.3999999999999998E-3</v>
      </c>
      <c r="C370">
        <v>-3.3E-3</v>
      </c>
      <c r="D370">
        <v>-4.3E-3</v>
      </c>
      <c r="E370">
        <v>2.5999999999999999E-3</v>
      </c>
      <c r="F370">
        <v>3.2000000000000002E-3</v>
      </c>
    </row>
    <row r="371" spans="1:6" x14ac:dyDescent="0.3">
      <c r="A371" s="3">
        <v>42538</v>
      </c>
      <c r="B371">
        <v>-3.0000000000000001E-3</v>
      </c>
      <c r="C371">
        <v>5.0000000000000001E-4</v>
      </c>
      <c r="D371">
        <v>9.300000000000001E-3</v>
      </c>
      <c r="E371">
        <v>3.9000000000000003E-3</v>
      </c>
      <c r="F371">
        <v>4.8999999999999998E-3</v>
      </c>
    </row>
    <row r="372" spans="1:6" x14ac:dyDescent="0.3">
      <c r="A372" s="3">
        <v>42541</v>
      </c>
      <c r="B372">
        <v>7.0999999999999995E-3</v>
      </c>
      <c r="C372">
        <v>6.0000000000000001E-3</v>
      </c>
      <c r="D372">
        <v>1E-4</v>
      </c>
      <c r="E372">
        <v>-1.8E-3</v>
      </c>
      <c r="F372">
        <v>8.9999999999999998E-4</v>
      </c>
    </row>
    <row r="373" spans="1:6" x14ac:dyDescent="0.3">
      <c r="A373" s="3">
        <v>42542</v>
      </c>
      <c r="B373">
        <v>2.0999999999999999E-3</v>
      </c>
      <c r="C373">
        <v>-6.3E-3</v>
      </c>
      <c r="D373">
        <v>5.1000000000000004E-3</v>
      </c>
      <c r="E373">
        <v>-2E-3</v>
      </c>
      <c r="F373">
        <v>-2.9999999999999997E-4</v>
      </c>
    </row>
    <row r="374" spans="1:6" x14ac:dyDescent="0.3">
      <c r="A374" s="3">
        <v>42543</v>
      </c>
      <c r="B374">
        <v>-2E-3</v>
      </c>
      <c r="C374">
        <v>-3.2000000000000002E-3</v>
      </c>
      <c r="D374">
        <v>8.0000000000000004E-4</v>
      </c>
      <c r="E374">
        <v>5.9999999999999995E-4</v>
      </c>
      <c r="F374">
        <v>-2.9999999999999997E-4</v>
      </c>
    </row>
    <row r="375" spans="1:6" x14ac:dyDescent="0.3">
      <c r="A375" s="3">
        <v>42544</v>
      </c>
      <c r="B375">
        <v>1.4499999999999999E-2</v>
      </c>
      <c r="C375">
        <v>5.5000000000000005E-3</v>
      </c>
      <c r="D375">
        <v>4.6999999999999993E-3</v>
      </c>
      <c r="E375">
        <v>-5.6999999999999993E-3</v>
      </c>
      <c r="F375">
        <v>-2.3999999999999998E-3</v>
      </c>
    </row>
    <row r="376" spans="1:6" x14ac:dyDescent="0.3">
      <c r="A376" s="3">
        <v>42545</v>
      </c>
      <c r="B376">
        <v>-3.7000000000000005E-2</v>
      </c>
      <c r="C376">
        <v>2.9999999999999997E-4</v>
      </c>
      <c r="D376">
        <v>-1.21E-2</v>
      </c>
      <c r="E376">
        <v>1.01E-2</v>
      </c>
      <c r="F376">
        <v>1.8E-3</v>
      </c>
    </row>
    <row r="377" spans="1:6" x14ac:dyDescent="0.3">
      <c r="A377" s="3">
        <v>42548</v>
      </c>
      <c r="B377">
        <v>-2.07E-2</v>
      </c>
      <c r="C377">
        <v>-1.0700000000000001E-2</v>
      </c>
      <c r="D377">
        <v>-7.1999999999999998E-3</v>
      </c>
      <c r="E377">
        <v>6.4000000000000003E-3</v>
      </c>
      <c r="F377">
        <v>4.5000000000000005E-3</v>
      </c>
    </row>
    <row r="378" spans="1:6" x14ac:dyDescent="0.3">
      <c r="A378" s="3">
        <v>42549</v>
      </c>
      <c r="B378">
        <v>1.7600000000000001E-2</v>
      </c>
      <c r="C378">
        <v>-3.7000000000000002E-3</v>
      </c>
      <c r="D378">
        <v>1.6000000000000001E-3</v>
      </c>
      <c r="E378">
        <v>-6.4000000000000003E-3</v>
      </c>
      <c r="F378">
        <v>-5.1000000000000004E-3</v>
      </c>
    </row>
    <row r="379" spans="1:6" x14ac:dyDescent="0.3">
      <c r="A379" s="3">
        <v>42550</v>
      </c>
      <c r="B379">
        <v>1.8000000000000002E-2</v>
      </c>
      <c r="C379">
        <v>3.0000000000000001E-3</v>
      </c>
      <c r="D379">
        <v>-2.9999999999999997E-4</v>
      </c>
      <c r="E379">
        <v>-1.4000000000000002E-3</v>
      </c>
      <c r="F379">
        <v>-3.0999999999999999E-3</v>
      </c>
    </row>
    <row r="380" spans="1:6" x14ac:dyDescent="0.3">
      <c r="A380" s="3">
        <v>42551</v>
      </c>
      <c r="B380">
        <v>1.4199999999999999E-2</v>
      </c>
      <c r="C380">
        <v>3.8E-3</v>
      </c>
      <c r="D380">
        <v>4.1999999999999997E-3</v>
      </c>
      <c r="E380">
        <v>-1.1000000000000001E-3</v>
      </c>
      <c r="F380">
        <v>3.0999999999999999E-3</v>
      </c>
    </row>
    <row r="381" spans="1:6" x14ac:dyDescent="0.3">
      <c r="A381" s="3">
        <v>42552</v>
      </c>
      <c r="B381">
        <v>2.3999999999999998E-3</v>
      </c>
      <c r="C381">
        <v>4.5999999999999999E-3</v>
      </c>
      <c r="D381">
        <v>-4.4000000000000003E-3</v>
      </c>
      <c r="E381">
        <v>-1.1999999999999999E-3</v>
      </c>
      <c r="F381">
        <v>2.7000000000000001E-3</v>
      </c>
    </row>
    <row r="382" spans="1:6" x14ac:dyDescent="0.3">
      <c r="A382" s="3">
        <v>42556</v>
      </c>
      <c r="B382">
        <v>-8.5000000000000006E-3</v>
      </c>
      <c r="C382">
        <v>-8.3999999999999995E-3</v>
      </c>
      <c r="D382">
        <v>-1.37E-2</v>
      </c>
      <c r="E382">
        <v>6.3E-3</v>
      </c>
      <c r="F382">
        <v>-7.1999999999999998E-3</v>
      </c>
    </row>
    <row r="383" spans="1:6" x14ac:dyDescent="0.3">
      <c r="A383" s="3">
        <v>42557</v>
      </c>
      <c r="B383">
        <v>6.1999999999999998E-3</v>
      </c>
      <c r="C383">
        <v>1.8E-3</v>
      </c>
      <c r="D383">
        <v>-1.5E-3</v>
      </c>
      <c r="E383">
        <v>-8.0000000000000004E-4</v>
      </c>
      <c r="F383">
        <v>-1.7000000000000001E-3</v>
      </c>
    </row>
    <row r="384" spans="1:6" x14ac:dyDescent="0.3">
      <c r="A384" s="3">
        <v>42558</v>
      </c>
      <c r="B384">
        <v>2.0000000000000001E-4</v>
      </c>
      <c r="C384">
        <v>3.2000000000000002E-3</v>
      </c>
      <c r="D384">
        <v>-1.7000000000000001E-3</v>
      </c>
      <c r="E384">
        <v>1E-3</v>
      </c>
      <c r="F384">
        <v>-2.8000000000000004E-3</v>
      </c>
    </row>
    <row r="385" spans="1:6" x14ac:dyDescent="0.3">
      <c r="A385" s="3">
        <v>42559</v>
      </c>
      <c r="B385">
        <v>1.6E-2</v>
      </c>
      <c r="C385">
        <v>9.7000000000000003E-3</v>
      </c>
      <c r="D385">
        <v>3.0000000000000001E-3</v>
      </c>
      <c r="E385">
        <v>-2.0000000000000001E-4</v>
      </c>
      <c r="F385">
        <v>3.0000000000000001E-3</v>
      </c>
    </row>
    <row r="386" spans="1:6" x14ac:dyDescent="0.3">
      <c r="A386" s="3">
        <v>42562</v>
      </c>
      <c r="B386">
        <v>4.3E-3</v>
      </c>
      <c r="C386">
        <v>6.8000000000000005E-3</v>
      </c>
      <c r="D386">
        <v>2.5999999999999999E-3</v>
      </c>
      <c r="E386">
        <v>3.0999999999999999E-3</v>
      </c>
      <c r="F386">
        <v>-7.000000000000001E-4</v>
      </c>
    </row>
    <row r="387" spans="1:6" x14ac:dyDescent="0.3">
      <c r="A387" s="3">
        <v>42563</v>
      </c>
      <c r="B387">
        <v>7.4999999999999997E-3</v>
      </c>
      <c r="C387">
        <v>7.4000000000000003E-3</v>
      </c>
      <c r="D387">
        <v>9.8999999999999991E-3</v>
      </c>
      <c r="E387">
        <v>-6.4000000000000003E-3</v>
      </c>
      <c r="F387">
        <v>6.8000000000000005E-3</v>
      </c>
    </row>
    <row r="388" spans="1:6" x14ac:dyDescent="0.3">
      <c r="A388" s="3">
        <v>42564</v>
      </c>
      <c r="B388">
        <v>-5.0000000000000001E-4</v>
      </c>
      <c r="C388">
        <v>-4.5999999999999999E-3</v>
      </c>
      <c r="D388">
        <v>4.8999999999999998E-3</v>
      </c>
      <c r="E388">
        <v>5.7999999999999996E-3</v>
      </c>
      <c r="F388">
        <v>-2.9999999999999997E-4</v>
      </c>
    </row>
    <row r="389" spans="1:6" x14ac:dyDescent="0.3">
      <c r="A389" s="3">
        <v>42565</v>
      </c>
      <c r="B389">
        <v>5.1000000000000004E-3</v>
      </c>
      <c r="C389">
        <v>-4.1999999999999997E-3</v>
      </c>
      <c r="D389">
        <v>4.5999999999999999E-3</v>
      </c>
      <c r="E389">
        <v>-7.000000000000001E-4</v>
      </c>
      <c r="F389">
        <v>4.0000000000000002E-4</v>
      </c>
    </row>
    <row r="390" spans="1:6" x14ac:dyDescent="0.3">
      <c r="A390" s="3">
        <v>42566</v>
      </c>
      <c r="B390">
        <v>-5.0000000000000001E-4</v>
      </c>
      <c r="C390">
        <v>2.8999999999999998E-3</v>
      </c>
      <c r="D390">
        <v>0</v>
      </c>
      <c r="E390">
        <v>-2.8999999999999998E-3</v>
      </c>
      <c r="F390">
        <v>-1E-4</v>
      </c>
    </row>
    <row r="391" spans="1:6" x14ac:dyDescent="0.3">
      <c r="A391" s="3">
        <v>42569</v>
      </c>
      <c r="B391">
        <v>2.5000000000000001E-3</v>
      </c>
      <c r="C391">
        <v>1E-4</v>
      </c>
      <c r="D391">
        <v>-1.2999999999999999E-3</v>
      </c>
      <c r="E391">
        <v>5.9999999999999995E-4</v>
      </c>
      <c r="F391">
        <v>-2E-3</v>
      </c>
    </row>
    <row r="392" spans="1:6" x14ac:dyDescent="0.3">
      <c r="A392" s="3">
        <v>42570</v>
      </c>
      <c r="B392">
        <v>-2.2000000000000001E-3</v>
      </c>
      <c r="C392">
        <v>-6.4000000000000003E-3</v>
      </c>
      <c r="D392">
        <v>5.0000000000000001E-4</v>
      </c>
      <c r="E392">
        <v>5.0000000000000001E-3</v>
      </c>
      <c r="F392">
        <v>-2.3999999999999998E-3</v>
      </c>
    </row>
    <row r="393" spans="1:6" x14ac:dyDescent="0.3">
      <c r="A393" s="3">
        <v>42571</v>
      </c>
      <c r="B393">
        <v>4.7999999999999996E-3</v>
      </c>
      <c r="C393">
        <v>3.9000000000000003E-3</v>
      </c>
      <c r="D393">
        <v>-8.8999999999999999E-3</v>
      </c>
      <c r="E393">
        <v>-1.1000000000000001E-3</v>
      </c>
      <c r="F393">
        <v>-3.4999999999999996E-3</v>
      </c>
    </row>
    <row r="394" spans="1:6" x14ac:dyDescent="0.3">
      <c r="A394" s="3">
        <v>42572</v>
      </c>
      <c r="B394">
        <v>-3.8E-3</v>
      </c>
      <c r="C394">
        <v>-5.0000000000000001E-4</v>
      </c>
      <c r="D394">
        <v>-4.0000000000000002E-4</v>
      </c>
      <c r="E394">
        <v>1.1999999999999999E-3</v>
      </c>
      <c r="F394">
        <v>2.0000000000000001E-4</v>
      </c>
    </row>
    <row r="395" spans="1:6" x14ac:dyDescent="0.3">
      <c r="A395" s="3">
        <v>42573</v>
      </c>
      <c r="B395">
        <v>4.7999999999999996E-3</v>
      </c>
      <c r="C395">
        <v>2.8999999999999998E-3</v>
      </c>
      <c r="D395">
        <v>-1.2999999999999999E-3</v>
      </c>
      <c r="E395">
        <v>4.0999999999999995E-3</v>
      </c>
      <c r="F395">
        <v>-2.8000000000000004E-3</v>
      </c>
    </row>
    <row r="396" spans="1:6" x14ac:dyDescent="0.3">
      <c r="A396" s="3">
        <v>42576</v>
      </c>
      <c r="B396">
        <v>-2.7000000000000001E-3</v>
      </c>
      <c r="C396">
        <v>-4.0000000000000002E-4</v>
      </c>
      <c r="D396">
        <v>-2.3E-3</v>
      </c>
      <c r="E396">
        <v>4.5000000000000005E-3</v>
      </c>
      <c r="F396">
        <v>-3.9000000000000003E-3</v>
      </c>
    </row>
    <row r="397" spans="1:6" x14ac:dyDescent="0.3">
      <c r="A397" s="3">
        <v>42577</v>
      </c>
      <c r="B397">
        <v>1.2999999999999999E-3</v>
      </c>
      <c r="C397">
        <v>6.0999999999999995E-3</v>
      </c>
      <c r="D397">
        <v>5.4000000000000003E-3</v>
      </c>
      <c r="E397">
        <v>-5.5000000000000005E-3</v>
      </c>
      <c r="F397">
        <v>7.0999999999999995E-3</v>
      </c>
    </row>
    <row r="398" spans="1:6" x14ac:dyDescent="0.3">
      <c r="A398" s="3">
        <v>42578</v>
      </c>
      <c r="B398">
        <v>-1.4000000000000002E-3</v>
      </c>
      <c r="C398">
        <v>5.1000000000000004E-3</v>
      </c>
      <c r="D398">
        <v>-4.3E-3</v>
      </c>
      <c r="E398">
        <v>-1.1999999999999999E-3</v>
      </c>
      <c r="F398">
        <v>-5.6000000000000008E-3</v>
      </c>
    </row>
    <row r="399" spans="1:6" x14ac:dyDescent="0.3">
      <c r="A399" s="3">
        <v>42579</v>
      </c>
      <c r="B399">
        <v>1.8E-3</v>
      </c>
      <c r="C399">
        <v>-5.3E-3</v>
      </c>
      <c r="D399">
        <v>-3.2000000000000002E-3</v>
      </c>
      <c r="E399">
        <v>-1.1000000000000001E-3</v>
      </c>
      <c r="F399">
        <v>-1.6000000000000001E-3</v>
      </c>
    </row>
    <row r="400" spans="1:6" x14ac:dyDescent="0.3">
      <c r="A400" s="3">
        <v>42580</v>
      </c>
      <c r="B400">
        <v>1.7000000000000001E-3</v>
      </c>
      <c r="C400">
        <v>-5.9999999999999995E-4</v>
      </c>
      <c r="D400">
        <v>0</v>
      </c>
      <c r="E400">
        <v>-5.0000000000000001E-4</v>
      </c>
      <c r="F400">
        <v>3.4999999999999996E-3</v>
      </c>
    </row>
    <row r="401" spans="1:6" x14ac:dyDescent="0.3">
      <c r="A401" s="3">
        <v>42583</v>
      </c>
      <c r="B401">
        <v>-1.6000000000000001E-3</v>
      </c>
      <c r="C401">
        <v>7.000000000000001E-4</v>
      </c>
      <c r="D401">
        <v>-9.0000000000000011E-3</v>
      </c>
      <c r="E401">
        <v>5.1999999999999998E-3</v>
      </c>
      <c r="F401">
        <v>-7.4000000000000003E-3</v>
      </c>
    </row>
    <row r="402" spans="1:6" x14ac:dyDescent="0.3">
      <c r="A402" s="3">
        <v>42584</v>
      </c>
      <c r="B402">
        <v>-6.9999999999999993E-3</v>
      </c>
      <c r="C402">
        <v>-6.0999999999999995E-3</v>
      </c>
      <c r="D402">
        <v>1.8E-3</v>
      </c>
      <c r="E402">
        <v>-4.1999999999999997E-3</v>
      </c>
      <c r="F402">
        <v>1.7000000000000001E-3</v>
      </c>
    </row>
    <row r="403" spans="1:6" x14ac:dyDescent="0.3">
      <c r="A403" s="3">
        <v>42585</v>
      </c>
      <c r="B403">
        <v>4.5000000000000005E-3</v>
      </c>
      <c r="C403">
        <v>5.8999999999999999E-3</v>
      </c>
      <c r="D403">
        <v>8.199999999999999E-3</v>
      </c>
      <c r="E403">
        <v>-7.8000000000000005E-3</v>
      </c>
      <c r="F403">
        <v>1.8E-3</v>
      </c>
    </row>
    <row r="404" spans="1:6" x14ac:dyDescent="0.3">
      <c r="A404" s="3">
        <v>42586</v>
      </c>
      <c r="B404">
        <v>5.0000000000000001E-4</v>
      </c>
      <c r="C404">
        <v>5.9999999999999995E-4</v>
      </c>
      <c r="D404">
        <v>-3.9000000000000003E-3</v>
      </c>
      <c r="E404">
        <v>1.6000000000000001E-3</v>
      </c>
      <c r="F404">
        <v>5.9999999999999995E-4</v>
      </c>
    </row>
    <row r="405" spans="1:6" x14ac:dyDescent="0.3">
      <c r="A405" s="3">
        <v>42587</v>
      </c>
      <c r="B405">
        <v>9.300000000000001E-3</v>
      </c>
      <c r="C405">
        <v>5.6000000000000008E-3</v>
      </c>
      <c r="D405">
        <v>9.1999999999999998E-3</v>
      </c>
      <c r="E405">
        <v>-5.6999999999999993E-3</v>
      </c>
      <c r="F405">
        <v>-3.4000000000000002E-3</v>
      </c>
    </row>
    <row r="406" spans="1:6" x14ac:dyDescent="0.3">
      <c r="A406" s="3">
        <v>42590</v>
      </c>
      <c r="B406">
        <v>-5.9999999999999995E-4</v>
      </c>
      <c r="C406">
        <v>1.1000000000000001E-3</v>
      </c>
      <c r="D406">
        <v>5.1000000000000004E-3</v>
      </c>
      <c r="E406">
        <v>4.0000000000000002E-4</v>
      </c>
      <c r="F406">
        <v>4.5999999999999999E-3</v>
      </c>
    </row>
    <row r="407" spans="1:6" x14ac:dyDescent="0.3">
      <c r="A407" s="3">
        <v>42591</v>
      </c>
      <c r="B407">
        <v>5.0000000000000001E-4</v>
      </c>
      <c r="C407">
        <v>-5.9999999999999995E-4</v>
      </c>
      <c r="D407">
        <v>-2.7000000000000001E-3</v>
      </c>
      <c r="E407">
        <v>-1.4000000000000002E-3</v>
      </c>
      <c r="F407">
        <v>-2.3E-3</v>
      </c>
    </row>
    <row r="408" spans="1:6" x14ac:dyDescent="0.3">
      <c r="A408" s="3">
        <v>42592</v>
      </c>
      <c r="B408">
        <v>-2.8999999999999998E-3</v>
      </c>
      <c r="C408">
        <v>-4.6999999999999993E-3</v>
      </c>
      <c r="D408">
        <v>-2E-3</v>
      </c>
      <c r="E408">
        <v>6.5000000000000006E-3</v>
      </c>
      <c r="F408">
        <v>-1E-4</v>
      </c>
    </row>
    <row r="409" spans="1:6" x14ac:dyDescent="0.3">
      <c r="A409" s="3">
        <v>42593</v>
      </c>
      <c r="B409">
        <v>5.4000000000000003E-3</v>
      </c>
      <c r="C409">
        <v>1.4000000000000002E-3</v>
      </c>
      <c r="D409">
        <v>2.9999999999999997E-4</v>
      </c>
      <c r="E409">
        <v>-3.3E-3</v>
      </c>
      <c r="F409">
        <v>2.0999999999999999E-3</v>
      </c>
    </row>
    <row r="410" spans="1:6" x14ac:dyDescent="0.3">
      <c r="A410" s="3">
        <v>42594</v>
      </c>
      <c r="B410">
        <v>-5.9999999999999995E-4</v>
      </c>
      <c r="C410">
        <v>1.2999999999999999E-3</v>
      </c>
      <c r="D410">
        <v>-1.6000000000000001E-3</v>
      </c>
      <c r="E410">
        <v>-1.5E-3</v>
      </c>
      <c r="F410">
        <v>-2.8000000000000004E-3</v>
      </c>
    </row>
    <row r="411" spans="1:6" x14ac:dyDescent="0.3">
      <c r="A411" s="3">
        <v>42597</v>
      </c>
      <c r="B411">
        <v>3.9000000000000003E-3</v>
      </c>
      <c r="C411">
        <v>8.1000000000000013E-3</v>
      </c>
      <c r="D411">
        <v>3.9000000000000003E-3</v>
      </c>
      <c r="E411">
        <v>-3.0999999999999999E-3</v>
      </c>
      <c r="F411">
        <v>4.0000000000000001E-3</v>
      </c>
    </row>
    <row r="412" spans="1:6" x14ac:dyDescent="0.3">
      <c r="A412" s="3">
        <v>42598</v>
      </c>
      <c r="B412">
        <v>-5.6999999999999993E-3</v>
      </c>
      <c r="C412">
        <v>-2E-3</v>
      </c>
      <c r="D412">
        <v>5.7999999999999996E-3</v>
      </c>
      <c r="E412">
        <v>-1E-3</v>
      </c>
      <c r="F412">
        <v>3.2000000000000002E-3</v>
      </c>
    </row>
    <row r="413" spans="1:6" x14ac:dyDescent="0.3">
      <c r="A413" s="3">
        <v>42599</v>
      </c>
      <c r="B413">
        <v>1.1999999999999999E-3</v>
      </c>
      <c r="C413">
        <v>-5.0000000000000001E-3</v>
      </c>
      <c r="D413">
        <v>2.5000000000000001E-3</v>
      </c>
      <c r="E413">
        <v>1E-3</v>
      </c>
      <c r="F413">
        <v>5.0000000000000001E-4</v>
      </c>
    </row>
    <row r="414" spans="1:6" x14ac:dyDescent="0.3">
      <c r="A414" s="3">
        <v>42600</v>
      </c>
      <c r="B414">
        <v>3.2000000000000002E-3</v>
      </c>
      <c r="C414">
        <v>4.7999999999999996E-3</v>
      </c>
      <c r="D414">
        <v>3.4000000000000002E-3</v>
      </c>
      <c r="E414">
        <v>-5.3E-3</v>
      </c>
      <c r="F414">
        <v>3.7000000000000002E-3</v>
      </c>
    </row>
    <row r="415" spans="1:6" x14ac:dyDescent="0.3">
      <c r="A415" s="3">
        <v>42601</v>
      </c>
      <c r="B415">
        <v>-1.1000000000000001E-3</v>
      </c>
      <c r="C415">
        <v>7.000000000000001E-4</v>
      </c>
      <c r="D415">
        <v>-1.4000000000000002E-3</v>
      </c>
      <c r="E415">
        <v>2.3999999999999998E-3</v>
      </c>
      <c r="F415">
        <v>-1.5E-3</v>
      </c>
    </row>
    <row r="416" spans="1:6" x14ac:dyDescent="0.3">
      <c r="A416" s="3">
        <v>42604</v>
      </c>
      <c r="B416">
        <v>-2.0000000000000001E-4</v>
      </c>
      <c r="C416">
        <v>2.3E-3</v>
      </c>
      <c r="D416">
        <v>-4.0000000000000001E-3</v>
      </c>
      <c r="E416">
        <v>1E-4</v>
      </c>
      <c r="F416">
        <v>-3.5999999999999999E-3</v>
      </c>
    </row>
    <row r="417" spans="1:6" x14ac:dyDescent="0.3">
      <c r="A417" s="3">
        <v>42605</v>
      </c>
      <c r="B417">
        <v>2.7000000000000001E-3</v>
      </c>
      <c r="C417">
        <v>5.5000000000000005E-3</v>
      </c>
      <c r="D417">
        <v>-2.0000000000000001E-4</v>
      </c>
      <c r="E417">
        <v>-2.0000000000000001E-4</v>
      </c>
      <c r="F417">
        <v>5.9999999999999995E-4</v>
      </c>
    </row>
    <row r="418" spans="1:6" x14ac:dyDescent="0.3">
      <c r="A418" s="3">
        <v>42606</v>
      </c>
      <c r="B418">
        <v>-5.6000000000000008E-3</v>
      </c>
      <c r="C418">
        <v>-4.5000000000000005E-3</v>
      </c>
      <c r="D418">
        <v>3.8E-3</v>
      </c>
      <c r="E418">
        <v>4.5000000000000005E-3</v>
      </c>
      <c r="F418">
        <v>-8.9999999999999998E-4</v>
      </c>
    </row>
    <row r="419" spans="1:6" x14ac:dyDescent="0.3">
      <c r="A419" s="3">
        <v>42607</v>
      </c>
      <c r="B419">
        <v>-8.0000000000000004E-4</v>
      </c>
      <c r="C419">
        <v>2.0999999999999999E-3</v>
      </c>
      <c r="D419">
        <v>4.7999999999999996E-3</v>
      </c>
      <c r="E419">
        <v>-2.5999999999999999E-3</v>
      </c>
      <c r="F419">
        <v>2.7000000000000001E-3</v>
      </c>
    </row>
    <row r="420" spans="1:6" x14ac:dyDescent="0.3">
      <c r="A420" s="3">
        <v>42608</v>
      </c>
      <c r="B420">
        <v>-1.5E-3</v>
      </c>
      <c r="C420">
        <v>1.1000000000000001E-3</v>
      </c>
      <c r="D420">
        <v>-8.9999999999999998E-4</v>
      </c>
      <c r="E420">
        <v>-4.1999999999999997E-3</v>
      </c>
      <c r="F420">
        <v>-2E-3</v>
      </c>
    </row>
    <row r="421" spans="1:6" x14ac:dyDescent="0.3">
      <c r="A421" s="3">
        <v>42611</v>
      </c>
      <c r="B421">
        <v>5.3E-3</v>
      </c>
      <c r="C421">
        <v>0</v>
      </c>
      <c r="D421">
        <v>3.4000000000000002E-3</v>
      </c>
      <c r="E421">
        <v>-5.9999999999999995E-4</v>
      </c>
      <c r="F421">
        <v>2.0999999999999999E-3</v>
      </c>
    </row>
    <row r="422" spans="1:6" x14ac:dyDescent="0.3">
      <c r="A422" s="3">
        <v>42612</v>
      </c>
      <c r="B422">
        <v>-1.4000000000000002E-3</v>
      </c>
      <c r="C422">
        <v>2.2000000000000001E-3</v>
      </c>
      <c r="D422">
        <v>2.8999999999999998E-3</v>
      </c>
      <c r="E422">
        <v>-1E-3</v>
      </c>
      <c r="F422">
        <v>-3.2000000000000002E-3</v>
      </c>
    </row>
    <row r="423" spans="1:6" x14ac:dyDescent="0.3">
      <c r="A423" s="3">
        <v>42613</v>
      </c>
      <c r="B423">
        <v>-2.3999999999999998E-3</v>
      </c>
      <c r="C423">
        <v>-3.4999999999999996E-3</v>
      </c>
      <c r="D423">
        <v>1.4000000000000002E-3</v>
      </c>
      <c r="E423">
        <v>3.0000000000000001E-3</v>
      </c>
      <c r="F423">
        <v>-3.4999999999999996E-3</v>
      </c>
    </row>
    <row r="424" spans="1:6" x14ac:dyDescent="0.3">
      <c r="A424" s="3">
        <v>42614</v>
      </c>
      <c r="B424">
        <v>2.9999999999999997E-4</v>
      </c>
      <c r="C424">
        <v>7.000000000000001E-4</v>
      </c>
      <c r="D424">
        <v>-5.1000000000000004E-3</v>
      </c>
      <c r="E424">
        <v>1.1000000000000001E-3</v>
      </c>
      <c r="F424">
        <v>-1.4000000000000002E-3</v>
      </c>
    </row>
    <row r="425" spans="1:6" x14ac:dyDescent="0.3">
      <c r="A425" s="3">
        <v>42615</v>
      </c>
      <c r="B425">
        <v>5.3E-3</v>
      </c>
      <c r="C425">
        <v>4.3E-3</v>
      </c>
      <c r="D425">
        <v>3.4999999999999996E-3</v>
      </c>
      <c r="E425">
        <v>-1.5E-3</v>
      </c>
      <c r="F425">
        <v>1.9E-3</v>
      </c>
    </row>
    <row r="426" spans="1:6" x14ac:dyDescent="0.3">
      <c r="A426" s="3">
        <v>42619</v>
      </c>
      <c r="B426">
        <v>2.5999999999999999E-3</v>
      </c>
      <c r="C426">
        <v>2.0000000000000001E-4</v>
      </c>
      <c r="D426">
        <v>-5.4000000000000003E-3</v>
      </c>
      <c r="E426">
        <v>-6.5000000000000006E-3</v>
      </c>
      <c r="F426">
        <v>2.9999999999999997E-4</v>
      </c>
    </row>
    <row r="427" spans="1:6" x14ac:dyDescent="0.3">
      <c r="A427" s="3">
        <v>42620</v>
      </c>
      <c r="B427">
        <v>8.9999999999999998E-4</v>
      </c>
      <c r="C427">
        <v>6.0999999999999995E-3</v>
      </c>
      <c r="D427">
        <v>2.9999999999999997E-4</v>
      </c>
      <c r="E427">
        <v>-1.1000000000000001E-3</v>
      </c>
      <c r="F427">
        <v>-2.5000000000000001E-3</v>
      </c>
    </row>
    <row r="428" spans="1:6" x14ac:dyDescent="0.3">
      <c r="A428" s="3">
        <v>42621</v>
      </c>
      <c r="B428">
        <v>-1.8E-3</v>
      </c>
      <c r="C428">
        <v>4.0000000000000002E-4</v>
      </c>
      <c r="D428">
        <v>5.8999999999999999E-3</v>
      </c>
      <c r="E428">
        <v>-8.6E-3</v>
      </c>
      <c r="F428">
        <v>4.0999999999999995E-3</v>
      </c>
    </row>
    <row r="429" spans="1:6" x14ac:dyDescent="0.3">
      <c r="A429" s="3">
        <v>42622</v>
      </c>
      <c r="B429">
        <v>-2.4700000000000003E-2</v>
      </c>
      <c r="C429">
        <v>-5.6000000000000008E-3</v>
      </c>
      <c r="D429">
        <v>4.0999999999999995E-3</v>
      </c>
      <c r="E429">
        <v>4.0000000000000002E-4</v>
      </c>
      <c r="F429">
        <v>-4.4000000000000003E-3</v>
      </c>
    </row>
    <row r="430" spans="1:6" x14ac:dyDescent="0.3">
      <c r="A430" s="3">
        <v>42625</v>
      </c>
      <c r="B430">
        <v>1.44E-2</v>
      </c>
      <c r="C430">
        <v>-2.9999999999999997E-4</v>
      </c>
      <c r="D430">
        <v>-4.3E-3</v>
      </c>
      <c r="E430">
        <v>-1.4000000000000002E-3</v>
      </c>
      <c r="F430">
        <v>-1.7000000000000001E-3</v>
      </c>
    </row>
    <row r="431" spans="1:6" x14ac:dyDescent="0.3">
      <c r="A431" s="3">
        <v>42626</v>
      </c>
      <c r="B431">
        <v>-1.4800000000000001E-2</v>
      </c>
      <c r="C431">
        <v>-3.0000000000000001E-3</v>
      </c>
      <c r="D431">
        <v>-4.3E-3</v>
      </c>
      <c r="E431">
        <v>5.6000000000000008E-3</v>
      </c>
      <c r="F431">
        <v>-6.9999999999999993E-3</v>
      </c>
    </row>
    <row r="432" spans="1:6" x14ac:dyDescent="0.3">
      <c r="A432" s="3">
        <v>42627</v>
      </c>
      <c r="B432">
        <v>-8.0000000000000004E-4</v>
      </c>
      <c r="C432">
        <v>5.9999999999999995E-4</v>
      </c>
      <c r="D432">
        <v>-8.1000000000000013E-3</v>
      </c>
      <c r="E432">
        <v>1E-3</v>
      </c>
      <c r="F432">
        <v>-4.5000000000000005E-3</v>
      </c>
    </row>
    <row r="433" spans="1:6" x14ac:dyDescent="0.3">
      <c r="A433" s="3">
        <v>42628</v>
      </c>
      <c r="B433">
        <v>1.0700000000000001E-2</v>
      </c>
      <c r="C433">
        <v>3.0000000000000001E-3</v>
      </c>
      <c r="D433">
        <v>-3.2000000000000002E-3</v>
      </c>
      <c r="E433">
        <v>2.9999999999999997E-4</v>
      </c>
      <c r="F433">
        <v>-2E-3</v>
      </c>
    </row>
    <row r="434" spans="1:6" x14ac:dyDescent="0.3">
      <c r="A434" s="3">
        <v>42629</v>
      </c>
      <c r="B434">
        <v>-3.5999999999999999E-3</v>
      </c>
      <c r="C434">
        <v>2.8999999999999998E-3</v>
      </c>
      <c r="D434">
        <v>-4.5000000000000005E-3</v>
      </c>
      <c r="E434">
        <v>1.8E-3</v>
      </c>
      <c r="F434">
        <v>-1.9E-3</v>
      </c>
    </row>
    <row r="435" spans="1:6" x14ac:dyDescent="0.3">
      <c r="A435" s="3">
        <v>42632</v>
      </c>
      <c r="B435">
        <v>5.0000000000000001E-4</v>
      </c>
      <c r="C435">
        <v>5.1000000000000004E-3</v>
      </c>
      <c r="D435">
        <v>1.5E-3</v>
      </c>
      <c r="E435">
        <v>-8.0000000000000004E-4</v>
      </c>
      <c r="F435">
        <v>3.5999999999999999E-3</v>
      </c>
    </row>
    <row r="436" spans="1:6" x14ac:dyDescent="0.3">
      <c r="A436" s="3">
        <v>42633</v>
      </c>
      <c r="B436">
        <v>-2.0000000000000001E-4</v>
      </c>
      <c r="C436">
        <v>-3.4999999999999996E-3</v>
      </c>
      <c r="D436">
        <v>-4.0999999999999995E-3</v>
      </c>
      <c r="E436">
        <v>-5.5000000000000005E-3</v>
      </c>
      <c r="F436">
        <v>-1E-3</v>
      </c>
    </row>
    <row r="437" spans="1:6" x14ac:dyDescent="0.3">
      <c r="A437" s="3">
        <v>42634</v>
      </c>
      <c r="B437">
        <v>1.1200000000000002E-2</v>
      </c>
      <c r="C437">
        <v>2E-3</v>
      </c>
      <c r="D437">
        <v>3.3E-3</v>
      </c>
      <c r="E437">
        <v>-4.4000000000000003E-3</v>
      </c>
      <c r="F437">
        <v>5.1999999999999998E-3</v>
      </c>
    </row>
    <row r="438" spans="1:6" x14ac:dyDescent="0.3">
      <c r="A438" s="3">
        <v>42635</v>
      </c>
      <c r="B438">
        <v>6.9999999999999993E-3</v>
      </c>
      <c r="C438">
        <v>8.1000000000000013E-3</v>
      </c>
      <c r="D438">
        <v>-5.9999999999999995E-4</v>
      </c>
      <c r="E438">
        <v>5.0000000000000001E-4</v>
      </c>
      <c r="F438">
        <v>1E-3</v>
      </c>
    </row>
    <row r="439" spans="1:6" x14ac:dyDescent="0.3">
      <c r="A439" s="3">
        <v>42636</v>
      </c>
      <c r="B439">
        <v>-6.0000000000000001E-3</v>
      </c>
      <c r="C439">
        <v>-5.0000000000000001E-4</v>
      </c>
      <c r="D439">
        <v>-2.0999999999999999E-3</v>
      </c>
      <c r="E439">
        <v>5.3E-3</v>
      </c>
      <c r="F439">
        <v>-5.1999999999999998E-3</v>
      </c>
    </row>
    <row r="440" spans="1:6" x14ac:dyDescent="0.3">
      <c r="A440" s="3">
        <v>42639</v>
      </c>
      <c r="B440">
        <v>-8.8000000000000005E-3</v>
      </c>
      <c r="C440">
        <v>-3.0000000000000001E-3</v>
      </c>
      <c r="D440">
        <v>-3.4999999999999996E-3</v>
      </c>
      <c r="E440">
        <v>-1.5E-3</v>
      </c>
      <c r="F440">
        <v>1.7000000000000001E-3</v>
      </c>
    </row>
    <row r="441" spans="1:6" x14ac:dyDescent="0.3">
      <c r="A441" s="3">
        <v>42640</v>
      </c>
      <c r="B441">
        <v>6.4000000000000003E-3</v>
      </c>
      <c r="C441">
        <v>-1.2999999999999999E-3</v>
      </c>
      <c r="D441">
        <v>-5.0000000000000001E-3</v>
      </c>
      <c r="E441">
        <v>-2.0000000000000001E-4</v>
      </c>
      <c r="F441">
        <v>-3.8E-3</v>
      </c>
    </row>
    <row r="442" spans="1:6" x14ac:dyDescent="0.3">
      <c r="A442" s="3">
        <v>42641</v>
      </c>
      <c r="B442">
        <v>5.6000000000000008E-3</v>
      </c>
      <c r="C442">
        <v>2.2000000000000001E-3</v>
      </c>
      <c r="D442">
        <v>1.1000000000000001E-2</v>
      </c>
      <c r="E442">
        <v>-0.01</v>
      </c>
      <c r="F442">
        <v>1.15E-2</v>
      </c>
    </row>
    <row r="443" spans="1:6" x14ac:dyDescent="0.3">
      <c r="A443" s="3">
        <v>42642</v>
      </c>
      <c r="B443">
        <v>-9.7999999999999997E-3</v>
      </c>
      <c r="C443">
        <v>-3.9000000000000003E-3</v>
      </c>
      <c r="D443">
        <v>5.3E-3</v>
      </c>
      <c r="E443">
        <v>2.5999999999999999E-3</v>
      </c>
      <c r="F443">
        <v>6.7000000000000002E-3</v>
      </c>
    </row>
    <row r="444" spans="1:6" x14ac:dyDescent="0.3">
      <c r="A444" s="3">
        <v>42643</v>
      </c>
      <c r="B444">
        <v>8.8000000000000005E-3</v>
      </c>
      <c r="C444">
        <v>4.1999999999999997E-3</v>
      </c>
      <c r="D444">
        <v>3.4999999999999996E-3</v>
      </c>
      <c r="E444">
        <v>-2.3999999999999998E-3</v>
      </c>
      <c r="F444">
        <v>1E-3</v>
      </c>
    </row>
    <row r="445" spans="1:6" x14ac:dyDescent="0.3">
      <c r="A445" s="3">
        <v>42646</v>
      </c>
      <c r="B445">
        <v>-2.5999999999999999E-3</v>
      </c>
      <c r="C445">
        <v>-5.0000000000000001E-4</v>
      </c>
      <c r="D445">
        <v>-1.1999999999999999E-3</v>
      </c>
      <c r="E445">
        <v>1E-4</v>
      </c>
      <c r="F445">
        <v>1.7000000000000001E-3</v>
      </c>
    </row>
    <row r="446" spans="1:6" x14ac:dyDescent="0.3">
      <c r="A446" s="3">
        <v>42647</v>
      </c>
      <c r="B446">
        <v>-4.5999999999999999E-3</v>
      </c>
      <c r="C446">
        <v>5.9999999999999995E-4</v>
      </c>
      <c r="D446">
        <v>1.5E-3</v>
      </c>
      <c r="E446">
        <v>1.1000000000000001E-3</v>
      </c>
      <c r="F446">
        <v>-3.0999999999999999E-3</v>
      </c>
    </row>
    <row r="447" spans="1:6" x14ac:dyDescent="0.3">
      <c r="A447" s="3">
        <v>42648</v>
      </c>
      <c r="B447">
        <v>5.7999999999999996E-3</v>
      </c>
      <c r="C447">
        <v>4.1999999999999997E-3</v>
      </c>
      <c r="D447">
        <v>8.0000000000000002E-3</v>
      </c>
      <c r="E447">
        <v>-4.8999999999999998E-3</v>
      </c>
      <c r="F447">
        <v>4.4000000000000003E-3</v>
      </c>
    </row>
    <row r="448" spans="1:6" x14ac:dyDescent="0.3">
      <c r="A448" s="3">
        <v>42649</v>
      </c>
      <c r="B448">
        <v>-5.9999999999999995E-4</v>
      </c>
      <c r="C448">
        <v>-2.2000000000000001E-3</v>
      </c>
      <c r="D448">
        <v>2.8000000000000004E-3</v>
      </c>
      <c r="E448">
        <v>4.5999999999999999E-3</v>
      </c>
      <c r="F448">
        <v>2.3E-3</v>
      </c>
    </row>
    <row r="449" spans="1:6" x14ac:dyDescent="0.3">
      <c r="A449" s="3">
        <v>42650</v>
      </c>
      <c r="B449">
        <v>-3.8E-3</v>
      </c>
      <c r="C449">
        <v>-5.3E-3</v>
      </c>
      <c r="D449">
        <v>1.9E-3</v>
      </c>
      <c r="E449">
        <v>-2.3999999999999998E-3</v>
      </c>
      <c r="F449">
        <v>-3.4999999999999996E-3</v>
      </c>
    </row>
    <row r="450" spans="1:6" x14ac:dyDescent="0.3">
      <c r="A450" s="3">
        <v>42653</v>
      </c>
      <c r="B450">
        <v>5.1999999999999998E-3</v>
      </c>
      <c r="C450">
        <v>5.6000000000000008E-3</v>
      </c>
      <c r="D450">
        <v>4.0000000000000002E-4</v>
      </c>
      <c r="E450">
        <v>-5.6000000000000008E-3</v>
      </c>
      <c r="F450">
        <v>-1.8E-3</v>
      </c>
    </row>
    <row r="451" spans="1:6" x14ac:dyDescent="0.3">
      <c r="A451" s="3">
        <v>42654</v>
      </c>
      <c r="B451">
        <v>-1.3000000000000001E-2</v>
      </c>
      <c r="C451">
        <v>-5.6000000000000008E-3</v>
      </c>
      <c r="D451">
        <v>4.5999999999999999E-3</v>
      </c>
      <c r="E451">
        <v>4.1999999999999997E-3</v>
      </c>
      <c r="F451">
        <v>8.0000000000000004E-4</v>
      </c>
    </row>
    <row r="452" spans="1:6" x14ac:dyDescent="0.3">
      <c r="A452" s="3">
        <v>42655</v>
      </c>
      <c r="B452">
        <v>5.9999999999999995E-4</v>
      </c>
      <c r="C452">
        <v>-2.0999999999999999E-3</v>
      </c>
      <c r="D452">
        <v>3.4999999999999996E-3</v>
      </c>
      <c r="E452">
        <v>7.3000000000000001E-3</v>
      </c>
      <c r="F452">
        <v>1.2999999999999999E-3</v>
      </c>
    </row>
    <row r="453" spans="1:6" x14ac:dyDescent="0.3">
      <c r="A453" s="3">
        <v>42656</v>
      </c>
      <c r="B453">
        <v>-4.1999999999999997E-3</v>
      </c>
      <c r="C453">
        <v>-7.4000000000000003E-3</v>
      </c>
      <c r="D453">
        <v>-6.4000000000000003E-3</v>
      </c>
      <c r="E453">
        <v>3.0999999999999999E-3</v>
      </c>
      <c r="F453">
        <v>-1.5E-3</v>
      </c>
    </row>
    <row r="454" spans="1:6" x14ac:dyDescent="0.3">
      <c r="A454" s="3">
        <v>42657</v>
      </c>
      <c r="B454">
        <v>1E-4</v>
      </c>
      <c r="C454">
        <v>-3.4999999999999996E-3</v>
      </c>
      <c r="D454">
        <v>5.7999999999999996E-3</v>
      </c>
      <c r="E454">
        <v>1E-3</v>
      </c>
      <c r="F454">
        <v>1E-3</v>
      </c>
    </row>
    <row r="455" spans="1:6" x14ac:dyDescent="0.3">
      <c r="A455" s="3">
        <v>42660</v>
      </c>
      <c r="B455">
        <v>-2.8999999999999998E-3</v>
      </c>
      <c r="C455">
        <v>-2.0000000000000001E-4</v>
      </c>
      <c r="D455">
        <v>1.6000000000000001E-3</v>
      </c>
      <c r="E455">
        <v>1.1000000000000001E-3</v>
      </c>
      <c r="F455">
        <v>1.1000000000000001E-3</v>
      </c>
    </row>
    <row r="456" spans="1:6" x14ac:dyDescent="0.3">
      <c r="A456" s="3">
        <v>42661</v>
      </c>
      <c r="B456">
        <v>6.0000000000000001E-3</v>
      </c>
      <c r="C456">
        <v>-1.7000000000000001E-3</v>
      </c>
      <c r="D456">
        <v>5.0000000000000001E-4</v>
      </c>
      <c r="E456">
        <v>-3.4000000000000002E-3</v>
      </c>
      <c r="F456">
        <v>-3.0999999999999999E-3</v>
      </c>
    </row>
    <row r="457" spans="1:6" x14ac:dyDescent="0.3">
      <c r="A457" s="3">
        <v>42662</v>
      </c>
      <c r="B457">
        <v>2.5000000000000001E-3</v>
      </c>
      <c r="C457">
        <v>1.2999999999999999E-3</v>
      </c>
      <c r="D457">
        <v>9.3999999999999986E-3</v>
      </c>
      <c r="E457">
        <v>-1.2999999999999999E-3</v>
      </c>
      <c r="F457">
        <v>5.0000000000000001E-3</v>
      </c>
    </row>
    <row r="458" spans="1:6" x14ac:dyDescent="0.3">
      <c r="A458" s="3">
        <v>42663</v>
      </c>
      <c r="B458">
        <v>-1.6000000000000001E-3</v>
      </c>
      <c r="C458">
        <v>-4.0000000000000002E-4</v>
      </c>
      <c r="D458">
        <v>-1.1999999999999999E-3</v>
      </c>
      <c r="E458">
        <v>-4.7999999999999996E-3</v>
      </c>
      <c r="F458">
        <v>-2.0000000000000001E-4</v>
      </c>
    </row>
    <row r="459" spans="1:6" x14ac:dyDescent="0.3">
      <c r="A459" s="3">
        <v>42664</v>
      </c>
      <c r="B459">
        <v>2.0000000000000001E-4</v>
      </c>
      <c r="C459">
        <v>-1.9E-3</v>
      </c>
      <c r="D459">
        <v>-3.0999999999999999E-3</v>
      </c>
      <c r="E459">
        <v>1.1999999999999999E-3</v>
      </c>
      <c r="F459">
        <v>-1.7000000000000001E-3</v>
      </c>
    </row>
    <row r="460" spans="1:6" x14ac:dyDescent="0.3">
      <c r="A460" s="3">
        <v>42667</v>
      </c>
      <c r="B460">
        <v>5.4000000000000003E-3</v>
      </c>
      <c r="C460">
        <v>7.000000000000001E-4</v>
      </c>
      <c r="D460">
        <v>-1.8E-3</v>
      </c>
      <c r="E460">
        <v>5.8999999999999999E-3</v>
      </c>
      <c r="F460">
        <v>-4.8999999999999998E-3</v>
      </c>
    </row>
    <row r="461" spans="1:6" x14ac:dyDescent="0.3">
      <c r="A461" s="3">
        <v>42668</v>
      </c>
      <c r="B461">
        <v>-4.5999999999999999E-3</v>
      </c>
      <c r="C461">
        <v>-6.0000000000000001E-3</v>
      </c>
      <c r="D461">
        <v>2.2000000000000001E-3</v>
      </c>
      <c r="E461">
        <v>5.0000000000000001E-4</v>
      </c>
      <c r="F461">
        <v>-2.9999999999999997E-4</v>
      </c>
    </row>
    <row r="462" spans="1:6" x14ac:dyDescent="0.3">
      <c r="A462" s="3">
        <v>42669</v>
      </c>
      <c r="B462">
        <v>-2.3E-3</v>
      </c>
      <c r="C462">
        <v>-7.3000000000000001E-3</v>
      </c>
      <c r="D462">
        <v>7.0999999999999995E-3</v>
      </c>
      <c r="E462">
        <v>1.2999999999999999E-3</v>
      </c>
      <c r="F462">
        <v>5.1000000000000004E-3</v>
      </c>
    </row>
    <row r="463" spans="1:6" x14ac:dyDescent="0.3">
      <c r="A463" s="3">
        <v>42670</v>
      </c>
      <c r="B463">
        <v>-3.3E-3</v>
      </c>
      <c r="C463">
        <v>-9.3999999999999986E-3</v>
      </c>
      <c r="D463">
        <v>5.7999999999999996E-3</v>
      </c>
      <c r="E463">
        <v>-5.9999999999999995E-4</v>
      </c>
      <c r="F463">
        <v>2.0000000000000001E-4</v>
      </c>
    </row>
    <row r="464" spans="1:6" x14ac:dyDescent="0.3">
      <c r="A464" s="3">
        <v>42671</v>
      </c>
      <c r="B464">
        <v>-2.8999999999999998E-3</v>
      </c>
      <c r="C464">
        <v>-1.5E-3</v>
      </c>
      <c r="D464">
        <v>8.0000000000000004E-4</v>
      </c>
      <c r="E464">
        <v>-1.7000000000000001E-3</v>
      </c>
      <c r="F464">
        <v>3.4999999999999996E-3</v>
      </c>
    </row>
    <row r="465" spans="1:6" x14ac:dyDescent="0.3">
      <c r="A465" s="3">
        <v>42674</v>
      </c>
      <c r="B465">
        <v>2.0000000000000001E-4</v>
      </c>
      <c r="C465">
        <v>1.1000000000000001E-3</v>
      </c>
      <c r="D465">
        <v>8.9999999999999998E-4</v>
      </c>
      <c r="E465">
        <v>5.0000000000000001E-3</v>
      </c>
      <c r="F465">
        <v>-3.4999999999999996E-3</v>
      </c>
    </row>
    <row r="466" spans="1:6" x14ac:dyDescent="0.3">
      <c r="A466" s="3">
        <v>42675</v>
      </c>
      <c r="B466">
        <v>-6.8000000000000005E-3</v>
      </c>
      <c r="C466">
        <v>-3.8E-3</v>
      </c>
      <c r="D466">
        <v>1.9E-3</v>
      </c>
      <c r="E466">
        <v>-5.0000000000000001E-3</v>
      </c>
      <c r="F466">
        <v>-5.9999999999999995E-4</v>
      </c>
    </row>
    <row r="467" spans="1:6" x14ac:dyDescent="0.3">
      <c r="A467" s="3">
        <v>42676</v>
      </c>
      <c r="B467">
        <v>-7.3000000000000001E-3</v>
      </c>
      <c r="C467">
        <v>-5.6000000000000008E-3</v>
      </c>
      <c r="D467">
        <v>2.5999999999999999E-3</v>
      </c>
      <c r="E467">
        <v>1.01E-2</v>
      </c>
      <c r="F467">
        <v>1E-3</v>
      </c>
    </row>
    <row r="468" spans="1:6" x14ac:dyDescent="0.3">
      <c r="A468" s="3">
        <v>42677</v>
      </c>
      <c r="B468">
        <v>-4.0000000000000001E-3</v>
      </c>
      <c r="C468">
        <v>-3.7000000000000002E-3</v>
      </c>
      <c r="D468">
        <v>1.0500000000000001E-2</v>
      </c>
      <c r="E468">
        <v>1.6000000000000001E-3</v>
      </c>
      <c r="F468">
        <v>7.9000000000000008E-3</v>
      </c>
    </row>
    <row r="469" spans="1:6" x14ac:dyDescent="0.3">
      <c r="A469" s="3">
        <v>42678</v>
      </c>
      <c r="B469">
        <v>-1.1999999999999999E-3</v>
      </c>
      <c r="C469">
        <v>8.5000000000000006E-3</v>
      </c>
      <c r="D469">
        <v>-4.4000000000000003E-3</v>
      </c>
      <c r="E469">
        <v>-1E-3</v>
      </c>
      <c r="F469">
        <v>-5.0000000000000001E-4</v>
      </c>
    </row>
    <row r="470" spans="1:6" x14ac:dyDescent="0.3">
      <c r="A470" s="3">
        <v>42681</v>
      </c>
      <c r="B470">
        <v>2.23E-2</v>
      </c>
      <c r="C470">
        <v>1.7000000000000001E-3</v>
      </c>
      <c r="D470">
        <v>-1.1999999999999999E-3</v>
      </c>
      <c r="E470">
        <v>-2.8999999999999998E-3</v>
      </c>
      <c r="F470">
        <v>-2.3E-3</v>
      </c>
    </row>
    <row r="471" spans="1:6" x14ac:dyDescent="0.3">
      <c r="A471" s="3">
        <v>42682</v>
      </c>
      <c r="B471">
        <v>4.0000000000000001E-3</v>
      </c>
      <c r="C471">
        <v>-1.1000000000000001E-3</v>
      </c>
      <c r="D471">
        <v>-2.2000000000000001E-3</v>
      </c>
      <c r="E471">
        <v>-5.0000000000000001E-4</v>
      </c>
      <c r="F471">
        <v>3.0000000000000001E-3</v>
      </c>
    </row>
    <row r="472" spans="1:6" x14ac:dyDescent="0.3">
      <c r="A472" s="3">
        <v>42683</v>
      </c>
      <c r="B472">
        <v>1.46E-2</v>
      </c>
      <c r="C472">
        <v>2.1299999999999999E-2</v>
      </c>
      <c r="D472">
        <v>1.03E-2</v>
      </c>
      <c r="E472">
        <v>-7.7000000000000002E-3</v>
      </c>
      <c r="F472">
        <v>7.3000000000000001E-3</v>
      </c>
    </row>
    <row r="473" spans="1:6" x14ac:dyDescent="0.3">
      <c r="A473" s="3">
        <v>42684</v>
      </c>
      <c r="B473">
        <v>3.2000000000000002E-3</v>
      </c>
      <c r="C473">
        <v>1.4800000000000001E-2</v>
      </c>
      <c r="D473">
        <v>1.83E-2</v>
      </c>
      <c r="E473">
        <v>-1.1000000000000001E-3</v>
      </c>
      <c r="F473">
        <v>3.4999999999999996E-3</v>
      </c>
    </row>
    <row r="474" spans="1:6" x14ac:dyDescent="0.3">
      <c r="A474" s="3">
        <v>42685</v>
      </c>
      <c r="B474">
        <v>1.8E-3</v>
      </c>
      <c r="C474">
        <v>2.53E-2</v>
      </c>
      <c r="D474">
        <v>-1E-4</v>
      </c>
      <c r="E474">
        <v>8.0000000000000004E-4</v>
      </c>
      <c r="F474">
        <v>-3.4000000000000002E-3</v>
      </c>
    </row>
    <row r="475" spans="1:6" x14ac:dyDescent="0.3">
      <c r="A475" s="3">
        <v>42688</v>
      </c>
      <c r="B475">
        <v>2.0999999999999999E-3</v>
      </c>
      <c r="C475">
        <v>9.0000000000000011E-3</v>
      </c>
      <c r="D475">
        <v>1.41E-2</v>
      </c>
      <c r="E475">
        <v>-2.3E-3</v>
      </c>
      <c r="F475">
        <v>3.4000000000000002E-3</v>
      </c>
    </row>
    <row r="476" spans="1:6" x14ac:dyDescent="0.3">
      <c r="A476" s="3">
        <v>42689</v>
      </c>
      <c r="B476">
        <v>8.0000000000000002E-3</v>
      </c>
      <c r="C476">
        <v>-5.5000000000000005E-3</v>
      </c>
      <c r="D476">
        <v>1.6000000000000001E-3</v>
      </c>
      <c r="E476">
        <v>-6.0000000000000001E-3</v>
      </c>
      <c r="F476">
        <v>2.2000000000000001E-3</v>
      </c>
    </row>
    <row r="477" spans="1:6" x14ac:dyDescent="0.3">
      <c r="A477" s="3">
        <v>42690</v>
      </c>
      <c r="B477">
        <v>-1.1999999999999999E-3</v>
      </c>
      <c r="C477">
        <v>2.2000000000000001E-3</v>
      </c>
      <c r="D477">
        <v>-5.5000000000000005E-3</v>
      </c>
      <c r="E477">
        <v>7.8000000000000005E-3</v>
      </c>
      <c r="F477">
        <v>-1.7000000000000001E-3</v>
      </c>
    </row>
    <row r="478" spans="1:6" x14ac:dyDescent="0.3">
      <c r="A478" s="3">
        <v>42691</v>
      </c>
      <c r="B478">
        <v>5.6000000000000008E-3</v>
      </c>
      <c r="C478">
        <v>1.6000000000000001E-3</v>
      </c>
      <c r="D478">
        <v>-1.5E-3</v>
      </c>
      <c r="E478">
        <v>1.8E-3</v>
      </c>
      <c r="F478">
        <v>-4.1999999999999997E-3</v>
      </c>
    </row>
    <row r="479" spans="1:6" x14ac:dyDescent="0.3">
      <c r="A479" s="3">
        <v>42692</v>
      </c>
      <c r="B479">
        <v>-1.6000000000000001E-3</v>
      </c>
      <c r="C479">
        <v>5.6000000000000008E-3</v>
      </c>
      <c r="D479">
        <v>3.9000000000000003E-3</v>
      </c>
      <c r="E479">
        <v>-2.3E-3</v>
      </c>
      <c r="F479">
        <v>1E-3</v>
      </c>
    </row>
    <row r="480" spans="1:6" x14ac:dyDescent="0.3">
      <c r="A480" s="3">
        <v>42695</v>
      </c>
      <c r="B480">
        <v>7.7000000000000002E-3</v>
      </c>
      <c r="C480">
        <v>-2.5999999999999999E-3</v>
      </c>
      <c r="D480">
        <v>7.000000000000001E-4</v>
      </c>
      <c r="E480">
        <v>-8.0000000000000004E-4</v>
      </c>
      <c r="F480">
        <v>3.5999999999999999E-3</v>
      </c>
    </row>
    <row r="481" spans="1:6" x14ac:dyDescent="0.3">
      <c r="A481" s="3">
        <v>42696</v>
      </c>
      <c r="B481">
        <v>3.0999999999999999E-3</v>
      </c>
      <c r="C481">
        <v>6.4000000000000003E-3</v>
      </c>
      <c r="D481">
        <v>5.3E-3</v>
      </c>
      <c r="E481">
        <v>8.5000000000000006E-3</v>
      </c>
      <c r="F481">
        <v>2.8000000000000004E-3</v>
      </c>
    </row>
    <row r="482" spans="1:6" x14ac:dyDescent="0.3">
      <c r="A482" s="3">
        <v>42697</v>
      </c>
      <c r="B482">
        <v>1.6000000000000001E-3</v>
      </c>
      <c r="C482">
        <v>5.5000000000000005E-3</v>
      </c>
      <c r="D482">
        <v>1.9E-3</v>
      </c>
      <c r="E482">
        <v>-3.0000000000000001E-3</v>
      </c>
      <c r="F482">
        <v>1.6000000000000001E-3</v>
      </c>
    </row>
    <row r="483" spans="1:6" x14ac:dyDescent="0.3">
      <c r="A483" s="3">
        <v>42699</v>
      </c>
      <c r="B483">
        <v>4.0000000000000001E-3</v>
      </c>
      <c r="C483">
        <v>-5.0000000000000001E-4</v>
      </c>
      <c r="D483">
        <v>-2.8999999999999998E-3</v>
      </c>
      <c r="E483">
        <v>2.5999999999999999E-3</v>
      </c>
      <c r="F483">
        <v>-1.6000000000000001E-3</v>
      </c>
    </row>
    <row r="484" spans="1:6" x14ac:dyDescent="0.3">
      <c r="A484" s="3">
        <v>42702</v>
      </c>
      <c r="B484">
        <v>-6.4000000000000003E-3</v>
      </c>
      <c r="C484">
        <v>-7.7000000000000002E-3</v>
      </c>
      <c r="D484">
        <v>8.9999999999999998E-4</v>
      </c>
      <c r="E484">
        <v>6.9999999999999993E-3</v>
      </c>
      <c r="F484">
        <v>-3.4999999999999996E-3</v>
      </c>
    </row>
    <row r="485" spans="1:6" x14ac:dyDescent="0.3">
      <c r="A485" s="3">
        <v>42703</v>
      </c>
      <c r="B485">
        <v>1.1000000000000001E-3</v>
      </c>
      <c r="C485">
        <v>-3.7000000000000002E-3</v>
      </c>
      <c r="D485">
        <v>-5.9999999999999995E-4</v>
      </c>
      <c r="E485">
        <v>4.7999999999999996E-3</v>
      </c>
      <c r="F485">
        <v>-5.0000000000000001E-3</v>
      </c>
    </row>
    <row r="486" spans="1:6" x14ac:dyDescent="0.3">
      <c r="A486" s="3">
        <v>42704</v>
      </c>
      <c r="B486">
        <v>-2.5000000000000001E-3</v>
      </c>
      <c r="C486">
        <v>-2E-3</v>
      </c>
      <c r="D486">
        <v>2.2200000000000001E-2</v>
      </c>
      <c r="E486">
        <v>-1.5300000000000001E-2</v>
      </c>
      <c r="F486">
        <v>0.02</v>
      </c>
    </row>
    <row r="487" spans="1:6" x14ac:dyDescent="0.3">
      <c r="A487" s="3">
        <v>42705</v>
      </c>
      <c r="B487">
        <v>-3.5999999999999999E-3</v>
      </c>
      <c r="C487">
        <v>-3.8E-3</v>
      </c>
      <c r="D487">
        <v>2.0400000000000001E-2</v>
      </c>
      <c r="E487">
        <v>3.9000000000000003E-3</v>
      </c>
      <c r="F487">
        <v>6.1999999999999998E-3</v>
      </c>
    </row>
    <row r="488" spans="1:6" x14ac:dyDescent="0.3">
      <c r="A488" s="3">
        <v>42706</v>
      </c>
      <c r="B488">
        <v>0</v>
      </c>
      <c r="C488">
        <v>-1E-4</v>
      </c>
      <c r="D488">
        <v>-3.3E-3</v>
      </c>
      <c r="E488">
        <v>-1.2999999999999999E-3</v>
      </c>
      <c r="F488">
        <v>8.9999999999999998E-4</v>
      </c>
    </row>
    <row r="489" spans="1:6" x14ac:dyDescent="0.3">
      <c r="A489" s="3">
        <v>42709</v>
      </c>
      <c r="B489">
        <v>7.4999999999999997E-3</v>
      </c>
      <c r="C489">
        <v>1.11E-2</v>
      </c>
      <c r="D489">
        <v>2.8999999999999998E-3</v>
      </c>
      <c r="E489">
        <v>-3.3E-3</v>
      </c>
      <c r="F489">
        <v>-1.6000000000000001E-3</v>
      </c>
    </row>
    <row r="490" spans="1:6" x14ac:dyDescent="0.3">
      <c r="A490" s="3">
        <v>42710</v>
      </c>
      <c r="B490">
        <v>4.7999999999999996E-3</v>
      </c>
      <c r="C490">
        <v>6.3E-3</v>
      </c>
      <c r="D490">
        <v>2.2000000000000001E-3</v>
      </c>
      <c r="E490">
        <v>-1.4000000000000002E-3</v>
      </c>
      <c r="F490">
        <v>-8.9999999999999998E-4</v>
      </c>
    </row>
    <row r="491" spans="1:6" x14ac:dyDescent="0.3">
      <c r="A491" s="3">
        <v>42711</v>
      </c>
      <c r="B491">
        <v>1.26E-2</v>
      </c>
      <c r="C491">
        <v>-4.7999999999999996E-3</v>
      </c>
      <c r="D491">
        <v>5.0000000000000001E-3</v>
      </c>
      <c r="E491">
        <v>8.8999999999999999E-3</v>
      </c>
      <c r="F491">
        <v>-1E-4</v>
      </c>
    </row>
    <row r="492" spans="1:6" x14ac:dyDescent="0.3">
      <c r="A492" s="3">
        <v>42712</v>
      </c>
      <c r="B492">
        <v>3.5999999999999999E-3</v>
      </c>
      <c r="C492">
        <v>1.23E-2</v>
      </c>
      <c r="D492">
        <v>6.0000000000000001E-3</v>
      </c>
      <c r="E492">
        <v>-2.5999999999999999E-3</v>
      </c>
      <c r="F492">
        <v>-1E-3</v>
      </c>
    </row>
    <row r="493" spans="1:6" x14ac:dyDescent="0.3">
      <c r="A493" s="3">
        <v>42713</v>
      </c>
      <c r="B493">
        <v>4.5999999999999999E-3</v>
      </c>
      <c r="C493">
        <v>-3.4999999999999996E-3</v>
      </c>
      <c r="D493">
        <v>2E-3</v>
      </c>
      <c r="E493">
        <v>-5.0000000000000001E-4</v>
      </c>
      <c r="F493">
        <v>-4.0000000000000002E-4</v>
      </c>
    </row>
    <row r="494" spans="1:6" x14ac:dyDescent="0.3">
      <c r="A494" s="3">
        <v>42716</v>
      </c>
      <c r="B494">
        <v>-3.0000000000000001E-3</v>
      </c>
      <c r="C494">
        <v>-9.7000000000000003E-3</v>
      </c>
      <c r="D494">
        <v>-1.2999999999999999E-3</v>
      </c>
      <c r="E494">
        <v>1.7000000000000001E-3</v>
      </c>
      <c r="F494">
        <v>2.9999999999999997E-4</v>
      </c>
    </row>
    <row r="495" spans="1:6" x14ac:dyDescent="0.3">
      <c r="A495" s="3">
        <v>42717</v>
      </c>
      <c r="B495">
        <v>6.0000000000000001E-3</v>
      </c>
      <c r="C495">
        <v>-5.7999999999999996E-3</v>
      </c>
      <c r="D495">
        <v>-2.5999999999999999E-3</v>
      </c>
      <c r="E495">
        <v>4.0000000000000002E-4</v>
      </c>
      <c r="F495">
        <v>-1.7000000000000001E-3</v>
      </c>
    </row>
    <row r="496" spans="1:6" x14ac:dyDescent="0.3">
      <c r="A496" s="3">
        <v>42718</v>
      </c>
      <c r="B496">
        <v>-8.199999999999999E-3</v>
      </c>
      <c r="C496">
        <v>-3.9000000000000003E-3</v>
      </c>
      <c r="D496">
        <v>-2.8999999999999998E-3</v>
      </c>
      <c r="E496">
        <v>4.5000000000000005E-3</v>
      </c>
      <c r="F496">
        <v>-5.1999999999999998E-3</v>
      </c>
    </row>
    <row r="497" spans="1:6" x14ac:dyDescent="0.3">
      <c r="A497" s="3">
        <v>42719</v>
      </c>
      <c r="B497">
        <v>4.5999999999999999E-3</v>
      </c>
      <c r="C497">
        <v>4.5999999999999999E-3</v>
      </c>
      <c r="D497">
        <v>3.0000000000000001E-3</v>
      </c>
      <c r="E497">
        <v>4.0000000000000002E-4</v>
      </c>
      <c r="F497">
        <v>5.9999999999999995E-4</v>
      </c>
    </row>
    <row r="498" spans="1:6" x14ac:dyDescent="0.3">
      <c r="A498" s="3">
        <v>42720</v>
      </c>
      <c r="B498">
        <v>-2.2000000000000001E-3</v>
      </c>
      <c r="C498">
        <v>-2.0000000000000001E-4</v>
      </c>
      <c r="D498">
        <v>-4.0999999999999995E-3</v>
      </c>
      <c r="E498">
        <v>-1.9E-3</v>
      </c>
      <c r="F498">
        <v>-1E-4</v>
      </c>
    </row>
    <row r="499" spans="1:6" x14ac:dyDescent="0.3">
      <c r="A499" s="3">
        <v>42723</v>
      </c>
      <c r="B499">
        <v>2.2000000000000001E-3</v>
      </c>
      <c r="C499">
        <v>3.2000000000000002E-3</v>
      </c>
      <c r="D499">
        <v>8.0000000000000004E-4</v>
      </c>
      <c r="E499">
        <v>2.5000000000000001E-3</v>
      </c>
      <c r="F499">
        <v>5.0000000000000001E-4</v>
      </c>
    </row>
    <row r="500" spans="1:6" x14ac:dyDescent="0.3">
      <c r="A500" s="3">
        <v>42724</v>
      </c>
      <c r="B500">
        <v>4.4000000000000003E-3</v>
      </c>
      <c r="C500">
        <v>5.0000000000000001E-3</v>
      </c>
      <c r="D500">
        <v>6.4000000000000003E-3</v>
      </c>
      <c r="E500">
        <v>1.1999999999999999E-3</v>
      </c>
      <c r="F500">
        <v>1E-3</v>
      </c>
    </row>
    <row r="501" spans="1:6" x14ac:dyDescent="0.3">
      <c r="A501" s="3">
        <v>42725</v>
      </c>
      <c r="B501">
        <v>-2.3999999999999998E-3</v>
      </c>
      <c r="C501">
        <v>-3.4999999999999996E-3</v>
      </c>
      <c r="D501">
        <v>2.2000000000000001E-3</v>
      </c>
      <c r="E501">
        <v>1.4000000000000002E-3</v>
      </c>
      <c r="F501">
        <v>5.0000000000000001E-4</v>
      </c>
    </row>
    <row r="502" spans="1:6" x14ac:dyDescent="0.3">
      <c r="A502" s="3">
        <v>42726</v>
      </c>
      <c r="B502">
        <v>-3.0000000000000001E-3</v>
      </c>
      <c r="C502">
        <v>-7.7000000000000002E-3</v>
      </c>
      <c r="D502">
        <v>2.5999999999999999E-3</v>
      </c>
      <c r="E502">
        <v>-1.9E-3</v>
      </c>
      <c r="F502">
        <v>5.0000000000000001E-4</v>
      </c>
    </row>
    <row r="503" spans="1:6" x14ac:dyDescent="0.3">
      <c r="A503" s="3">
        <v>42727</v>
      </c>
      <c r="B503">
        <v>1.9E-3</v>
      </c>
      <c r="C503">
        <v>5.1999999999999998E-3</v>
      </c>
      <c r="D503">
        <v>-5.0000000000000001E-3</v>
      </c>
      <c r="E503">
        <v>-4.0000000000000001E-3</v>
      </c>
      <c r="F503">
        <v>-1.5E-3</v>
      </c>
    </row>
    <row r="504" spans="1:6" x14ac:dyDescent="0.3">
      <c r="A504" s="3">
        <v>42731</v>
      </c>
      <c r="B504">
        <v>2.7000000000000001E-3</v>
      </c>
      <c r="C504">
        <v>2.3E-3</v>
      </c>
      <c r="D504">
        <v>1.4000000000000002E-3</v>
      </c>
      <c r="E504">
        <v>1.4000000000000002E-3</v>
      </c>
      <c r="F504">
        <v>4.0000000000000002E-4</v>
      </c>
    </row>
    <row r="505" spans="1:6" x14ac:dyDescent="0.3">
      <c r="A505" s="3">
        <v>42732</v>
      </c>
      <c r="B505">
        <v>-8.6999999999999994E-3</v>
      </c>
      <c r="C505">
        <v>-2.8999999999999998E-3</v>
      </c>
      <c r="D505">
        <v>8.9999999999999998E-4</v>
      </c>
      <c r="E505">
        <v>1.9E-3</v>
      </c>
      <c r="F505">
        <v>-1.5E-3</v>
      </c>
    </row>
    <row r="506" spans="1:6" x14ac:dyDescent="0.3">
      <c r="A506" s="3">
        <v>42733</v>
      </c>
      <c r="B506">
        <v>-4.0000000000000002E-4</v>
      </c>
      <c r="C506">
        <v>1E-3</v>
      </c>
      <c r="D506">
        <v>-3.3E-3</v>
      </c>
      <c r="E506">
        <v>2.7000000000000001E-3</v>
      </c>
      <c r="F506">
        <v>2.0000000000000001E-4</v>
      </c>
    </row>
    <row r="507" spans="1:6" x14ac:dyDescent="0.3">
      <c r="A507" s="3">
        <v>42734</v>
      </c>
      <c r="B507">
        <v>-5.1999999999999998E-3</v>
      </c>
      <c r="C507">
        <v>-5.9999999999999995E-4</v>
      </c>
      <c r="D507">
        <v>2E-3</v>
      </c>
      <c r="E507">
        <v>-8.9999999999999998E-4</v>
      </c>
      <c r="F507">
        <v>2.9999999999999997E-4</v>
      </c>
    </row>
    <row r="508" spans="1:6" x14ac:dyDescent="0.3">
      <c r="A508" s="3">
        <v>42738</v>
      </c>
      <c r="B508">
        <v>8.3000000000000001E-3</v>
      </c>
      <c r="C508">
        <v>-1E-3</v>
      </c>
      <c r="D508">
        <v>5.9999999999999995E-4</v>
      </c>
      <c r="E508">
        <v>-2.3999999999999998E-3</v>
      </c>
      <c r="F508">
        <v>2.7000000000000001E-3</v>
      </c>
    </row>
    <row r="509" spans="1:6" x14ac:dyDescent="0.3">
      <c r="A509" s="3">
        <v>42739</v>
      </c>
      <c r="B509">
        <v>7.9000000000000008E-3</v>
      </c>
      <c r="C509">
        <v>9.5999999999999992E-3</v>
      </c>
      <c r="D509">
        <v>-1.5E-3</v>
      </c>
      <c r="E509">
        <v>-5.1999999999999998E-3</v>
      </c>
      <c r="F509">
        <v>-2.9999999999999997E-4</v>
      </c>
    </row>
    <row r="510" spans="1:6" x14ac:dyDescent="0.3">
      <c r="A510" s="3">
        <v>42740</v>
      </c>
      <c r="B510">
        <v>-2.0999999999999999E-3</v>
      </c>
      <c r="C510">
        <v>-1.0200000000000001E-2</v>
      </c>
      <c r="D510">
        <v>-7.8000000000000005E-3</v>
      </c>
      <c r="E510">
        <v>-2.3999999999999998E-3</v>
      </c>
      <c r="F510">
        <v>-8.0000000000000004E-4</v>
      </c>
    </row>
    <row r="511" spans="1:6" x14ac:dyDescent="0.3">
      <c r="A511" s="3">
        <v>42741</v>
      </c>
      <c r="B511">
        <v>2.8999999999999998E-3</v>
      </c>
      <c r="C511">
        <v>-7.4000000000000003E-3</v>
      </c>
      <c r="D511">
        <v>-3.0000000000000001E-3</v>
      </c>
      <c r="E511">
        <v>-3.5999999999999999E-3</v>
      </c>
      <c r="F511">
        <v>-3.0000000000000001E-3</v>
      </c>
    </row>
    <row r="512" spans="1:6" x14ac:dyDescent="0.3">
      <c r="A512" s="3">
        <v>42744</v>
      </c>
      <c r="B512">
        <v>-3.7000000000000002E-3</v>
      </c>
      <c r="C512">
        <v>-3.4000000000000002E-3</v>
      </c>
      <c r="D512">
        <v>-1.04E-2</v>
      </c>
      <c r="E512">
        <v>1.2999999999999999E-3</v>
      </c>
      <c r="F512">
        <v>-5.1999999999999998E-3</v>
      </c>
    </row>
    <row r="513" spans="1:6" x14ac:dyDescent="0.3">
      <c r="A513" s="3">
        <v>42745</v>
      </c>
      <c r="B513">
        <v>1.6000000000000001E-3</v>
      </c>
      <c r="C513">
        <v>9.300000000000001E-3</v>
      </c>
      <c r="D513">
        <v>4.4000000000000003E-3</v>
      </c>
      <c r="E513">
        <v>2.0000000000000001E-4</v>
      </c>
      <c r="F513">
        <v>5.0000000000000001E-4</v>
      </c>
    </row>
    <row r="514" spans="1:6" x14ac:dyDescent="0.3">
      <c r="A514" s="3">
        <v>42746</v>
      </c>
      <c r="B514">
        <v>3.0999999999999999E-3</v>
      </c>
      <c r="C514">
        <v>-1.5E-3</v>
      </c>
      <c r="D514">
        <v>6.6E-3</v>
      </c>
      <c r="E514">
        <v>7.000000000000001E-4</v>
      </c>
      <c r="F514">
        <v>2.8000000000000004E-3</v>
      </c>
    </row>
    <row r="515" spans="1:6" x14ac:dyDescent="0.3">
      <c r="A515" s="3">
        <v>42747</v>
      </c>
      <c r="B515">
        <v>-3.0000000000000001E-3</v>
      </c>
      <c r="C515">
        <v>-6.4000000000000003E-3</v>
      </c>
      <c r="D515">
        <v>-8.8000000000000005E-3</v>
      </c>
      <c r="E515">
        <v>5.9999999999999995E-4</v>
      </c>
      <c r="F515">
        <v>-2.8000000000000004E-3</v>
      </c>
    </row>
    <row r="516" spans="1:6" x14ac:dyDescent="0.3">
      <c r="A516" s="3">
        <v>42748</v>
      </c>
      <c r="B516">
        <v>2.8999999999999998E-3</v>
      </c>
      <c r="C516">
        <v>5.8999999999999999E-3</v>
      </c>
      <c r="D516">
        <v>-8.0000000000000004E-4</v>
      </c>
      <c r="E516">
        <v>-2.8999999999999998E-3</v>
      </c>
      <c r="F516">
        <v>-1.7000000000000001E-3</v>
      </c>
    </row>
    <row r="517" spans="1:6" x14ac:dyDescent="0.3">
      <c r="A517" s="3">
        <v>42752</v>
      </c>
      <c r="B517">
        <v>-4.8999999999999998E-3</v>
      </c>
      <c r="C517">
        <v>-9.5999999999999992E-3</v>
      </c>
      <c r="D517">
        <v>-6.3E-3</v>
      </c>
      <c r="E517">
        <v>5.5000000000000005E-3</v>
      </c>
      <c r="F517">
        <v>3.9000000000000003E-3</v>
      </c>
    </row>
    <row r="518" spans="1:6" x14ac:dyDescent="0.3">
      <c r="A518" s="3">
        <v>42753</v>
      </c>
      <c r="B518">
        <v>2.3999999999999998E-3</v>
      </c>
      <c r="C518">
        <v>2E-3</v>
      </c>
      <c r="D518">
        <v>2.3999999999999998E-3</v>
      </c>
      <c r="E518">
        <v>-8.9999999999999998E-4</v>
      </c>
      <c r="F518">
        <v>-1E-3</v>
      </c>
    </row>
    <row r="519" spans="1:6" x14ac:dyDescent="0.3">
      <c r="A519" s="3">
        <v>42754</v>
      </c>
      <c r="B519">
        <v>-3.8E-3</v>
      </c>
      <c r="C519">
        <v>-5.5000000000000005E-3</v>
      </c>
      <c r="D519">
        <v>-4.0000000000000002E-4</v>
      </c>
      <c r="E519">
        <v>-1.1999999999999999E-3</v>
      </c>
      <c r="F519">
        <v>-2.9999999999999997E-4</v>
      </c>
    </row>
    <row r="520" spans="1:6" x14ac:dyDescent="0.3">
      <c r="A520" s="3">
        <v>42755</v>
      </c>
      <c r="B520">
        <v>3.3E-3</v>
      </c>
      <c r="C520">
        <v>8.9999999999999998E-4</v>
      </c>
      <c r="D520">
        <v>2E-3</v>
      </c>
      <c r="E520">
        <v>1.6000000000000001E-3</v>
      </c>
      <c r="F520">
        <v>1E-4</v>
      </c>
    </row>
    <row r="521" spans="1:6" x14ac:dyDescent="0.3">
      <c r="A521" s="3">
        <v>42758</v>
      </c>
      <c r="B521">
        <v>-2.8999999999999998E-3</v>
      </c>
      <c r="C521">
        <v>-5.0000000000000001E-4</v>
      </c>
      <c r="D521">
        <v>-3.3E-3</v>
      </c>
      <c r="E521">
        <v>4.3E-3</v>
      </c>
      <c r="F521">
        <v>-3.4999999999999996E-3</v>
      </c>
    </row>
    <row r="522" spans="1:6" x14ac:dyDescent="0.3">
      <c r="A522" s="3">
        <v>42759</v>
      </c>
      <c r="B522">
        <v>8.3000000000000001E-3</v>
      </c>
      <c r="C522">
        <v>7.9000000000000008E-3</v>
      </c>
      <c r="D522">
        <v>8.199999999999999E-3</v>
      </c>
      <c r="E522">
        <v>-2.3999999999999998E-3</v>
      </c>
      <c r="F522">
        <v>4.8999999999999998E-3</v>
      </c>
    </row>
    <row r="523" spans="1:6" x14ac:dyDescent="0.3">
      <c r="A523" s="3">
        <v>42760</v>
      </c>
      <c r="B523">
        <v>8.3999999999999995E-3</v>
      </c>
      <c r="C523">
        <v>2.2000000000000001E-3</v>
      </c>
      <c r="D523">
        <v>4.4000000000000003E-3</v>
      </c>
      <c r="E523">
        <v>-1.9E-3</v>
      </c>
      <c r="F523">
        <v>-1.6000000000000001E-3</v>
      </c>
    </row>
    <row r="524" spans="1:6" x14ac:dyDescent="0.3">
      <c r="A524" s="3">
        <v>42761</v>
      </c>
      <c r="B524">
        <v>-1E-3</v>
      </c>
      <c r="C524">
        <v>-5.7999999999999996E-3</v>
      </c>
      <c r="D524">
        <v>4.0999999999999995E-3</v>
      </c>
      <c r="E524">
        <v>-5.0000000000000001E-4</v>
      </c>
      <c r="F524">
        <v>-1.6000000000000001E-3</v>
      </c>
    </row>
    <row r="525" spans="1:6" x14ac:dyDescent="0.3">
      <c r="A525" s="3">
        <v>42762</v>
      </c>
      <c r="B525">
        <v>-1.1999999999999999E-3</v>
      </c>
      <c r="C525">
        <v>-5.9999999999999995E-4</v>
      </c>
      <c r="D525">
        <v>-6.8000000000000005E-3</v>
      </c>
      <c r="E525">
        <v>1.2999999999999999E-3</v>
      </c>
      <c r="F525">
        <v>5.0000000000000001E-4</v>
      </c>
    </row>
    <row r="526" spans="1:6" x14ac:dyDescent="0.3">
      <c r="A526" s="3">
        <v>42765</v>
      </c>
      <c r="B526">
        <v>-6.8000000000000005E-3</v>
      </c>
      <c r="C526">
        <v>-7.3000000000000001E-3</v>
      </c>
      <c r="D526">
        <v>-4.5999999999999999E-3</v>
      </c>
      <c r="E526">
        <v>6.6E-3</v>
      </c>
      <c r="F526">
        <v>-1.6000000000000001E-3</v>
      </c>
    </row>
    <row r="527" spans="1:6" x14ac:dyDescent="0.3">
      <c r="A527" s="3">
        <v>42766</v>
      </c>
      <c r="B527">
        <v>0</v>
      </c>
      <c r="C527">
        <v>8.1000000000000013E-3</v>
      </c>
      <c r="D527">
        <v>-5.6999999999999993E-3</v>
      </c>
      <c r="E527">
        <v>-4.0999999999999995E-3</v>
      </c>
      <c r="F527">
        <v>-2.5000000000000001E-3</v>
      </c>
    </row>
    <row r="528" spans="1:6" x14ac:dyDescent="0.3">
      <c r="A528" s="3">
        <v>42767</v>
      </c>
      <c r="B528">
        <v>4.0000000000000002E-4</v>
      </c>
      <c r="C528">
        <v>-8.0000000000000004E-4</v>
      </c>
      <c r="D528">
        <v>4.0000000000000002E-4</v>
      </c>
      <c r="E528">
        <v>2.0999999999999999E-3</v>
      </c>
      <c r="F528">
        <v>-2.3E-3</v>
      </c>
    </row>
    <row r="529" spans="1:6" x14ac:dyDescent="0.3">
      <c r="A529" s="3">
        <v>42768</v>
      </c>
      <c r="B529">
        <v>-2.0000000000000001E-4</v>
      </c>
      <c r="C529">
        <v>-3.0000000000000001E-3</v>
      </c>
      <c r="D529">
        <v>-3.2000000000000002E-3</v>
      </c>
      <c r="E529">
        <v>-3.4000000000000002E-3</v>
      </c>
      <c r="F529">
        <v>1.6000000000000001E-3</v>
      </c>
    </row>
    <row r="530" spans="1:6" x14ac:dyDescent="0.3">
      <c r="A530" s="3">
        <v>42769</v>
      </c>
      <c r="B530">
        <v>8.199999999999999E-3</v>
      </c>
      <c r="C530">
        <v>6.0999999999999995E-3</v>
      </c>
      <c r="D530">
        <v>7.4999999999999997E-3</v>
      </c>
      <c r="E530">
        <v>-5.5000000000000005E-3</v>
      </c>
      <c r="F530">
        <v>3.2000000000000002E-3</v>
      </c>
    </row>
    <row r="531" spans="1:6" x14ac:dyDescent="0.3">
      <c r="A531" s="3">
        <v>42772</v>
      </c>
      <c r="B531">
        <v>-2.7000000000000001E-3</v>
      </c>
      <c r="C531">
        <v>-6.3E-3</v>
      </c>
      <c r="D531">
        <v>-2E-3</v>
      </c>
      <c r="E531">
        <v>1E-3</v>
      </c>
      <c r="F531">
        <v>-2.0999999999999999E-3</v>
      </c>
    </row>
    <row r="532" spans="1:6" x14ac:dyDescent="0.3">
      <c r="A532" s="3">
        <v>42773</v>
      </c>
      <c r="B532">
        <v>-1E-4</v>
      </c>
      <c r="C532">
        <v>-3.7000000000000002E-3</v>
      </c>
      <c r="D532">
        <v>-5.1000000000000004E-3</v>
      </c>
      <c r="E532">
        <v>4.0999999999999995E-3</v>
      </c>
      <c r="F532">
        <v>-2.3E-3</v>
      </c>
    </row>
    <row r="533" spans="1:6" x14ac:dyDescent="0.3">
      <c r="A533" s="3">
        <v>42774</v>
      </c>
      <c r="B533">
        <v>5.9999999999999995E-4</v>
      </c>
      <c r="C533">
        <v>-2.8000000000000004E-3</v>
      </c>
      <c r="D533">
        <v>-5.8999999999999999E-3</v>
      </c>
      <c r="E533">
        <v>3.0000000000000001E-3</v>
      </c>
      <c r="F533">
        <v>-7.000000000000001E-4</v>
      </c>
    </row>
    <row r="534" spans="1:6" x14ac:dyDescent="0.3">
      <c r="A534" s="3">
        <v>42775</v>
      </c>
      <c r="B534">
        <v>7.1999999999999998E-3</v>
      </c>
      <c r="C534">
        <v>6.9999999999999993E-3</v>
      </c>
      <c r="D534">
        <v>7.000000000000001E-4</v>
      </c>
      <c r="E534">
        <v>-2.8999999999999998E-3</v>
      </c>
      <c r="F534">
        <v>5.9999999999999995E-4</v>
      </c>
    </row>
    <row r="535" spans="1:6" x14ac:dyDescent="0.3">
      <c r="A535" s="3">
        <v>42776</v>
      </c>
      <c r="B535">
        <v>3.8E-3</v>
      </c>
      <c r="C535">
        <v>4.0999999999999995E-3</v>
      </c>
      <c r="D535">
        <v>1.4000000000000002E-3</v>
      </c>
      <c r="E535">
        <v>-1E-4</v>
      </c>
      <c r="F535">
        <v>1.5E-3</v>
      </c>
    </row>
    <row r="536" spans="1:6" x14ac:dyDescent="0.3">
      <c r="A536" s="3">
        <v>42779</v>
      </c>
      <c r="B536">
        <v>4.8999999999999998E-3</v>
      </c>
      <c r="C536">
        <v>-2.5999999999999999E-3</v>
      </c>
      <c r="D536">
        <v>3.3E-3</v>
      </c>
      <c r="E536">
        <v>2.0000000000000001E-4</v>
      </c>
      <c r="F536">
        <v>4.0000000000000002E-4</v>
      </c>
    </row>
    <row r="537" spans="1:6" x14ac:dyDescent="0.3">
      <c r="A537" s="3">
        <v>42780</v>
      </c>
      <c r="B537">
        <v>4.5000000000000005E-3</v>
      </c>
      <c r="C537">
        <v>-1.7000000000000001E-3</v>
      </c>
      <c r="D537">
        <v>3.4999999999999996E-3</v>
      </c>
      <c r="E537">
        <v>-4.3E-3</v>
      </c>
      <c r="F537">
        <v>-8.0000000000000004E-4</v>
      </c>
    </row>
    <row r="538" spans="1:6" x14ac:dyDescent="0.3">
      <c r="A538" s="3">
        <v>42781</v>
      </c>
      <c r="B538">
        <v>5.4000000000000003E-3</v>
      </c>
      <c r="C538">
        <v>1.4000000000000002E-3</v>
      </c>
      <c r="D538">
        <v>-4.1999999999999997E-3</v>
      </c>
      <c r="E538">
        <v>2E-3</v>
      </c>
      <c r="F538">
        <v>-5.9999999999999995E-4</v>
      </c>
    </row>
    <row r="539" spans="1:6" x14ac:dyDescent="0.3">
      <c r="A539" s="3">
        <v>42782</v>
      </c>
      <c r="B539">
        <v>-1.6000000000000001E-3</v>
      </c>
      <c r="C539">
        <v>-2.0999999999999999E-3</v>
      </c>
      <c r="D539">
        <v>1E-4</v>
      </c>
      <c r="E539">
        <v>3.4000000000000002E-3</v>
      </c>
      <c r="F539">
        <v>-2.3E-3</v>
      </c>
    </row>
    <row r="540" spans="1:6" x14ac:dyDescent="0.3">
      <c r="A540" s="3">
        <v>42783</v>
      </c>
      <c r="B540">
        <v>2E-3</v>
      </c>
      <c r="C540">
        <v>-5.9999999999999995E-4</v>
      </c>
      <c r="D540">
        <v>-5.4000000000000003E-3</v>
      </c>
      <c r="E540">
        <v>2.9999999999999997E-4</v>
      </c>
      <c r="F540">
        <v>-4.0000000000000001E-3</v>
      </c>
    </row>
    <row r="541" spans="1:6" x14ac:dyDescent="0.3">
      <c r="A541" s="3">
        <v>42787</v>
      </c>
      <c r="B541">
        <v>6.0000000000000001E-3</v>
      </c>
      <c r="C541">
        <v>5.9999999999999995E-4</v>
      </c>
      <c r="D541">
        <v>1.2999999999999999E-3</v>
      </c>
      <c r="E541">
        <v>3.0000000000000001E-3</v>
      </c>
      <c r="F541">
        <v>3.7000000000000002E-3</v>
      </c>
    </row>
    <row r="542" spans="1:6" x14ac:dyDescent="0.3">
      <c r="A542" s="3">
        <v>42788</v>
      </c>
      <c r="B542">
        <v>-1.5E-3</v>
      </c>
      <c r="C542">
        <v>-3.7000000000000002E-3</v>
      </c>
      <c r="D542">
        <v>1.1000000000000001E-3</v>
      </c>
      <c r="E542">
        <v>5.4000000000000003E-3</v>
      </c>
      <c r="F542">
        <v>-3.3E-3</v>
      </c>
    </row>
    <row r="543" spans="1:6" x14ac:dyDescent="0.3">
      <c r="A543" s="3">
        <v>42789</v>
      </c>
      <c r="B543">
        <v>-1.1000000000000001E-3</v>
      </c>
      <c r="C543">
        <v>-7.0999999999999995E-3</v>
      </c>
      <c r="D543">
        <v>2.3999999999999998E-3</v>
      </c>
      <c r="E543">
        <v>-2.3E-3</v>
      </c>
      <c r="F543">
        <v>-4.5000000000000005E-3</v>
      </c>
    </row>
    <row r="544" spans="1:6" x14ac:dyDescent="0.3">
      <c r="A544" s="3">
        <v>42790</v>
      </c>
      <c r="B544">
        <v>1.5E-3</v>
      </c>
      <c r="C544">
        <v>-1E-3</v>
      </c>
      <c r="D544">
        <v>-9.7999999999999997E-3</v>
      </c>
      <c r="E544">
        <v>3.4999999999999996E-3</v>
      </c>
      <c r="F544">
        <v>-2.3E-3</v>
      </c>
    </row>
    <row r="545" spans="1:6" x14ac:dyDescent="0.3">
      <c r="A545" s="3">
        <v>42793</v>
      </c>
      <c r="B545">
        <v>2.2000000000000001E-3</v>
      </c>
      <c r="C545">
        <v>8.5000000000000006E-3</v>
      </c>
      <c r="D545">
        <v>-3.3E-3</v>
      </c>
      <c r="E545">
        <v>-3.8E-3</v>
      </c>
      <c r="F545">
        <v>-1.4000000000000002E-3</v>
      </c>
    </row>
    <row r="546" spans="1:6" x14ac:dyDescent="0.3">
      <c r="A546" s="3">
        <v>42794</v>
      </c>
      <c r="B546">
        <v>-4.1999999999999997E-3</v>
      </c>
      <c r="C546">
        <v>-1.3500000000000002E-2</v>
      </c>
      <c r="D546">
        <v>1.6000000000000001E-3</v>
      </c>
      <c r="E546">
        <v>4.0000000000000002E-4</v>
      </c>
      <c r="F546">
        <v>-2E-3</v>
      </c>
    </row>
    <row r="547" spans="1:6" x14ac:dyDescent="0.3">
      <c r="A547" s="3">
        <v>42795</v>
      </c>
      <c r="B547">
        <v>1.47E-2</v>
      </c>
      <c r="C547">
        <v>5.3E-3</v>
      </c>
      <c r="D547">
        <v>7.8000000000000005E-3</v>
      </c>
      <c r="E547">
        <v>-4.4000000000000003E-3</v>
      </c>
      <c r="F547">
        <v>5.4000000000000003E-3</v>
      </c>
    </row>
    <row r="548" spans="1:6" x14ac:dyDescent="0.3">
      <c r="A548" s="3">
        <v>42796</v>
      </c>
      <c r="B548">
        <v>-6.9999999999999993E-3</v>
      </c>
      <c r="C548">
        <v>-5.4000000000000003E-3</v>
      </c>
      <c r="D548">
        <v>-9.0000000000000011E-3</v>
      </c>
      <c r="E548">
        <v>6.4000000000000003E-3</v>
      </c>
      <c r="F548">
        <v>-4.3E-3</v>
      </c>
    </row>
    <row r="549" spans="1:6" x14ac:dyDescent="0.3">
      <c r="A549" s="3">
        <v>42797</v>
      </c>
      <c r="B549">
        <v>8.9999999999999998E-4</v>
      </c>
      <c r="C549">
        <v>-1.8E-3</v>
      </c>
      <c r="D549">
        <v>1.2999999999999999E-3</v>
      </c>
      <c r="E549">
        <v>-8.0000000000000004E-4</v>
      </c>
      <c r="F549">
        <v>-1E-3</v>
      </c>
    </row>
    <row r="550" spans="1:6" x14ac:dyDescent="0.3">
      <c r="A550" s="3">
        <v>42800</v>
      </c>
      <c r="B550">
        <v>-3.8E-3</v>
      </c>
      <c r="C550">
        <v>-4.0999999999999995E-3</v>
      </c>
      <c r="D550">
        <v>-8.0000000000000004E-4</v>
      </c>
      <c r="E550">
        <v>-2.9999999999999997E-4</v>
      </c>
      <c r="F550">
        <v>1E-4</v>
      </c>
    </row>
    <row r="551" spans="1:6" x14ac:dyDescent="0.3">
      <c r="A551" s="3">
        <v>42801</v>
      </c>
      <c r="B551">
        <v>-3.5999999999999999E-3</v>
      </c>
      <c r="C551">
        <v>-3.4999999999999996E-3</v>
      </c>
      <c r="D551">
        <v>-5.9999999999999995E-4</v>
      </c>
      <c r="E551">
        <v>1.1999999999999999E-3</v>
      </c>
      <c r="F551">
        <v>-2.5000000000000001E-3</v>
      </c>
    </row>
    <row r="552" spans="1:6" x14ac:dyDescent="0.3">
      <c r="A552" s="3">
        <v>42802</v>
      </c>
      <c r="B552">
        <v>-1.9E-3</v>
      </c>
      <c r="C552">
        <v>-1.8E-3</v>
      </c>
      <c r="D552">
        <v>-8.3000000000000001E-3</v>
      </c>
      <c r="E552">
        <v>4.6999999999999993E-3</v>
      </c>
      <c r="F552">
        <v>-7.4999999999999997E-3</v>
      </c>
    </row>
    <row r="553" spans="1:6" x14ac:dyDescent="0.3">
      <c r="A553" s="3">
        <v>42803</v>
      </c>
      <c r="B553">
        <v>4.0000000000000002E-4</v>
      </c>
      <c r="C553">
        <v>-5.3E-3</v>
      </c>
      <c r="D553">
        <v>-2.3E-3</v>
      </c>
      <c r="E553">
        <v>-5.8999999999999999E-3</v>
      </c>
      <c r="F553">
        <v>-1.4000000000000002E-3</v>
      </c>
    </row>
    <row r="554" spans="1:6" x14ac:dyDescent="0.3">
      <c r="A554" s="3">
        <v>42804</v>
      </c>
      <c r="B554">
        <v>3.4000000000000002E-3</v>
      </c>
      <c r="C554">
        <v>5.9999999999999995E-4</v>
      </c>
      <c r="D554">
        <v>-4.8999999999999998E-3</v>
      </c>
      <c r="E554">
        <v>2.3999999999999998E-3</v>
      </c>
      <c r="F554">
        <v>2.9999999999999997E-4</v>
      </c>
    </row>
    <row r="555" spans="1:6" x14ac:dyDescent="0.3">
      <c r="A555" s="3">
        <v>42807</v>
      </c>
      <c r="B555">
        <v>1.2999999999999999E-3</v>
      </c>
      <c r="C555">
        <v>3.2000000000000002E-3</v>
      </c>
      <c r="D555">
        <v>-5.9999999999999995E-4</v>
      </c>
      <c r="E555">
        <v>-1E-3</v>
      </c>
      <c r="F555">
        <v>4.0000000000000002E-4</v>
      </c>
    </row>
    <row r="556" spans="1:6" x14ac:dyDescent="0.3">
      <c r="A556" s="3">
        <v>42808</v>
      </c>
      <c r="B556">
        <v>-3.5999999999999999E-3</v>
      </c>
      <c r="C556">
        <v>-2.2000000000000001E-3</v>
      </c>
      <c r="D556">
        <v>-1E-4</v>
      </c>
      <c r="E556">
        <v>5.1999999999999998E-3</v>
      </c>
      <c r="F556">
        <v>-2.5000000000000001E-3</v>
      </c>
    </row>
    <row r="557" spans="1:6" x14ac:dyDescent="0.3">
      <c r="A557" s="3">
        <v>42809</v>
      </c>
      <c r="B557">
        <v>8.6E-3</v>
      </c>
      <c r="C557">
        <v>6.8999999999999999E-3</v>
      </c>
      <c r="D557">
        <v>-4.5999999999999999E-3</v>
      </c>
      <c r="E557">
        <v>-1.7000000000000001E-3</v>
      </c>
      <c r="F557">
        <v>5.1000000000000004E-3</v>
      </c>
    </row>
    <row r="558" spans="1:6" x14ac:dyDescent="0.3">
      <c r="A558" s="3">
        <v>42810</v>
      </c>
      <c r="B558">
        <v>-5.9999999999999995E-4</v>
      </c>
      <c r="C558">
        <v>4.4000000000000003E-3</v>
      </c>
      <c r="D558">
        <v>2.3E-3</v>
      </c>
      <c r="E558">
        <v>-1.7000000000000001E-3</v>
      </c>
      <c r="F558">
        <v>-3.5999999999999999E-3</v>
      </c>
    </row>
    <row r="559" spans="1:6" x14ac:dyDescent="0.3">
      <c r="A559" s="3">
        <v>42811</v>
      </c>
      <c r="B559">
        <v>-8.0000000000000004E-4</v>
      </c>
      <c r="C559">
        <v>5.6999999999999993E-3</v>
      </c>
      <c r="D559">
        <v>-3.4000000000000002E-3</v>
      </c>
      <c r="E559">
        <v>1.2999999999999999E-3</v>
      </c>
      <c r="F559">
        <v>2.0000000000000001E-4</v>
      </c>
    </row>
    <row r="560" spans="1:6" x14ac:dyDescent="0.3">
      <c r="A560" s="3">
        <v>42814</v>
      </c>
      <c r="B560">
        <v>-2.5000000000000001E-3</v>
      </c>
      <c r="C560">
        <v>-2E-3</v>
      </c>
      <c r="D560">
        <v>-7.1999999999999998E-3</v>
      </c>
      <c r="E560">
        <v>-1.5E-3</v>
      </c>
      <c r="F560">
        <v>-5.0000000000000001E-4</v>
      </c>
    </row>
    <row r="561" spans="1:6" x14ac:dyDescent="0.3">
      <c r="A561" s="3">
        <v>42815</v>
      </c>
      <c r="B561">
        <v>-1.4800000000000001E-2</v>
      </c>
      <c r="C561">
        <v>-1.3999999999999999E-2</v>
      </c>
      <c r="D561">
        <v>-7.1999999999999998E-3</v>
      </c>
      <c r="E561">
        <v>8.8000000000000005E-3</v>
      </c>
      <c r="F561">
        <v>2.8000000000000004E-3</v>
      </c>
    </row>
    <row r="562" spans="1:6" x14ac:dyDescent="0.3">
      <c r="A562" s="3">
        <v>42816</v>
      </c>
      <c r="B562">
        <v>1.6000000000000001E-3</v>
      </c>
      <c r="C562">
        <v>-3.3E-3</v>
      </c>
      <c r="D562">
        <v>-5.6000000000000008E-3</v>
      </c>
      <c r="E562">
        <v>1.5E-3</v>
      </c>
      <c r="F562">
        <v>-1.6000000000000001E-3</v>
      </c>
    </row>
    <row r="563" spans="1:6" x14ac:dyDescent="0.3">
      <c r="A563" s="3">
        <v>42817</v>
      </c>
      <c r="B563">
        <v>-2.9999999999999997E-4</v>
      </c>
      <c r="C563">
        <v>7.4000000000000003E-3</v>
      </c>
      <c r="D563">
        <v>4.8999999999999998E-3</v>
      </c>
      <c r="E563">
        <v>-1E-4</v>
      </c>
      <c r="F563">
        <v>2E-3</v>
      </c>
    </row>
    <row r="564" spans="1:6" x14ac:dyDescent="0.3">
      <c r="A564" s="3">
        <v>42818</v>
      </c>
      <c r="B564">
        <v>-5.0000000000000001E-4</v>
      </c>
      <c r="C564">
        <v>1E-3</v>
      </c>
      <c r="D564">
        <v>-1.9E-3</v>
      </c>
      <c r="E564">
        <v>-3.2000000000000002E-3</v>
      </c>
      <c r="F564">
        <v>-3.2000000000000002E-3</v>
      </c>
    </row>
    <row r="565" spans="1:6" x14ac:dyDescent="0.3">
      <c r="A565" s="3">
        <v>42821</v>
      </c>
      <c r="B565">
        <v>-5.0000000000000001E-4</v>
      </c>
      <c r="C565">
        <v>4.5999999999999999E-3</v>
      </c>
      <c r="D565">
        <v>-5.0000000000000001E-3</v>
      </c>
      <c r="E565">
        <v>-2.3E-3</v>
      </c>
      <c r="F565">
        <v>-2.7000000000000001E-3</v>
      </c>
    </row>
    <row r="566" spans="1:6" x14ac:dyDescent="0.3">
      <c r="A566" s="3">
        <v>42822</v>
      </c>
      <c r="B566">
        <v>7.1999999999999998E-3</v>
      </c>
      <c r="C566">
        <v>-5.0000000000000001E-4</v>
      </c>
      <c r="D566">
        <v>7.1999999999999998E-3</v>
      </c>
      <c r="E566">
        <v>2.0000000000000001E-4</v>
      </c>
      <c r="F566">
        <v>3.9000000000000003E-3</v>
      </c>
    </row>
    <row r="567" spans="1:6" x14ac:dyDescent="0.3">
      <c r="A567" s="3">
        <v>42823</v>
      </c>
      <c r="B567">
        <v>1.8E-3</v>
      </c>
      <c r="C567">
        <v>3.0999999999999999E-3</v>
      </c>
      <c r="D567">
        <v>-8.9999999999999998E-4</v>
      </c>
      <c r="E567">
        <v>-3.5999999999999999E-3</v>
      </c>
      <c r="F567">
        <v>1.2999999999999999E-3</v>
      </c>
    </row>
    <row r="568" spans="1:6" x14ac:dyDescent="0.3">
      <c r="A568" s="3">
        <v>42824</v>
      </c>
      <c r="B568">
        <v>3.5999999999999999E-3</v>
      </c>
      <c r="C568">
        <v>4.1999999999999997E-3</v>
      </c>
      <c r="D568">
        <v>9.1999999999999998E-3</v>
      </c>
      <c r="E568">
        <v>-5.0000000000000001E-4</v>
      </c>
      <c r="F568">
        <v>-1.6000000000000001E-3</v>
      </c>
    </row>
    <row r="569" spans="1:6" x14ac:dyDescent="0.3">
      <c r="A569" s="3">
        <v>42825</v>
      </c>
      <c r="B569">
        <v>-1.6000000000000001E-3</v>
      </c>
      <c r="C569">
        <v>5.4000000000000003E-3</v>
      </c>
      <c r="D569">
        <v>-3.2000000000000002E-3</v>
      </c>
      <c r="E569">
        <v>2.0000000000000001E-4</v>
      </c>
      <c r="F569">
        <v>8.9999999999999998E-4</v>
      </c>
    </row>
    <row r="570" spans="1:6" x14ac:dyDescent="0.3">
      <c r="A570" s="3">
        <v>42828</v>
      </c>
      <c r="B570">
        <v>-2.8000000000000004E-3</v>
      </c>
      <c r="C570">
        <v>-1.1399999999999999E-2</v>
      </c>
      <c r="D570">
        <v>-8.0000000000000004E-4</v>
      </c>
      <c r="E570">
        <v>-1.2999999999999999E-3</v>
      </c>
      <c r="F570">
        <v>-5.9999999999999995E-4</v>
      </c>
    </row>
    <row r="571" spans="1:6" x14ac:dyDescent="0.3">
      <c r="A571" s="3">
        <v>42829</v>
      </c>
      <c r="B571">
        <v>5.0000000000000001E-4</v>
      </c>
      <c r="C571">
        <v>-2.5000000000000001E-3</v>
      </c>
      <c r="D571">
        <v>3.0999999999999999E-3</v>
      </c>
      <c r="E571">
        <v>-1E-3</v>
      </c>
      <c r="F571">
        <v>1.9E-3</v>
      </c>
    </row>
    <row r="572" spans="1:6" x14ac:dyDescent="0.3">
      <c r="A572" s="3">
        <v>42830</v>
      </c>
      <c r="B572">
        <v>-4.4000000000000003E-3</v>
      </c>
      <c r="C572">
        <v>-8.3000000000000001E-3</v>
      </c>
      <c r="D572">
        <v>-3.0000000000000001E-3</v>
      </c>
      <c r="E572">
        <v>4.5000000000000005E-3</v>
      </c>
      <c r="F572">
        <v>-1E-3</v>
      </c>
    </row>
    <row r="573" spans="1:6" x14ac:dyDescent="0.3">
      <c r="A573" s="3">
        <v>42831</v>
      </c>
      <c r="B573">
        <v>3.2000000000000002E-3</v>
      </c>
      <c r="C573">
        <v>7.3000000000000001E-3</v>
      </c>
      <c r="D573">
        <v>4.7999999999999996E-3</v>
      </c>
      <c r="E573">
        <v>-1.2999999999999999E-3</v>
      </c>
      <c r="F573">
        <v>3.7000000000000002E-3</v>
      </c>
    </row>
    <row r="574" spans="1:6" x14ac:dyDescent="0.3">
      <c r="A574" s="3">
        <v>42832</v>
      </c>
      <c r="B574">
        <v>-8.0000000000000004E-4</v>
      </c>
      <c r="C574">
        <v>7.000000000000001E-4</v>
      </c>
      <c r="D574">
        <v>-2.5999999999999999E-3</v>
      </c>
      <c r="E574">
        <v>0</v>
      </c>
      <c r="F574">
        <v>-5.9999999999999995E-4</v>
      </c>
    </row>
    <row r="575" spans="1:6" x14ac:dyDescent="0.3">
      <c r="A575" s="3">
        <v>42835</v>
      </c>
      <c r="B575">
        <v>8.0000000000000004E-4</v>
      </c>
      <c r="C575">
        <v>1.4000000000000002E-3</v>
      </c>
      <c r="D575">
        <v>8.0000000000000004E-4</v>
      </c>
      <c r="E575">
        <v>1.9E-3</v>
      </c>
      <c r="F575">
        <v>5.0000000000000001E-3</v>
      </c>
    </row>
    <row r="576" spans="1:6" x14ac:dyDescent="0.3">
      <c r="A576" s="3">
        <v>42836</v>
      </c>
      <c r="B576">
        <v>-5.0000000000000001E-4</v>
      </c>
      <c r="C576">
        <v>8.0000000000000002E-3</v>
      </c>
      <c r="D576">
        <v>2.2000000000000001E-3</v>
      </c>
      <c r="E576">
        <v>1.9E-3</v>
      </c>
      <c r="F576">
        <v>1.9E-3</v>
      </c>
    </row>
    <row r="577" spans="1:6" x14ac:dyDescent="0.3">
      <c r="A577" s="3">
        <v>42837</v>
      </c>
      <c r="B577">
        <v>-4.8999999999999998E-3</v>
      </c>
      <c r="C577">
        <v>-9.300000000000001E-3</v>
      </c>
      <c r="D577">
        <v>-5.4000000000000003E-3</v>
      </c>
      <c r="E577">
        <v>-2.0000000000000001E-4</v>
      </c>
      <c r="F577">
        <v>-5.4000000000000003E-3</v>
      </c>
    </row>
    <row r="578" spans="1:6" x14ac:dyDescent="0.3">
      <c r="A578" s="3">
        <v>42838</v>
      </c>
      <c r="B578">
        <v>-7.4999999999999997E-3</v>
      </c>
      <c r="C578">
        <v>-3.4000000000000002E-3</v>
      </c>
      <c r="D578">
        <v>-8.1000000000000013E-3</v>
      </c>
      <c r="E578">
        <v>-5.0000000000000001E-4</v>
      </c>
      <c r="F578">
        <v>-3.8E-3</v>
      </c>
    </row>
    <row r="579" spans="1:6" x14ac:dyDescent="0.3">
      <c r="A579" s="3">
        <v>42842</v>
      </c>
      <c r="B579">
        <v>8.8999999999999999E-3</v>
      </c>
      <c r="C579">
        <v>2.8999999999999998E-3</v>
      </c>
      <c r="D579">
        <v>2.3999999999999998E-3</v>
      </c>
      <c r="E579">
        <v>2.9999999999999997E-4</v>
      </c>
      <c r="F579">
        <v>-1.4000000000000002E-3</v>
      </c>
    </row>
    <row r="580" spans="1:6" x14ac:dyDescent="0.3">
      <c r="A580" s="3">
        <v>42843</v>
      </c>
      <c r="B580">
        <v>-2.5000000000000001E-3</v>
      </c>
      <c r="C580">
        <v>3.0999999999999999E-3</v>
      </c>
      <c r="D580">
        <v>-1.8E-3</v>
      </c>
      <c r="E580">
        <v>3.0999999999999999E-3</v>
      </c>
      <c r="F580">
        <v>1.1000000000000001E-3</v>
      </c>
    </row>
    <row r="581" spans="1:6" x14ac:dyDescent="0.3">
      <c r="A581" s="3">
        <v>42844</v>
      </c>
      <c r="B581">
        <v>-8.0000000000000004E-4</v>
      </c>
      <c r="C581">
        <v>5.6000000000000008E-3</v>
      </c>
      <c r="D581">
        <v>-4.5000000000000005E-3</v>
      </c>
      <c r="E581">
        <v>4.3E-3</v>
      </c>
      <c r="F581">
        <v>-8.3999999999999995E-3</v>
      </c>
    </row>
    <row r="582" spans="1:6" x14ac:dyDescent="0.3">
      <c r="A582" s="3">
        <v>42845</v>
      </c>
      <c r="B582">
        <v>8.3000000000000001E-3</v>
      </c>
      <c r="C582">
        <v>6.0000000000000001E-3</v>
      </c>
      <c r="D582">
        <v>2.5999999999999999E-3</v>
      </c>
      <c r="E582">
        <v>2.3E-3</v>
      </c>
      <c r="F582">
        <v>-2E-3</v>
      </c>
    </row>
    <row r="583" spans="1:6" x14ac:dyDescent="0.3">
      <c r="A583" s="3">
        <v>42846</v>
      </c>
      <c r="B583">
        <v>-2.8000000000000004E-3</v>
      </c>
      <c r="C583">
        <v>5.9999999999999995E-4</v>
      </c>
      <c r="D583">
        <v>-1.5E-3</v>
      </c>
      <c r="E583">
        <v>3.4000000000000002E-3</v>
      </c>
      <c r="F583">
        <v>-1.9E-3</v>
      </c>
    </row>
    <row r="584" spans="1:6" x14ac:dyDescent="0.3">
      <c r="A584" s="3">
        <v>42849</v>
      </c>
      <c r="B584">
        <v>1.18E-2</v>
      </c>
      <c r="C584">
        <v>2.8000000000000004E-3</v>
      </c>
      <c r="D584">
        <v>5.0000000000000001E-3</v>
      </c>
      <c r="E584">
        <v>-5.9999999999999995E-4</v>
      </c>
      <c r="F584">
        <v>1.6000000000000001E-3</v>
      </c>
    </row>
    <row r="585" spans="1:6" x14ac:dyDescent="0.3">
      <c r="A585" s="3">
        <v>42850</v>
      </c>
      <c r="B585">
        <v>6.6E-3</v>
      </c>
      <c r="C585">
        <v>3.9000000000000003E-3</v>
      </c>
      <c r="D585">
        <v>-5.9999999999999995E-4</v>
      </c>
      <c r="E585">
        <v>-3.8E-3</v>
      </c>
      <c r="F585">
        <v>3.0999999999999999E-3</v>
      </c>
    </row>
    <row r="586" spans="1:6" x14ac:dyDescent="0.3">
      <c r="A586" s="3">
        <v>42851</v>
      </c>
      <c r="B586">
        <v>4.0000000000000002E-4</v>
      </c>
      <c r="C586">
        <v>7.6E-3</v>
      </c>
      <c r="D586">
        <v>3.0999999999999999E-3</v>
      </c>
      <c r="E586">
        <v>2.5000000000000001E-3</v>
      </c>
      <c r="F586">
        <v>0</v>
      </c>
    </row>
    <row r="587" spans="1:6" x14ac:dyDescent="0.3">
      <c r="A587" s="3">
        <v>42852</v>
      </c>
      <c r="B587">
        <v>5.0000000000000001E-4</v>
      </c>
      <c r="C587">
        <v>-2E-3</v>
      </c>
      <c r="D587">
        <v>-9.7999999999999997E-3</v>
      </c>
      <c r="E587">
        <v>1.8E-3</v>
      </c>
      <c r="F587">
        <v>-5.6999999999999993E-3</v>
      </c>
    </row>
    <row r="588" spans="1:6" x14ac:dyDescent="0.3">
      <c r="A588" s="3">
        <v>42853</v>
      </c>
      <c r="B588">
        <v>-3.0000000000000001E-3</v>
      </c>
      <c r="C588">
        <v>-7.6E-3</v>
      </c>
      <c r="D588">
        <v>-6.0000000000000001E-3</v>
      </c>
      <c r="E588">
        <v>8.0000000000000004E-4</v>
      </c>
      <c r="F588">
        <v>-1.9E-3</v>
      </c>
    </row>
    <row r="589" spans="1:6" x14ac:dyDescent="0.3">
      <c r="A589" s="3">
        <v>42856</v>
      </c>
      <c r="B589">
        <v>2.0999999999999999E-3</v>
      </c>
      <c r="C589">
        <v>2.5000000000000001E-3</v>
      </c>
      <c r="D589">
        <v>-1.1999999999999999E-3</v>
      </c>
      <c r="E589">
        <v>-1.8E-3</v>
      </c>
      <c r="F589">
        <v>-5.0000000000000001E-3</v>
      </c>
    </row>
    <row r="590" spans="1:6" x14ac:dyDescent="0.3">
      <c r="A590" s="3">
        <v>42857</v>
      </c>
      <c r="B590">
        <v>2.9999999999999997E-4</v>
      </c>
      <c r="C590">
        <v>-4.5999999999999999E-3</v>
      </c>
      <c r="D590">
        <v>-2.2000000000000001E-3</v>
      </c>
      <c r="E590">
        <v>4.1999999999999997E-3</v>
      </c>
      <c r="F590">
        <v>-3.4999999999999996E-3</v>
      </c>
    </row>
    <row r="591" spans="1:6" x14ac:dyDescent="0.3">
      <c r="A591" s="3">
        <v>42858</v>
      </c>
      <c r="B591">
        <v>-1.9E-3</v>
      </c>
      <c r="C591">
        <v>-5.1000000000000004E-3</v>
      </c>
      <c r="D591">
        <v>2.0999999999999999E-3</v>
      </c>
      <c r="E591">
        <v>-2.0000000000000001E-4</v>
      </c>
      <c r="F591">
        <v>1.2999999999999999E-3</v>
      </c>
    </row>
    <row r="592" spans="1:6" x14ac:dyDescent="0.3">
      <c r="A592" s="3">
        <v>42859</v>
      </c>
      <c r="B592">
        <v>2.0000000000000001E-4</v>
      </c>
      <c r="C592">
        <v>-1.1999999999999999E-3</v>
      </c>
      <c r="D592">
        <v>-3.5999999999999999E-3</v>
      </c>
      <c r="E592">
        <v>3.7000000000000002E-3</v>
      </c>
      <c r="F592">
        <v>-7.1999999999999998E-3</v>
      </c>
    </row>
    <row r="593" spans="1:6" x14ac:dyDescent="0.3">
      <c r="A593" s="3">
        <v>42860</v>
      </c>
      <c r="B593">
        <v>4.5999999999999999E-3</v>
      </c>
      <c r="C593">
        <v>1E-3</v>
      </c>
      <c r="D593">
        <v>2.0000000000000001E-4</v>
      </c>
      <c r="E593">
        <v>-2.5999999999999999E-3</v>
      </c>
      <c r="F593">
        <v>6.5000000000000006E-3</v>
      </c>
    </row>
    <row r="594" spans="1:6" x14ac:dyDescent="0.3">
      <c r="A594" s="3">
        <v>42863</v>
      </c>
      <c r="B594">
        <v>-4.0000000000000002E-4</v>
      </c>
      <c r="C594">
        <v>-2.0999999999999999E-3</v>
      </c>
      <c r="D594">
        <v>2.5999999999999999E-3</v>
      </c>
      <c r="E594">
        <v>8.0000000000000004E-4</v>
      </c>
      <c r="F594">
        <v>8.0000000000000004E-4</v>
      </c>
    </row>
    <row r="595" spans="1:6" x14ac:dyDescent="0.3">
      <c r="A595" s="3">
        <v>42864</v>
      </c>
      <c r="B595">
        <v>-5.0000000000000001E-4</v>
      </c>
      <c r="C595">
        <v>4.0000000000000001E-3</v>
      </c>
      <c r="D595">
        <v>-8.0000000000000002E-3</v>
      </c>
      <c r="E595">
        <v>3.2000000000000002E-3</v>
      </c>
      <c r="F595">
        <v>-3.7000000000000002E-3</v>
      </c>
    </row>
    <row r="596" spans="1:6" x14ac:dyDescent="0.3">
      <c r="A596" s="3">
        <v>42865</v>
      </c>
      <c r="B596">
        <v>2.0999999999999999E-3</v>
      </c>
      <c r="C596">
        <v>2.5000000000000001E-3</v>
      </c>
      <c r="D596">
        <v>2.0000000000000001E-4</v>
      </c>
      <c r="E596">
        <v>-3.4000000000000002E-3</v>
      </c>
      <c r="F596">
        <v>3.9000000000000003E-3</v>
      </c>
    </row>
    <row r="597" spans="1:6" x14ac:dyDescent="0.3">
      <c r="A597" s="3">
        <v>42866</v>
      </c>
      <c r="B597">
        <v>-2.5999999999999999E-3</v>
      </c>
      <c r="C597">
        <v>-4.1999999999999997E-3</v>
      </c>
      <c r="D597">
        <v>-1.6000000000000001E-3</v>
      </c>
      <c r="E597">
        <v>-2.5000000000000001E-3</v>
      </c>
      <c r="F597">
        <v>-2.0000000000000001E-4</v>
      </c>
    </row>
    <row r="598" spans="1:6" x14ac:dyDescent="0.3">
      <c r="A598" s="3">
        <v>42867</v>
      </c>
      <c r="B598">
        <v>-1.8E-3</v>
      </c>
      <c r="C598">
        <v>-3.8E-3</v>
      </c>
      <c r="D598">
        <v>-5.8999999999999999E-3</v>
      </c>
      <c r="E598">
        <v>-2.5999999999999999E-3</v>
      </c>
      <c r="F598">
        <v>-3.3E-3</v>
      </c>
    </row>
    <row r="599" spans="1:6" x14ac:dyDescent="0.3">
      <c r="A599" s="3">
        <v>42870</v>
      </c>
      <c r="B599">
        <v>5.3E-3</v>
      </c>
      <c r="C599">
        <v>2.5000000000000001E-3</v>
      </c>
      <c r="D599">
        <v>2.0999999999999999E-3</v>
      </c>
      <c r="E599">
        <v>-3.4000000000000002E-3</v>
      </c>
      <c r="F599">
        <v>4.0000000000000002E-4</v>
      </c>
    </row>
    <row r="600" spans="1:6" x14ac:dyDescent="0.3">
      <c r="A600" s="3">
        <v>42871</v>
      </c>
      <c r="B600">
        <v>-2.9999999999999997E-4</v>
      </c>
      <c r="C600">
        <v>1E-3</v>
      </c>
      <c r="D600">
        <v>-8.9999999999999998E-4</v>
      </c>
      <c r="E600">
        <v>-2.7000000000000001E-3</v>
      </c>
      <c r="F600">
        <v>-1.1999999999999999E-3</v>
      </c>
    </row>
    <row r="601" spans="1:6" x14ac:dyDescent="0.3">
      <c r="A601" s="3">
        <v>42872</v>
      </c>
      <c r="B601">
        <v>-1.9699999999999999E-2</v>
      </c>
      <c r="C601">
        <v>-9.4999999999999998E-3</v>
      </c>
      <c r="D601">
        <v>-6.0000000000000001E-3</v>
      </c>
      <c r="E601">
        <v>5.8999999999999999E-3</v>
      </c>
      <c r="F601">
        <v>2.8999999999999998E-3</v>
      </c>
    </row>
    <row r="602" spans="1:6" x14ac:dyDescent="0.3">
      <c r="A602" s="3">
        <v>42873</v>
      </c>
      <c r="B602">
        <v>4.0000000000000001E-3</v>
      </c>
      <c r="C602">
        <v>0</v>
      </c>
      <c r="D602">
        <v>-4.0000000000000001E-3</v>
      </c>
      <c r="E602">
        <v>-3.5999999999999999E-3</v>
      </c>
      <c r="F602">
        <v>-5.8999999999999999E-3</v>
      </c>
    </row>
    <row r="603" spans="1:6" x14ac:dyDescent="0.3">
      <c r="A603" s="3">
        <v>42874</v>
      </c>
      <c r="B603">
        <v>6.9999999999999993E-3</v>
      </c>
      <c r="C603">
        <v>-3.4000000000000002E-3</v>
      </c>
      <c r="D603">
        <v>4.0999999999999995E-3</v>
      </c>
      <c r="E603">
        <v>-1E-3</v>
      </c>
      <c r="F603">
        <v>8.0000000000000002E-3</v>
      </c>
    </row>
    <row r="604" spans="1:6" x14ac:dyDescent="0.3">
      <c r="A604" s="3">
        <v>42877</v>
      </c>
      <c r="B604">
        <v>5.6000000000000008E-3</v>
      </c>
      <c r="C604">
        <v>2.5999999999999999E-3</v>
      </c>
      <c r="D604">
        <v>-3.0000000000000001E-3</v>
      </c>
      <c r="E604">
        <v>1E-4</v>
      </c>
      <c r="F604">
        <v>-3.0999999999999999E-3</v>
      </c>
    </row>
    <row r="605" spans="1:6" x14ac:dyDescent="0.3">
      <c r="A605" s="3">
        <v>42878</v>
      </c>
      <c r="B605">
        <v>1.8E-3</v>
      </c>
      <c r="C605">
        <v>-2.0000000000000001E-4</v>
      </c>
      <c r="D605">
        <v>6.4000000000000003E-3</v>
      </c>
      <c r="E605">
        <v>-2.3999999999999998E-3</v>
      </c>
      <c r="F605">
        <v>8.0000000000000004E-4</v>
      </c>
    </row>
    <row r="606" spans="1:6" x14ac:dyDescent="0.3">
      <c r="A606" s="3">
        <v>42879</v>
      </c>
      <c r="B606">
        <v>2.3999999999999998E-3</v>
      </c>
      <c r="C606">
        <v>-1.9E-3</v>
      </c>
      <c r="D606">
        <v>-4.5999999999999999E-3</v>
      </c>
      <c r="E606">
        <v>1.2999999999999999E-3</v>
      </c>
      <c r="F606">
        <v>-3.0000000000000001E-3</v>
      </c>
    </row>
    <row r="607" spans="1:6" x14ac:dyDescent="0.3">
      <c r="A607" s="3">
        <v>42880</v>
      </c>
      <c r="B607">
        <v>4.1999999999999997E-3</v>
      </c>
      <c r="C607">
        <v>-3.4000000000000002E-3</v>
      </c>
      <c r="D607">
        <v>-7.4000000000000003E-3</v>
      </c>
      <c r="E607">
        <v>5.6999999999999993E-3</v>
      </c>
      <c r="F607">
        <v>-6.3E-3</v>
      </c>
    </row>
    <row r="608" spans="1:6" x14ac:dyDescent="0.3">
      <c r="A608" s="3">
        <v>42881</v>
      </c>
      <c r="B608">
        <v>5.9999999999999995E-4</v>
      </c>
      <c r="C608">
        <v>-2.0000000000000001E-4</v>
      </c>
      <c r="D608">
        <v>1E-3</v>
      </c>
      <c r="E608">
        <v>1.9E-3</v>
      </c>
      <c r="F608">
        <v>1.4000000000000002E-3</v>
      </c>
    </row>
    <row r="609" spans="1:6" x14ac:dyDescent="0.3">
      <c r="A609" s="3">
        <v>42885</v>
      </c>
      <c r="B609">
        <v>-1.9E-3</v>
      </c>
      <c r="C609">
        <v>-5.3E-3</v>
      </c>
      <c r="D609">
        <v>-3.4999999999999996E-3</v>
      </c>
      <c r="E609">
        <v>6.5000000000000006E-3</v>
      </c>
      <c r="F609">
        <v>-4.0000000000000002E-4</v>
      </c>
    </row>
    <row r="610" spans="1:6" x14ac:dyDescent="0.3">
      <c r="A610" s="3">
        <v>42886</v>
      </c>
      <c r="B610">
        <v>-2.0000000000000001E-4</v>
      </c>
      <c r="C610">
        <v>-4.0000000000000002E-4</v>
      </c>
      <c r="D610">
        <v>-5.4000000000000003E-3</v>
      </c>
      <c r="E610">
        <v>3.0000000000000001E-3</v>
      </c>
      <c r="F610">
        <v>-8.9999999999999998E-4</v>
      </c>
    </row>
    <row r="611" spans="1:6" x14ac:dyDescent="0.3">
      <c r="A611" s="3">
        <v>42887</v>
      </c>
      <c r="B611">
        <v>9.4999999999999998E-3</v>
      </c>
      <c r="C611">
        <v>1.0200000000000001E-2</v>
      </c>
      <c r="D611">
        <v>4.0000000000000002E-4</v>
      </c>
      <c r="E611">
        <v>-2.3E-3</v>
      </c>
      <c r="F611">
        <v>5.0000000000000001E-4</v>
      </c>
    </row>
    <row r="612" spans="1:6" x14ac:dyDescent="0.3">
      <c r="A612" s="3">
        <v>42888</v>
      </c>
      <c r="B612">
        <v>3.4999999999999996E-3</v>
      </c>
      <c r="C612">
        <v>4.4000000000000003E-3</v>
      </c>
      <c r="D612">
        <v>-7.6E-3</v>
      </c>
      <c r="E612">
        <v>1.4000000000000002E-3</v>
      </c>
      <c r="F612">
        <v>-4.6999999999999993E-3</v>
      </c>
    </row>
    <row r="613" spans="1:6" x14ac:dyDescent="0.3">
      <c r="A613" s="3">
        <v>42891</v>
      </c>
      <c r="B613">
        <v>-1.7000000000000001E-3</v>
      </c>
      <c r="C613">
        <v>-4.5999999999999999E-3</v>
      </c>
      <c r="D613">
        <v>-2.9999999999999997E-4</v>
      </c>
      <c r="E613">
        <v>-1.5E-3</v>
      </c>
      <c r="F613">
        <v>5.0000000000000001E-4</v>
      </c>
    </row>
    <row r="614" spans="1:6" x14ac:dyDescent="0.3">
      <c r="A614" s="3">
        <v>42892</v>
      </c>
      <c r="B614">
        <v>-2.8000000000000004E-3</v>
      </c>
      <c r="C614">
        <v>1E-3</v>
      </c>
      <c r="D614">
        <v>-2.0000000000000001E-4</v>
      </c>
      <c r="E614">
        <v>-4.8999999999999998E-3</v>
      </c>
      <c r="F614">
        <v>3.8E-3</v>
      </c>
    </row>
    <row r="615" spans="1:6" x14ac:dyDescent="0.3">
      <c r="A615" s="3">
        <v>42893</v>
      </c>
      <c r="B615">
        <v>1.5E-3</v>
      </c>
      <c r="C615">
        <v>-1.1000000000000001E-3</v>
      </c>
      <c r="D615">
        <v>-2.9999999999999997E-4</v>
      </c>
      <c r="E615">
        <v>5.6000000000000008E-3</v>
      </c>
      <c r="F615">
        <v>-6.7000000000000002E-3</v>
      </c>
    </row>
    <row r="616" spans="1:6" x14ac:dyDescent="0.3">
      <c r="A616" s="3">
        <v>42894</v>
      </c>
      <c r="B616">
        <v>1.8E-3</v>
      </c>
      <c r="C616">
        <v>1.1899999999999999E-2</v>
      </c>
      <c r="D616">
        <v>9.3999999999999986E-3</v>
      </c>
      <c r="E616">
        <v>-6.9999999999999993E-3</v>
      </c>
      <c r="F616">
        <v>-5.0000000000000001E-4</v>
      </c>
    </row>
    <row r="617" spans="1:6" x14ac:dyDescent="0.3">
      <c r="A617" s="3">
        <v>42895</v>
      </c>
      <c r="B617">
        <v>-1.1999999999999999E-3</v>
      </c>
      <c r="C617">
        <v>3.0999999999999999E-3</v>
      </c>
      <c r="D617">
        <v>2.41E-2</v>
      </c>
      <c r="E617">
        <v>-7.000000000000001E-4</v>
      </c>
      <c r="F617">
        <v>1.09E-2</v>
      </c>
    </row>
    <row r="618" spans="1:6" x14ac:dyDescent="0.3">
      <c r="A618" s="3">
        <v>42898</v>
      </c>
      <c r="B618">
        <v>-1.1000000000000001E-3</v>
      </c>
      <c r="C618">
        <v>-1.7000000000000001E-3</v>
      </c>
      <c r="D618">
        <v>3.3E-3</v>
      </c>
      <c r="E618">
        <v>8.0000000000000004E-4</v>
      </c>
      <c r="F618">
        <v>5.6999999999999993E-3</v>
      </c>
    </row>
    <row r="619" spans="1:6" x14ac:dyDescent="0.3">
      <c r="A619" s="3">
        <v>42899</v>
      </c>
      <c r="B619">
        <v>5.5000000000000005E-3</v>
      </c>
      <c r="C619">
        <v>5.9999999999999995E-4</v>
      </c>
      <c r="D619">
        <v>-1.1999999999999999E-3</v>
      </c>
      <c r="E619">
        <v>-3.0000000000000001E-3</v>
      </c>
      <c r="F619">
        <v>-7.000000000000001E-4</v>
      </c>
    </row>
    <row r="620" spans="1:6" x14ac:dyDescent="0.3">
      <c r="A620" s="3">
        <v>42900</v>
      </c>
      <c r="B620">
        <v>-1.7000000000000001E-3</v>
      </c>
      <c r="C620">
        <v>-5.4000000000000003E-3</v>
      </c>
      <c r="D620">
        <v>-5.1999999999999998E-3</v>
      </c>
      <c r="E620">
        <v>1.4000000000000002E-3</v>
      </c>
      <c r="F620">
        <v>-5.3E-3</v>
      </c>
    </row>
    <row r="621" spans="1:6" x14ac:dyDescent="0.3">
      <c r="A621" s="3">
        <v>42901</v>
      </c>
      <c r="B621">
        <v>-3.0000000000000001E-3</v>
      </c>
      <c r="C621">
        <v>-3.0999999999999999E-3</v>
      </c>
      <c r="D621">
        <v>-1.1000000000000001E-3</v>
      </c>
      <c r="E621">
        <v>7.000000000000001E-4</v>
      </c>
      <c r="F621">
        <v>-1E-3</v>
      </c>
    </row>
    <row r="622" spans="1:6" x14ac:dyDescent="0.3">
      <c r="A622" s="3">
        <v>42902</v>
      </c>
      <c r="B622">
        <v>-2.9999999999999997E-4</v>
      </c>
      <c r="C622">
        <v>-2.5000000000000001E-3</v>
      </c>
      <c r="D622">
        <v>-1.5E-3</v>
      </c>
      <c r="E622">
        <v>-4.5999999999999999E-3</v>
      </c>
      <c r="F622">
        <v>1.6000000000000001E-3</v>
      </c>
    </row>
    <row r="623" spans="1:6" x14ac:dyDescent="0.3">
      <c r="A623" s="3">
        <v>42905</v>
      </c>
      <c r="B623">
        <v>8.6E-3</v>
      </c>
      <c r="C623">
        <v>1.1000000000000001E-3</v>
      </c>
      <c r="D623">
        <v>-7.4999999999999997E-3</v>
      </c>
      <c r="E623">
        <v>-1.1999999999999999E-3</v>
      </c>
      <c r="F623">
        <v>-1E-3</v>
      </c>
    </row>
    <row r="624" spans="1:6" x14ac:dyDescent="0.3">
      <c r="A624" s="3">
        <v>42906</v>
      </c>
      <c r="B624">
        <v>-7.3000000000000001E-3</v>
      </c>
      <c r="C624">
        <v>-4.4000000000000003E-3</v>
      </c>
      <c r="D624">
        <v>-5.0000000000000001E-3</v>
      </c>
      <c r="E624">
        <v>-1.9E-3</v>
      </c>
      <c r="F624">
        <v>-2.3E-3</v>
      </c>
    </row>
    <row r="625" spans="1:6" x14ac:dyDescent="0.3">
      <c r="A625" s="3">
        <v>42907</v>
      </c>
      <c r="B625">
        <v>-7.000000000000001E-4</v>
      </c>
      <c r="C625">
        <v>-2.3E-3</v>
      </c>
      <c r="D625">
        <v>-1.6799999999999999E-2</v>
      </c>
      <c r="E625">
        <v>-2.3999999999999998E-3</v>
      </c>
      <c r="F625">
        <v>-1.15E-2</v>
      </c>
    </row>
    <row r="626" spans="1:6" x14ac:dyDescent="0.3">
      <c r="A626" s="3">
        <v>42908</v>
      </c>
      <c r="B626">
        <v>2.0000000000000001E-4</v>
      </c>
      <c r="C626">
        <v>4.5999999999999999E-3</v>
      </c>
      <c r="D626">
        <v>-4.0000000000000001E-3</v>
      </c>
      <c r="E626">
        <v>-2.0999999999999999E-3</v>
      </c>
      <c r="F626">
        <v>-2.0000000000000001E-4</v>
      </c>
    </row>
    <row r="627" spans="1:6" x14ac:dyDescent="0.3">
      <c r="A627" s="3">
        <v>42909</v>
      </c>
      <c r="B627">
        <v>2.3999999999999998E-3</v>
      </c>
      <c r="C627">
        <v>7.4000000000000003E-3</v>
      </c>
      <c r="D627">
        <v>-4.8999999999999998E-3</v>
      </c>
      <c r="E627">
        <v>-4.3E-3</v>
      </c>
      <c r="F627">
        <v>8.0000000000000004E-4</v>
      </c>
    </row>
    <row r="628" spans="1:6" x14ac:dyDescent="0.3">
      <c r="A628" s="3">
        <v>42912</v>
      </c>
      <c r="B628">
        <v>4.0000000000000002E-4</v>
      </c>
      <c r="C628">
        <v>8.0000000000000004E-4</v>
      </c>
      <c r="D628">
        <v>6.9999999999999993E-3</v>
      </c>
      <c r="E628">
        <v>2.2000000000000001E-3</v>
      </c>
      <c r="F628">
        <v>1.8E-3</v>
      </c>
    </row>
    <row r="629" spans="1:6" x14ac:dyDescent="0.3">
      <c r="A629" s="3">
        <v>42913</v>
      </c>
      <c r="B629">
        <v>-8.5000000000000006E-3</v>
      </c>
      <c r="C629">
        <v>-2E-3</v>
      </c>
      <c r="D629">
        <v>1.3300000000000001E-2</v>
      </c>
      <c r="E629">
        <v>3.8E-3</v>
      </c>
      <c r="F629">
        <v>3.4000000000000002E-3</v>
      </c>
    </row>
    <row r="630" spans="1:6" x14ac:dyDescent="0.3">
      <c r="A630" s="3">
        <v>42914</v>
      </c>
      <c r="B630">
        <v>1.0200000000000001E-2</v>
      </c>
      <c r="C630">
        <v>8.0000000000000002E-3</v>
      </c>
      <c r="D630">
        <v>2.2000000000000001E-3</v>
      </c>
      <c r="E630">
        <v>-1.7000000000000001E-3</v>
      </c>
      <c r="F630">
        <v>-1E-3</v>
      </c>
    </row>
    <row r="631" spans="1:6" x14ac:dyDescent="0.3">
      <c r="A631" s="3">
        <v>42915</v>
      </c>
      <c r="B631">
        <v>-8.3000000000000001E-3</v>
      </c>
      <c r="C631">
        <v>5.0000000000000001E-4</v>
      </c>
      <c r="D631">
        <v>1.37E-2</v>
      </c>
      <c r="E631">
        <v>-2.2000000000000001E-3</v>
      </c>
      <c r="F631">
        <v>3.4000000000000002E-3</v>
      </c>
    </row>
    <row r="632" spans="1:6" x14ac:dyDescent="0.3">
      <c r="A632" s="3">
        <v>42916</v>
      </c>
      <c r="B632">
        <v>1.4000000000000002E-3</v>
      </c>
      <c r="C632">
        <v>-8.9999999999999998E-4</v>
      </c>
      <c r="D632">
        <v>-2.8999999999999998E-3</v>
      </c>
      <c r="E632">
        <v>2.0999999999999999E-3</v>
      </c>
      <c r="F632">
        <v>3.0000000000000001E-3</v>
      </c>
    </row>
    <row r="633" spans="1:6" x14ac:dyDescent="0.3">
      <c r="A633" s="3">
        <v>42919</v>
      </c>
      <c r="B633">
        <v>2.3999999999999998E-3</v>
      </c>
      <c r="C633">
        <v>4.4000000000000003E-3</v>
      </c>
      <c r="D633">
        <v>1.2E-2</v>
      </c>
      <c r="E633">
        <v>-5.1000000000000004E-3</v>
      </c>
      <c r="F633">
        <v>7.0999999999999995E-3</v>
      </c>
    </row>
    <row r="634" spans="1:6" x14ac:dyDescent="0.3">
      <c r="A634" s="3">
        <v>42921</v>
      </c>
      <c r="B634">
        <v>1.1999999999999999E-3</v>
      </c>
      <c r="C634">
        <v>-6.8999999999999999E-3</v>
      </c>
      <c r="D634">
        <v>-5.7999999999999996E-3</v>
      </c>
      <c r="E634">
        <v>1.2999999999999999E-3</v>
      </c>
      <c r="F634">
        <v>-6.7000000000000002E-3</v>
      </c>
    </row>
    <row r="635" spans="1:6" x14ac:dyDescent="0.3">
      <c r="A635" s="3">
        <v>42922</v>
      </c>
      <c r="B635">
        <v>-9.4999999999999998E-3</v>
      </c>
      <c r="C635">
        <v>-4.4000000000000003E-3</v>
      </c>
      <c r="D635">
        <v>1.1999999999999999E-3</v>
      </c>
      <c r="E635">
        <v>2E-3</v>
      </c>
      <c r="F635">
        <v>-8.9999999999999998E-4</v>
      </c>
    </row>
    <row r="636" spans="1:6" x14ac:dyDescent="0.3">
      <c r="A636" s="3">
        <v>42923</v>
      </c>
      <c r="B636">
        <v>6.9999999999999993E-3</v>
      </c>
      <c r="C636">
        <v>4.0999999999999995E-3</v>
      </c>
      <c r="D636">
        <v>-4.0999999999999995E-3</v>
      </c>
      <c r="E636">
        <v>1.8E-3</v>
      </c>
      <c r="F636">
        <v>-4.8999999999999998E-3</v>
      </c>
    </row>
    <row r="637" spans="1:6" x14ac:dyDescent="0.3">
      <c r="A637" s="3">
        <v>42926</v>
      </c>
      <c r="B637">
        <v>5.0000000000000001E-4</v>
      </c>
      <c r="C637">
        <v>-4.6999999999999993E-3</v>
      </c>
      <c r="D637">
        <v>-7.000000000000001E-4</v>
      </c>
      <c r="E637">
        <v>-1.1000000000000001E-3</v>
      </c>
      <c r="F637">
        <v>1E-4</v>
      </c>
    </row>
    <row r="638" spans="1:6" x14ac:dyDescent="0.3">
      <c r="A638" s="3">
        <v>42927</v>
      </c>
      <c r="B638">
        <v>0</v>
      </c>
      <c r="C638">
        <v>2.8999999999999998E-3</v>
      </c>
      <c r="D638">
        <v>-5.5000000000000005E-3</v>
      </c>
      <c r="E638">
        <v>-3.2000000000000002E-3</v>
      </c>
      <c r="F638">
        <v>1.8E-3</v>
      </c>
    </row>
    <row r="639" spans="1:6" x14ac:dyDescent="0.3">
      <c r="A639" s="3">
        <v>42928</v>
      </c>
      <c r="B639">
        <v>7.1999999999999998E-3</v>
      </c>
      <c r="C639">
        <v>5.9999999999999995E-4</v>
      </c>
      <c r="D639">
        <v>-5.1999999999999998E-3</v>
      </c>
      <c r="E639">
        <v>1.1999999999999999E-3</v>
      </c>
      <c r="F639">
        <v>-2.0999999999999999E-3</v>
      </c>
    </row>
    <row r="640" spans="1:6" x14ac:dyDescent="0.3">
      <c r="A640" s="3">
        <v>42929</v>
      </c>
      <c r="B640">
        <v>1.7000000000000001E-3</v>
      </c>
      <c r="C640">
        <v>-2.0000000000000001E-4</v>
      </c>
      <c r="D640">
        <v>3.8E-3</v>
      </c>
      <c r="E640">
        <v>-4.0000000000000002E-4</v>
      </c>
      <c r="F640">
        <v>1.8E-3</v>
      </c>
    </row>
    <row r="641" spans="1:6" x14ac:dyDescent="0.3">
      <c r="A641" s="3">
        <v>42930</v>
      </c>
      <c r="B641">
        <v>4.1999999999999997E-3</v>
      </c>
      <c r="C641">
        <v>-2.0999999999999999E-3</v>
      </c>
      <c r="D641">
        <v>-5.1000000000000004E-3</v>
      </c>
      <c r="E641">
        <v>1.6000000000000001E-3</v>
      </c>
      <c r="F641">
        <v>-1E-4</v>
      </c>
    </row>
    <row r="642" spans="1:6" x14ac:dyDescent="0.3">
      <c r="A642" s="3">
        <v>42933</v>
      </c>
      <c r="B642">
        <v>0</v>
      </c>
      <c r="C642">
        <v>2.2000000000000001E-3</v>
      </c>
      <c r="D642">
        <v>1.1000000000000001E-3</v>
      </c>
      <c r="E642">
        <v>1.8E-3</v>
      </c>
      <c r="F642">
        <v>7.000000000000001E-4</v>
      </c>
    </row>
    <row r="643" spans="1:6" x14ac:dyDescent="0.3">
      <c r="A643" s="3">
        <v>42934</v>
      </c>
      <c r="B643">
        <v>4.0000000000000002E-4</v>
      </c>
      <c r="C643">
        <v>-3.7000000000000002E-3</v>
      </c>
      <c r="D643">
        <v>-3.0000000000000001E-3</v>
      </c>
      <c r="E643">
        <v>-1E-3</v>
      </c>
      <c r="F643">
        <v>-3.9000000000000003E-3</v>
      </c>
    </row>
    <row r="644" spans="1:6" x14ac:dyDescent="0.3">
      <c r="A644" s="3">
        <v>42935</v>
      </c>
      <c r="B644">
        <v>5.8999999999999999E-3</v>
      </c>
      <c r="C644">
        <v>4.6999999999999993E-3</v>
      </c>
      <c r="D644">
        <v>2.9999999999999997E-4</v>
      </c>
      <c r="E644">
        <v>-2.0999999999999999E-3</v>
      </c>
      <c r="F644">
        <v>2E-3</v>
      </c>
    </row>
    <row r="645" spans="1:6" x14ac:dyDescent="0.3">
      <c r="A645" s="3">
        <v>42936</v>
      </c>
      <c r="B645">
        <v>-1E-4</v>
      </c>
      <c r="C645">
        <v>7.000000000000001E-4</v>
      </c>
      <c r="D645">
        <v>-4.0000000000000002E-4</v>
      </c>
      <c r="E645">
        <v>1.4000000000000002E-3</v>
      </c>
      <c r="F645">
        <v>-3.0000000000000001E-3</v>
      </c>
    </row>
    <row r="646" spans="1:6" x14ac:dyDescent="0.3">
      <c r="A646" s="3">
        <v>42937</v>
      </c>
      <c r="B646">
        <v>-8.0000000000000004E-4</v>
      </c>
      <c r="C646">
        <v>-4.0999999999999995E-3</v>
      </c>
      <c r="D646">
        <v>-2.3999999999999998E-3</v>
      </c>
      <c r="E646">
        <v>0</v>
      </c>
      <c r="F646">
        <v>-3.4000000000000002E-3</v>
      </c>
    </row>
    <row r="647" spans="1:6" x14ac:dyDescent="0.3">
      <c r="A647" s="3">
        <v>42940</v>
      </c>
      <c r="B647">
        <v>-2.9999999999999997E-4</v>
      </c>
      <c r="C647">
        <v>1E-3</v>
      </c>
      <c r="D647">
        <v>-1.8E-3</v>
      </c>
      <c r="E647">
        <v>-2.3999999999999998E-3</v>
      </c>
      <c r="F647">
        <v>-3.9000000000000003E-3</v>
      </c>
    </row>
    <row r="648" spans="1:6" x14ac:dyDescent="0.3">
      <c r="A648" s="3">
        <v>42941</v>
      </c>
      <c r="B648">
        <v>3.8E-3</v>
      </c>
      <c r="C648">
        <v>4.3E-3</v>
      </c>
      <c r="D648">
        <v>9.4999999999999998E-3</v>
      </c>
      <c r="E648">
        <v>-1.9E-3</v>
      </c>
      <c r="F648">
        <v>6.5000000000000006E-3</v>
      </c>
    </row>
    <row r="649" spans="1:6" x14ac:dyDescent="0.3">
      <c r="A649" s="3">
        <v>42942</v>
      </c>
      <c r="B649">
        <v>-5.9999999999999995E-4</v>
      </c>
      <c r="C649">
        <v>-4.5999999999999999E-3</v>
      </c>
      <c r="D649">
        <v>-7.4000000000000003E-3</v>
      </c>
      <c r="E649">
        <v>-1.5E-3</v>
      </c>
      <c r="F649">
        <v>7.000000000000001E-4</v>
      </c>
    </row>
    <row r="650" spans="1:6" x14ac:dyDescent="0.3">
      <c r="A650" s="3">
        <v>42943</v>
      </c>
      <c r="B650">
        <v>-1.4000000000000002E-3</v>
      </c>
      <c r="C650">
        <v>-6.7000000000000002E-3</v>
      </c>
      <c r="D650">
        <v>4.4000000000000003E-3</v>
      </c>
      <c r="E650">
        <v>3.2000000000000002E-3</v>
      </c>
      <c r="F650">
        <v>3.4999999999999996E-3</v>
      </c>
    </row>
    <row r="651" spans="1:6" x14ac:dyDescent="0.3">
      <c r="A651" s="3">
        <v>42944</v>
      </c>
      <c r="B651">
        <v>-1.7000000000000001E-3</v>
      </c>
      <c r="C651">
        <v>-5.9999999999999995E-4</v>
      </c>
      <c r="D651">
        <v>2.7000000000000001E-3</v>
      </c>
      <c r="E651">
        <v>-2.2000000000000001E-3</v>
      </c>
      <c r="F651">
        <v>2.5999999999999999E-3</v>
      </c>
    </row>
    <row r="652" spans="1:6" x14ac:dyDescent="0.3">
      <c r="A652" s="3">
        <v>42947</v>
      </c>
      <c r="B652">
        <v>-1.1000000000000001E-3</v>
      </c>
      <c r="C652">
        <v>-2.7000000000000001E-3</v>
      </c>
      <c r="D652">
        <v>4.5000000000000005E-3</v>
      </c>
      <c r="E652">
        <v>-1.1000000000000001E-3</v>
      </c>
      <c r="F652">
        <v>8.0000000000000004E-4</v>
      </c>
    </row>
    <row r="653" spans="1:6" x14ac:dyDescent="0.3">
      <c r="A653" s="3">
        <v>42948</v>
      </c>
      <c r="B653">
        <v>2.3999999999999998E-3</v>
      </c>
      <c r="C653">
        <v>-1.2999999999999999E-3</v>
      </c>
      <c r="D653">
        <v>1.5E-3</v>
      </c>
      <c r="E653">
        <v>2.5999999999999999E-3</v>
      </c>
      <c r="F653">
        <v>-5.0000000000000001E-3</v>
      </c>
    </row>
    <row r="654" spans="1:6" x14ac:dyDescent="0.3">
      <c r="A654" s="3">
        <v>42949</v>
      </c>
      <c r="B654">
        <v>-8.0000000000000004E-4</v>
      </c>
      <c r="C654">
        <v>-1.1599999999999999E-2</v>
      </c>
      <c r="D654">
        <v>1.5E-3</v>
      </c>
      <c r="E654">
        <v>2.9999999999999997E-4</v>
      </c>
      <c r="F654">
        <v>-3.7000000000000002E-3</v>
      </c>
    </row>
    <row r="655" spans="1:6" x14ac:dyDescent="0.3">
      <c r="A655" s="3">
        <v>42950</v>
      </c>
      <c r="B655">
        <v>-2.0999999999999999E-3</v>
      </c>
      <c r="C655">
        <v>-3.3E-3</v>
      </c>
      <c r="D655">
        <v>-3.0999999999999999E-3</v>
      </c>
      <c r="E655">
        <v>2.8999999999999998E-3</v>
      </c>
      <c r="F655">
        <v>-3.3E-3</v>
      </c>
    </row>
    <row r="656" spans="1:6" x14ac:dyDescent="0.3">
      <c r="A656" s="3">
        <v>42951</v>
      </c>
      <c r="B656">
        <v>2.5000000000000001E-3</v>
      </c>
      <c r="C656">
        <v>3.4000000000000002E-3</v>
      </c>
      <c r="D656">
        <v>3.8E-3</v>
      </c>
      <c r="E656">
        <v>-5.0000000000000001E-4</v>
      </c>
      <c r="F656">
        <v>8.0000000000000004E-4</v>
      </c>
    </row>
    <row r="657" spans="1:6" x14ac:dyDescent="0.3">
      <c r="A657" s="3">
        <v>42954</v>
      </c>
      <c r="B657">
        <v>1.6000000000000001E-3</v>
      </c>
      <c r="C657">
        <v>-1E-3</v>
      </c>
      <c r="D657">
        <v>-5.6999999999999993E-3</v>
      </c>
      <c r="E657">
        <v>2.3999999999999998E-3</v>
      </c>
      <c r="F657">
        <v>-3.5999999999999999E-3</v>
      </c>
    </row>
    <row r="658" spans="1:6" x14ac:dyDescent="0.3">
      <c r="A658" s="3">
        <v>42955</v>
      </c>
      <c r="B658">
        <v>-2.3999999999999998E-3</v>
      </c>
      <c r="C658">
        <v>-7.000000000000001E-4</v>
      </c>
      <c r="D658">
        <v>2.5000000000000001E-3</v>
      </c>
      <c r="E658">
        <v>-3.3E-3</v>
      </c>
      <c r="F658">
        <v>-1.8E-3</v>
      </c>
    </row>
    <row r="659" spans="1:6" x14ac:dyDescent="0.3">
      <c r="A659" s="3">
        <v>42956</v>
      </c>
      <c r="B659">
        <v>-1.4000000000000002E-3</v>
      </c>
      <c r="C659">
        <v>-7.9000000000000008E-3</v>
      </c>
      <c r="D659">
        <v>-5.9999999999999995E-4</v>
      </c>
      <c r="E659">
        <v>1.2999999999999999E-3</v>
      </c>
      <c r="F659">
        <v>5.0000000000000001E-4</v>
      </c>
    </row>
    <row r="660" spans="1:6" x14ac:dyDescent="0.3">
      <c r="A660" s="3">
        <v>42957</v>
      </c>
      <c r="B660">
        <v>-1.49E-2</v>
      </c>
      <c r="C660">
        <v>-3.0999999999999999E-3</v>
      </c>
      <c r="D660">
        <v>2.5999999999999999E-3</v>
      </c>
      <c r="E660">
        <v>3.0000000000000001E-3</v>
      </c>
      <c r="F660">
        <v>1E-3</v>
      </c>
    </row>
    <row r="661" spans="1:6" x14ac:dyDescent="0.3">
      <c r="A661" s="3">
        <v>42958</v>
      </c>
      <c r="B661">
        <v>2E-3</v>
      </c>
      <c r="C661">
        <v>1.7000000000000001E-3</v>
      </c>
      <c r="D661">
        <v>-8.6999999999999994E-3</v>
      </c>
      <c r="E661">
        <v>3.5999999999999999E-3</v>
      </c>
      <c r="F661">
        <v>-8.0000000000000004E-4</v>
      </c>
    </row>
    <row r="662" spans="1:6" x14ac:dyDescent="0.3">
      <c r="A662" s="3">
        <v>42961</v>
      </c>
      <c r="B662">
        <v>1.03E-2</v>
      </c>
      <c r="C662">
        <v>3.0999999999999999E-3</v>
      </c>
      <c r="D662">
        <v>1.1000000000000001E-3</v>
      </c>
      <c r="E662">
        <v>-4.0000000000000002E-4</v>
      </c>
      <c r="F662">
        <v>-4.6999999999999993E-3</v>
      </c>
    </row>
    <row r="663" spans="1:6" x14ac:dyDescent="0.3">
      <c r="A663" s="3">
        <v>42962</v>
      </c>
      <c r="B663">
        <v>-1.1000000000000001E-3</v>
      </c>
      <c r="C663">
        <v>-8.6E-3</v>
      </c>
      <c r="D663">
        <v>-2.0000000000000001E-4</v>
      </c>
      <c r="E663">
        <v>-1.7000000000000001E-3</v>
      </c>
      <c r="F663">
        <v>-2.3999999999999998E-3</v>
      </c>
    </row>
    <row r="664" spans="1:6" x14ac:dyDescent="0.3">
      <c r="A664" s="3">
        <v>42963</v>
      </c>
      <c r="B664">
        <v>1.8E-3</v>
      </c>
      <c r="C664">
        <v>-1.4000000000000002E-3</v>
      </c>
      <c r="D664">
        <v>-4.4000000000000003E-3</v>
      </c>
      <c r="E664">
        <v>3.3E-3</v>
      </c>
      <c r="F664">
        <v>-1.4000000000000002E-3</v>
      </c>
    </row>
    <row r="665" spans="1:6" x14ac:dyDescent="0.3">
      <c r="A665" s="3">
        <v>42964</v>
      </c>
      <c r="B665">
        <v>-1.5900000000000001E-2</v>
      </c>
      <c r="C665">
        <v>-1.8E-3</v>
      </c>
      <c r="D665">
        <v>-1.6000000000000001E-3</v>
      </c>
      <c r="E665">
        <v>-2.9999999999999997E-4</v>
      </c>
      <c r="F665">
        <v>1.4000000000000002E-3</v>
      </c>
    </row>
    <row r="666" spans="1:6" x14ac:dyDescent="0.3">
      <c r="A666" s="3">
        <v>42965</v>
      </c>
      <c r="B666">
        <v>-1.5E-3</v>
      </c>
      <c r="C666">
        <v>1.1000000000000001E-3</v>
      </c>
      <c r="D666">
        <v>2.3999999999999998E-3</v>
      </c>
      <c r="E666">
        <v>-2.7000000000000001E-3</v>
      </c>
      <c r="F666">
        <v>0</v>
      </c>
    </row>
    <row r="667" spans="1:6" x14ac:dyDescent="0.3">
      <c r="A667" s="3">
        <v>42968</v>
      </c>
      <c r="B667">
        <v>5.9999999999999995E-4</v>
      </c>
      <c r="C667">
        <v>-2.7000000000000001E-3</v>
      </c>
      <c r="D667">
        <v>-2.2000000000000001E-3</v>
      </c>
      <c r="E667">
        <v>1.9E-3</v>
      </c>
      <c r="F667">
        <v>-1.4000000000000002E-3</v>
      </c>
    </row>
    <row r="668" spans="1:6" x14ac:dyDescent="0.3">
      <c r="A668" s="3">
        <v>42969</v>
      </c>
      <c r="B668">
        <v>1.0700000000000001E-2</v>
      </c>
      <c r="C668">
        <v>-2.0000000000000001E-4</v>
      </c>
      <c r="D668">
        <v>-2.3999999999999998E-3</v>
      </c>
      <c r="E668">
        <v>-1.7000000000000001E-3</v>
      </c>
      <c r="F668">
        <v>1.7000000000000001E-3</v>
      </c>
    </row>
    <row r="669" spans="1:6" x14ac:dyDescent="0.3">
      <c r="A669" s="3">
        <v>42970</v>
      </c>
      <c r="B669">
        <v>-3.2000000000000002E-3</v>
      </c>
      <c r="C669">
        <v>1.1999999999999999E-3</v>
      </c>
      <c r="D669">
        <v>4.1999999999999997E-3</v>
      </c>
      <c r="E669">
        <v>-4.8999999999999998E-3</v>
      </c>
      <c r="F669">
        <v>1.1999999999999999E-3</v>
      </c>
    </row>
    <row r="670" spans="1:6" x14ac:dyDescent="0.3">
      <c r="A670" s="3">
        <v>42971</v>
      </c>
      <c r="B670">
        <v>-1.4000000000000002E-3</v>
      </c>
      <c r="C670">
        <v>5.6999999999999993E-3</v>
      </c>
      <c r="D670">
        <v>1.7000000000000001E-3</v>
      </c>
      <c r="E670">
        <v>-4.7999999999999996E-3</v>
      </c>
      <c r="F670">
        <v>2.0999999999999999E-3</v>
      </c>
    </row>
    <row r="671" spans="1:6" x14ac:dyDescent="0.3">
      <c r="A671" s="3">
        <v>42972</v>
      </c>
      <c r="B671">
        <v>1.8E-3</v>
      </c>
      <c r="C671">
        <v>1.6000000000000001E-3</v>
      </c>
      <c r="D671">
        <v>5.5000000000000005E-3</v>
      </c>
      <c r="E671">
        <v>1.2999999999999999E-3</v>
      </c>
      <c r="F671">
        <v>2.3E-3</v>
      </c>
    </row>
    <row r="672" spans="1:6" x14ac:dyDescent="0.3">
      <c r="A672" s="3">
        <v>42975</v>
      </c>
      <c r="B672">
        <v>8.0000000000000004E-4</v>
      </c>
      <c r="C672">
        <v>3.0000000000000001E-3</v>
      </c>
      <c r="D672">
        <v>-7.4000000000000003E-3</v>
      </c>
      <c r="E672">
        <v>1.9E-3</v>
      </c>
      <c r="F672">
        <v>-1.1999999999999999E-3</v>
      </c>
    </row>
    <row r="673" spans="1:6" x14ac:dyDescent="0.3">
      <c r="A673" s="3">
        <v>42976</v>
      </c>
      <c r="B673">
        <v>1E-3</v>
      </c>
      <c r="C673">
        <v>8.9999999999999998E-4</v>
      </c>
      <c r="D673">
        <v>-3.9000000000000003E-3</v>
      </c>
      <c r="E673">
        <v>0</v>
      </c>
      <c r="F673">
        <v>8.0000000000000004E-4</v>
      </c>
    </row>
    <row r="674" spans="1:6" x14ac:dyDescent="0.3">
      <c r="A674" s="3">
        <v>42977</v>
      </c>
      <c r="B674">
        <v>5.3E-3</v>
      </c>
      <c r="C674">
        <v>1E-4</v>
      </c>
      <c r="D674">
        <v>-3.0999999999999999E-3</v>
      </c>
      <c r="E674">
        <v>8.9999999999999998E-4</v>
      </c>
      <c r="F674">
        <v>-3.7000000000000002E-3</v>
      </c>
    </row>
    <row r="675" spans="1:6" x14ac:dyDescent="0.3">
      <c r="A675" s="3">
        <v>42978</v>
      </c>
      <c r="B675">
        <v>6.1999999999999998E-3</v>
      </c>
      <c r="C675">
        <v>3.8E-3</v>
      </c>
      <c r="D675">
        <v>-4.3E-3</v>
      </c>
      <c r="E675">
        <v>-3.0000000000000001E-3</v>
      </c>
      <c r="F675">
        <v>5.9999999999999995E-4</v>
      </c>
    </row>
    <row r="676" spans="1:6" x14ac:dyDescent="0.3">
      <c r="A676" s="3">
        <v>42979</v>
      </c>
      <c r="B676">
        <v>2.7000000000000001E-3</v>
      </c>
      <c r="C676">
        <v>4.3E-3</v>
      </c>
      <c r="D676">
        <v>4.0000000000000001E-3</v>
      </c>
      <c r="E676">
        <v>-8.9999999999999998E-4</v>
      </c>
      <c r="F676">
        <v>3.4999999999999996E-3</v>
      </c>
    </row>
    <row r="677" spans="1:6" x14ac:dyDescent="0.3">
      <c r="A677" s="3">
        <v>42983</v>
      </c>
      <c r="B677">
        <v>-8.1000000000000013E-3</v>
      </c>
      <c r="C677">
        <v>-4.0000000000000002E-4</v>
      </c>
      <c r="D677">
        <v>-9.7999999999999997E-3</v>
      </c>
      <c r="E677">
        <v>-7.000000000000001E-4</v>
      </c>
      <c r="F677">
        <v>4.7999999999999996E-3</v>
      </c>
    </row>
    <row r="678" spans="1:6" x14ac:dyDescent="0.3">
      <c r="A678" s="3">
        <v>42984</v>
      </c>
      <c r="B678">
        <v>2.8000000000000004E-3</v>
      </c>
      <c r="C678">
        <v>-5.0000000000000001E-4</v>
      </c>
      <c r="D678">
        <v>1.1999999999999999E-3</v>
      </c>
      <c r="E678">
        <v>-3.7000000000000002E-3</v>
      </c>
      <c r="F678">
        <v>1.6000000000000001E-3</v>
      </c>
    </row>
    <row r="679" spans="1:6" x14ac:dyDescent="0.3">
      <c r="A679" s="3">
        <v>42985</v>
      </c>
      <c r="B679">
        <v>-7.000000000000001E-4</v>
      </c>
      <c r="C679">
        <v>2.0000000000000001E-4</v>
      </c>
      <c r="D679">
        <v>-9.1000000000000004E-3</v>
      </c>
      <c r="E679">
        <v>1E-4</v>
      </c>
      <c r="F679">
        <v>1.2999999999999999E-3</v>
      </c>
    </row>
    <row r="680" spans="1:6" x14ac:dyDescent="0.3">
      <c r="A680" s="3">
        <v>42986</v>
      </c>
      <c r="B680">
        <v>-1.6000000000000001E-3</v>
      </c>
      <c r="C680">
        <v>1.1999999999999999E-3</v>
      </c>
      <c r="D680">
        <v>3.9000000000000003E-3</v>
      </c>
      <c r="E680">
        <v>2.0999999999999999E-3</v>
      </c>
      <c r="F680">
        <v>-1.1999999999999999E-3</v>
      </c>
    </row>
    <row r="681" spans="1:6" x14ac:dyDescent="0.3">
      <c r="A681" s="3">
        <v>42989</v>
      </c>
      <c r="B681">
        <v>1.0800000000000001E-2</v>
      </c>
      <c r="C681">
        <v>-5.9999999999999995E-4</v>
      </c>
      <c r="D681">
        <v>6.4000000000000003E-3</v>
      </c>
      <c r="E681">
        <v>-3.3E-3</v>
      </c>
      <c r="F681">
        <v>-8.9999999999999998E-4</v>
      </c>
    </row>
    <row r="682" spans="1:6" x14ac:dyDescent="0.3">
      <c r="A682" s="3">
        <v>42990</v>
      </c>
      <c r="B682">
        <v>4.4000000000000003E-3</v>
      </c>
      <c r="C682">
        <v>3.4000000000000002E-3</v>
      </c>
      <c r="D682">
        <v>7.3000000000000001E-3</v>
      </c>
      <c r="E682">
        <v>8.0000000000000004E-4</v>
      </c>
      <c r="F682">
        <v>1.7000000000000001E-3</v>
      </c>
    </row>
    <row r="683" spans="1:6" x14ac:dyDescent="0.3">
      <c r="A683" s="3">
        <v>42991</v>
      </c>
      <c r="B683">
        <v>1.1000000000000001E-3</v>
      </c>
      <c r="C683">
        <v>2.8999999999999998E-3</v>
      </c>
      <c r="D683">
        <v>3.5999999999999999E-3</v>
      </c>
      <c r="E683">
        <v>-3.4000000000000002E-3</v>
      </c>
      <c r="F683">
        <v>1E-3</v>
      </c>
    </row>
    <row r="684" spans="1:6" x14ac:dyDescent="0.3">
      <c r="A684" s="3">
        <v>42992</v>
      </c>
      <c r="B684">
        <v>-1.1999999999999999E-3</v>
      </c>
      <c r="C684">
        <v>-7.000000000000001E-4</v>
      </c>
      <c r="D684">
        <v>-7.000000000000001E-4</v>
      </c>
      <c r="E684">
        <v>-3.0999999999999999E-3</v>
      </c>
      <c r="F684">
        <v>2.3999999999999998E-3</v>
      </c>
    </row>
    <row r="685" spans="1:6" x14ac:dyDescent="0.3">
      <c r="A685" s="3">
        <v>42993</v>
      </c>
      <c r="B685">
        <v>1.9E-3</v>
      </c>
      <c r="C685">
        <v>2.5999999999999999E-3</v>
      </c>
      <c r="D685">
        <v>1.4000000000000002E-3</v>
      </c>
      <c r="E685">
        <v>3.0000000000000001E-3</v>
      </c>
      <c r="F685">
        <v>-2.9999999999999997E-4</v>
      </c>
    </row>
    <row r="686" spans="1:6" x14ac:dyDescent="0.3">
      <c r="A686" s="3">
        <v>42996</v>
      </c>
      <c r="B686">
        <v>2.3999999999999998E-3</v>
      </c>
      <c r="C686">
        <v>4.0000000000000001E-3</v>
      </c>
      <c r="D686">
        <v>2E-3</v>
      </c>
      <c r="E686">
        <v>-4.8999999999999998E-3</v>
      </c>
      <c r="F686">
        <v>2.3999999999999998E-3</v>
      </c>
    </row>
    <row r="687" spans="1:6" x14ac:dyDescent="0.3">
      <c r="A687" s="3">
        <v>42997</v>
      </c>
      <c r="B687">
        <v>1.5E-3</v>
      </c>
      <c r="C687">
        <v>-2.0999999999999999E-3</v>
      </c>
      <c r="D687">
        <v>3.9000000000000003E-3</v>
      </c>
      <c r="E687">
        <v>2.9999999999999997E-4</v>
      </c>
      <c r="F687">
        <v>5.9999999999999995E-4</v>
      </c>
    </row>
    <row r="688" spans="1:6" x14ac:dyDescent="0.3">
      <c r="A688" s="3">
        <v>42998</v>
      </c>
      <c r="B688">
        <v>1.6000000000000001E-3</v>
      </c>
      <c r="C688">
        <v>2.7000000000000001E-3</v>
      </c>
      <c r="D688">
        <v>4.7999999999999996E-3</v>
      </c>
      <c r="E688">
        <v>-1.8E-3</v>
      </c>
      <c r="F688">
        <v>3.0000000000000001E-3</v>
      </c>
    </row>
    <row r="689" spans="1:6" x14ac:dyDescent="0.3">
      <c r="A689" s="3">
        <v>42999</v>
      </c>
      <c r="B689">
        <v>-2.8000000000000004E-3</v>
      </c>
      <c r="C689">
        <v>1.5E-3</v>
      </c>
      <c r="D689">
        <v>3.7000000000000002E-3</v>
      </c>
      <c r="E689">
        <v>-5.0000000000000001E-4</v>
      </c>
      <c r="F689">
        <v>-5.9999999999999995E-4</v>
      </c>
    </row>
    <row r="690" spans="1:6" x14ac:dyDescent="0.3">
      <c r="A690" s="3">
        <v>43000</v>
      </c>
      <c r="B690">
        <v>1.1999999999999999E-3</v>
      </c>
      <c r="C690">
        <v>4.1999999999999997E-3</v>
      </c>
      <c r="D690">
        <v>1.1000000000000001E-3</v>
      </c>
      <c r="E690">
        <v>3.8E-3</v>
      </c>
      <c r="F690">
        <v>3.0999999999999999E-3</v>
      </c>
    </row>
    <row r="691" spans="1:6" x14ac:dyDescent="0.3">
      <c r="A691" s="3">
        <v>43003</v>
      </c>
      <c r="B691">
        <v>-2.5000000000000001E-3</v>
      </c>
      <c r="C691">
        <v>3.4000000000000002E-3</v>
      </c>
      <c r="D691">
        <v>5.7999999999999996E-3</v>
      </c>
      <c r="E691">
        <v>-2.0999999999999999E-3</v>
      </c>
      <c r="F691">
        <v>6.0999999999999995E-3</v>
      </c>
    </row>
    <row r="692" spans="1:6" x14ac:dyDescent="0.3">
      <c r="A692" s="3">
        <v>43004</v>
      </c>
      <c r="B692">
        <v>5.0000000000000001E-4</v>
      </c>
      <c r="C692">
        <v>4.5000000000000005E-3</v>
      </c>
      <c r="D692">
        <v>1.5E-3</v>
      </c>
      <c r="E692">
        <v>5.6999999999999993E-3</v>
      </c>
      <c r="F692">
        <v>-1.8E-3</v>
      </c>
    </row>
    <row r="693" spans="1:6" x14ac:dyDescent="0.3">
      <c r="A693" s="3">
        <v>43005</v>
      </c>
      <c r="B693">
        <v>6.3E-3</v>
      </c>
      <c r="C693">
        <v>1.4199999999999999E-2</v>
      </c>
      <c r="D693">
        <v>2.2000000000000001E-3</v>
      </c>
      <c r="E693">
        <v>-2.8000000000000004E-3</v>
      </c>
      <c r="F693">
        <v>-4.7999999999999996E-3</v>
      </c>
    </row>
    <row r="694" spans="1:6" x14ac:dyDescent="0.3">
      <c r="A694" s="3">
        <v>43006</v>
      </c>
      <c r="B694">
        <v>1.2999999999999999E-3</v>
      </c>
      <c r="C694">
        <v>1.7000000000000001E-3</v>
      </c>
      <c r="D694">
        <v>-5.0000000000000001E-4</v>
      </c>
      <c r="E694">
        <v>-1E-3</v>
      </c>
      <c r="F694">
        <v>-1.5E-3</v>
      </c>
    </row>
    <row r="695" spans="1:6" x14ac:dyDescent="0.3">
      <c r="A695" s="3">
        <v>43007</v>
      </c>
      <c r="B695">
        <v>3.4999999999999996E-3</v>
      </c>
      <c r="C695">
        <v>-1.4000000000000002E-3</v>
      </c>
      <c r="D695">
        <v>-2.5999999999999999E-3</v>
      </c>
      <c r="E695">
        <v>-1.1000000000000001E-3</v>
      </c>
      <c r="F695">
        <v>-3.0999999999999999E-3</v>
      </c>
    </row>
    <row r="696" spans="1:6" x14ac:dyDescent="0.3">
      <c r="A696" s="3">
        <v>43010</v>
      </c>
      <c r="B696">
        <v>5.0000000000000001E-3</v>
      </c>
      <c r="C696">
        <v>8.8000000000000005E-3</v>
      </c>
      <c r="D696">
        <v>1.2999999999999999E-3</v>
      </c>
      <c r="E696">
        <v>-2.0999999999999999E-3</v>
      </c>
      <c r="F696">
        <v>2.5000000000000001E-3</v>
      </c>
    </row>
    <row r="697" spans="1:6" x14ac:dyDescent="0.3">
      <c r="A697" s="3">
        <v>43011</v>
      </c>
      <c r="B697">
        <v>2.5999999999999999E-3</v>
      </c>
      <c r="C697">
        <v>-2.9999999999999997E-4</v>
      </c>
      <c r="D697">
        <v>-4.0000000000000002E-4</v>
      </c>
      <c r="E697">
        <v>-2.0000000000000001E-4</v>
      </c>
      <c r="F697">
        <v>-8.9999999999999998E-4</v>
      </c>
    </row>
    <row r="698" spans="1:6" x14ac:dyDescent="0.3">
      <c r="A698" s="3">
        <v>43012</v>
      </c>
      <c r="B698">
        <v>5.0000000000000001E-4</v>
      </c>
      <c r="C698">
        <v>-3.3E-3</v>
      </c>
      <c r="D698">
        <v>-4.5000000000000005E-3</v>
      </c>
      <c r="E698">
        <v>-8.9999999999999998E-4</v>
      </c>
      <c r="F698">
        <v>4.0000000000000002E-4</v>
      </c>
    </row>
    <row r="699" spans="1:6" x14ac:dyDescent="0.3">
      <c r="A699" s="3">
        <v>43013</v>
      </c>
      <c r="B699">
        <v>5.5000000000000005E-3</v>
      </c>
      <c r="C699">
        <v>-3.2000000000000002E-3</v>
      </c>
      <c r="D699">
        <v>3.8E-3</v>
      </c>
      <c r="E699">
        <v>-3.0999999999999999E-3</v>
      </c>
      <c r="F699">
        <v>-1.9E-3</v>
      </c>
    </row>
    <row r="700" spans="1:6" x14ac:dyDescent="0.3">
      <c r="A700" s="3">
        <v>43014</v>
      </c>
      <c r="B700">
        <v>-8.0000000000000004E-4</v>
      </c>
      <c r="C700">
        <v>-8.0000000000000004E-4</v>
      </c>
      <c r="D700">
        <v>-2.5000000000000001E-3</v>
      </c>
      <c r="E700">
        <v>1.5E-3</v>
      </c>
      <c r="F700">
        <v>-3.5999999999999999E-3</v>
      </c>
    </row>
    <row r="701" spans="1:6" x14ac:dyDescent="0.3">
      <c r="A701" s="3">
        <v>43017</v>
      </c>
      <c r="B701">
        <v>-2.2000000000000001E-3</v>
      </c>
      <c r="C701">
        <v>-2.8000000000000004E-3</v>
      </c>
      <c r="D701">
        <v>0</v>
      </c>
      <c r="E701">
        <v>1E-3</v>
      </c>
      <c r="F701">
        <v>-2.0999999999999999E-3</v>
      </c>
    </row>
    <row r="702" spans="1:6" x14ac:dyDescent="0.3">
      <c r="A702" s="3">
        <v>43018</v>
      </c>
      <c r="B702">
        <v>2.3999999999999998E-3</v>
      </c>
      <c r="C702">
        <v>4.0000000000000002E-4</v>
      </c>
      <c r="D702">
        <v>4.1999999999999997E-3</v>
      </c>
      <c r="E702">
        <v>1.1000000000000001E-3</v>
      </c>
      <c r="F702">
        <v>-1E-3</v>
      </c>
    </row>
    <row r="703" spans="1:6" x14ac:dyDescent="0.3">
      <c r="A703" s="3">
        <v>43019</v>
      </c>
      <c r="B703">
        <v>1.6000000000000001E-3</v>
      </c>
      <c r="C703">
        <v>-2.3999999999999998E-3</v>
      </c>
      <c r="D703">
        <v>-1.9E-3</v>
      </c>
      <c r="E703">
        <v>-5.9999999999999995E-4</v>
      </c>
      <c r="F703">
        <v>-1E-3</v>
      </c>
    </row>
    <row r="704" spans="1:6" x14ac:dyDescent="0.3">
      <c r="A704" s="3">
        <v>43020</v>
      </c>
      <c r="B704">
        <v>-1.8E-3</v>
      </c>
      <c r="C704">
        <v>-1.1000000000000001E-3</v>
      </c>
      <c r="D704">
        <v>-5.1000000000000004E-3</v>
      </c>
      <c r="E704">
        <v>1.2999999999999999E-3</v>
      </c>
      <c r="F704">
        <v>1E-3</v>
      </c>
    </row>
    <row r="705" spans="1:6" x14ac:dyDescent="0.3">
      <c r="A705" s="3">
        <v>43021</v>
      </c>
      <c r="B705">
        <v>4.0000000000000002E-4</v>
      </c>
      <c r="C705">
        <v>-2.7000000000000001E-3</v>
      </c>
      <c r="D705">
        <v>1.5E-3</v>
      </c>
      <c r="E705">
        <v>2E-3</v>
      </c>
      <c r="F705">
        <v>2.9999999999999997E-4</v>
      </c>
    </row>
    <row r="706" spans="1:6" x14ac:dyDescent="0.3">
      <c r="A706" s="3">
        <v>43024</v>
      </c>
      <c r="B706">
        <v>1.7000000000000001E-3</v>
      </c>
      <c r="C706">
        <v>-2.8000000000000004E-3</v>
      </c>
      <c r="D706">
        <v>3.5999999999999999E-3</v>
      </c>
      <c r="E706">
        <v>2.0000000000000001E-4</v>
      </c>
      <c r="F706">
        <v>-5.0000000000000001E-4</v>
      </c>
    </row>
    <row r="707" spans="1:6" x14ac:dyDescent="0.3">
      <c r="A707" s="3">
        <v>43025</v>
      </c>
      <c r="B707">
        <v>1E-4</v>
      </c>
      <c r="C707">
        <v>-3.4999999999999996E-3</v>
      </c>
      <c r="D707">
        <v>-3.0999999999999999E-3</v>
      </c>
      <c r="E707">
        <v>4.0999999999999995E-3</v>
      </c>
      <c r="F707">
        <v>-1.8E-3</v>
      </c>
    </row>
    <row r="708" spans="1:6" x14ac:dyDescent="0.3">
      <c r="A708" s="3">
        <v>43026</v>
      </c>
      <c r="B708">
        <v>1.4000000000000002E-3</v>
      </c>
      <c r="C708">
        <v>3.5999999999999999E-3</v>
      </c>
      <c r="D708">
        <v>2.2000000000000001E-3</v>
      </c>
      <c r="E708">
        <v>3.0000000000000001E-3</v>
      </c>
      <c r="F708">
        <v>-1.4000000000000002E-3</v>
      </c>
    </row>
    <row r="709" spans="1:6" x14ac:dyDescent="0.3">
      <c r="A709" s="3">
        <v>43027</v>
      </c>
      <c r="B709">
        <v>2.0000000000000001E-4</v>
      </c>
      <c r="C709">
        <v>-3.5999999999999999E-3</v>
      </c>
      <c r="D709">
        <v>1.6000000000000001E-3</v>
      </c>
      <c r="E709">
        <v>1.4000000000000002E-3</v>
      </c>
      <c r="F709">
        <v>8.9999999999999998E-4</v>
      </c>
    </row>
    <row r="710" spans="1:6" x14ac:dyDescent="0.3">
      <c r="A710" s="3">
        <v>43028</v>
      </c>
      <c r="B710">
        <v>5.6999999999999993E-3</v>
      </c>
      <c r="C710">
        <v>0</v>
      </c>
      <c r="D710">
        <v>2.7000000000000001E-3</v>
      </c>
      <c r="E710">
        <v>8.9999999999999998E-4</v>
      </c>
      <c r="F710">
        <v>0</v>
      </c>
    </row>
    <row r="711" spans="1:6" x14ac:dyDescent="0.3">
      <c r="A711" s="3">
        <v>43031</v>
      </c>
      <c r="B711">
        <v>-4.5000000000000005E-3</v>
      </c>
      <c r="C711">
        <v>-3.5999999999999999E-3</v>
      </c>
      <c r="D711">
        <v>1.8E-3</v>
      </c>
      <c r="E711">
        <v>2.5000000000000001E-3</v>
      </c>
      <c r="F711">
        <v>-3.7000000000000002E-3</v>
      </c>
    </row>
    <row r="712" spans="1:6" x14ac:dyDescent="0.3">
      <c r="A712" s="3">
        <v>43032</v>
      </c>
      <c r="B712">
        <v>2E-3</v>
      </c>
      <c r="C712">
        <v>-1.1000000000000001E-3</v>
      </c>
      <c r="D712">
        <v>4.8999999999999998E-3</v>
      </c>
      <c r="E712">
        <v>-1E-4</v>
      </c>
      <c r="F712">
        <v>-1.1999999999999999E-3</v>
      </c>
    </row>
    <row r="713" spans="1:6" x14ac:dyDescent="0.3">
      <c r="A713" s="3">
        <v>43033</v>
      </c>
      <c r="B713">
        <v>-5.1000000000000004E-3</v>
      </c>
      <c r="C713">
        <v>4.0000000000000002E-4</v>
      </c>
      <c r="D713">
        <v>1.4000000000000002E-3</v>
      </c>
      <c r="E713">
        <v>2.5000000000000001E-3</v>
      </c>
      <c r="F713">
        <v>-4.8999999999999998E-3</v>
      </c>
    </row>
    <row r="714" spans="1:6" x14ac:dyDescent="0.3">
      <c r="A714" s="3">
        <v>43034</v>
      </c>
      <c r="B714">
        <v>2E-3</v>
      </c>
      <c r="C714">
        <v>5.0000000000000001E-4</v>
      </c>
      <c r="D714">
        <v>2.7000000000000001E-3</v>
      </c>
      <c r="E714">
        <v>1.6000000000000001E-3</v>
      </c>
      <c r="F714">
        <v>-1.7000000000000001E-3</v>
      </c>
    </row>
    <row r="715" spans="1:6" x14ac:dyDescent="0.3">
      <c r="A715" s="3">
        <v>43035</v>
      </c>
      <c r="B715">
        <v>8.199999999999999E-3</v>
      </c>
      <c r="C715">
        <v>-7.000000000000001E-4</v>
      </c>
      <c r="D715">
        <v>-9.7999999999999997E-3</v>
      </c>
      <c r="E715">
        <v>1.1000000000000001E-3</v>
      </c>
      <c r="F715">
        <v>-1.24E-2</v>
      </c>
    </row>
    <row r="716" spans="1:6" x14ac:dyDescent="0.3">
      <c r="A716" s="3">
        <v>43038</v>
      </c>
      <c r="B716">
        <v>-4.5999999999999999E-3</v>
      </c>
      <c r="C716">
        <v>-7.8000000000000005E-3</v>
      </c>
      <c r="D716">
        <v>-2.9999999999999997E-4</v>
      </c>
      <c r="E716">
        <v>-5.6999999999999993E-3</v>
      </c>
      <c r="F716">
        <v>-2.8999999999999998E-3</v>
      </c>
    </row>
    <row r="717" spans="1:6" x14ac:dyDescent="0.3">
      <c r="A717" s="3">
        <v>43039</v>
      </c>
      <c r="B717">
        <v>2.3E-3</v>
      </c>
      <c r="C717">
        <v>7.7000000000000002E-3</v>
      </c>
      <c r="D717">
        <v>-2.3999999999999998E-3</v>
      </c>
      <c r="E717">
        <v>-2.0999999999999999E-3</v>
      </c>
      <c r="F717">
        <v>1.2999999999999999E-3</v>
      </c>
    </row>
    <row r="718" spans="1:6" x14ac:dyDescent="0.3">
      <c r="A718" s="3">
        <v>43040</v>
      </c>
      <c r="B718">
        <v>5.0000000000000001E-4</v>
      </c>
      <c r="C718">
        <v>-8.0000000000000002E-3</v>
      </c>
      <c r="D718">
        <v>8.0000000000000004E-4</v>
      </c>
      <c r="E718">
        <v>-1E-4</v>
      </c>
      <c r="F718">
        <v>-5.0000000000000001E-4</v>
      </c>
    </row>
    <row r="719" spans="1:6" x14ac:dyDescent="0.3">
      <c r="A719" s="3">
        <v>43041</v>
      </c>
      <c r="B719">
        <v>5.9999999999999995E-4</v>
      </c>
      <c r="C719">
        <v>1E-4</v>
      </c>
      <c r="D719">
        <v>5.0000000000000001E-3</v>
      </c>
      <c r="E719">
        <v>-2.7000000000000001E-3</v>
      </c>
      <c r="F719">
        <v>2.8999999999999998E-3</v>
      </c>
    </row>
    <row r="720" spans="1:6" x14ac:dyDescent="0.3">
      <c r="A720" s="3">
        <v>43042</v>
      </c>
      <c r="B720">
        <v>3.0999999999999999E-3</v>
      </c>
      <c r="C720">
        <v>-5.4000000000000003E-3</v>
      </c>
      <c r="D720">
        <v>-7.0999999999999995E-3</v>
      </c>
      <c r="E720">
        <v>-1.6000000000000001E-3</v>
      </c>
      <c r="F720">
        <v>-8.0000000000000004E-4</v>
      </c>
    </row>
    <row r="721" spans="1:6" x14ac:dyDescent="0.3">
      <c r="A721" s="3">
        <v>43045</v>
      </c>
      <c r="B721">
        <v>5.9999999999999995E-4</v>
      </c>
      <c r="C721">
        <v>1.5E-3</v>
      </c>
      <c r="D721">
        <v>1.9E-3</v>
      </c>
      <c r="E721">
        <v>-6.1999999999999998E-3</v>
      </c>
      <c r="F721">
        <v>1.8E-3</v>
      </c>
    </row>
    <row r="722" spans="1:6" x14ac:dyDescent="0.3">
      <c r="A722" s="3">
        <v>43046</v>
      </c>
      <c r="B722">
        <v>-2E-3</v>
      </c>
      <c r="C722">
        <v>-1.4199999999999999E-2</v>
      </c>
      <c r="D722">
        <v>-4.0000000000000001E-3</v>
      </c>
      <c r="E722">
        <v>4.5999999999999999E-3</v>
      </c>
      <c r="F722">
        <v>-1.1999999999999999E-3</v>
      </c>
    </row>
    <row r="723" spans="1:6" x14ac:dyDescent="0.3">
      <c r="A723" s="3">
        <v>43047</v>
      </c>
      <c r="B723">
        <v>1.1999999999999999E-3</v>
      </c>
      <c r="C723">
        <v>-2.9999999999999997E-4</v>
      </c>
      <c r="D723">
        <v>-5.6999999999999993E-3</v>
      </c>
      <c r="E723">
        <v>5.5000000000000005E-3</v>
      </c>
      <c r="F723">
        <v>-8.0000000000000004E-4</v>
      </c>
    </row>
    <row r="724" spans="1:6" x14ac:dyDescent="0.3">
      <c r="A724" s="3">
        <v>43048</v>
      </c>
      <c r="B724">
        <v>-4.0999999999999995E-3</v>
      </c>
      <c r="C724">
        <v>0</v>
      </c>
      <c r="D724">
        <v>2.3E-3</v>
      </c>
      <c r="E724">
        <v>0</v>
      </c>
      <c r="F724">
        <v>5.0000000000000001E-4</v>
      </c>
    </row>
    <row r="725" spans="1:6" x14ac:dyDescent="0.3">
      <c r="A725" s="3">
        <v>43049</v>
      </c>
      <c r="B725">
        <v>1E-4</v>
      </c>
      <c r="C725">
        <v>5.9999999999999995E-4</v>
      </c>
      <c r="D725">
        <v>-4.1999999999999997E-3</v>
      </c>
      <c r="E725">
        <v>2.0999999999999999E-3</v>
      </c>
      <c r="F725">
        <v>1E-3</v>
      </c>
    </row>
    <row r="726" spans="1:6" x14ac:dyDescent="0.3">
      <c r="A726" s="3">
        <v>43052</v>
      </c>
      <c r="B726">
        <v>8.9999999999999998E-4</v>
      </c>
      <c r="C726">
        <v>-2.8999999999999998E-3</v>
      </c>
      <c r="D726">
        <v>8.9999999999999998E-4</v>
      </c>
      <c r="E726">
        <v>2.9999999999999997E-4</v>
      </c>
      <c r="F726">
        <v>-7.9000000000000008E-3</v>
      </c>
    </row>
    <row r="727" spans="1:6" x14ac:dyDescent="0.3">
      <c r="A727" s="3">
        <v>43053</v>
      </c>
      <c r="B727">
        <v>-2.2000000000000001E-3</v>
      </c>
      <c r="C727">
        <v>-5.9999999999999995E-4</v>
      </c>
      <c r="D727">
        <v>2.0000000000000001E-4</v>
      </c>
      <c r="E727">
        <v>9.300000000000001E-3</v>
      </c>
      <c r="F727">
        <v>-5.0000000000000001E-3</v>
      </c>
    </row>
    <row r="728" spans="1:6" x14ac:dyDescent="0.3">
      <c r="A728" s="3">
        <v>43054</v>
      </c>
      <c r="B728">
        <v>-5.1999999999999998E-3</v>
      </c>
      <c r="C728">
        <v>5.0000000000000001E-4</v>
      </c>
      <c r="D728">
        <v>2.3E-3</v>
      </c>
      <c r="E728">
        <v>-5.0000000000000001E-4</v>
      </c>
      <c r="F728">
        <v>1.6000000000000001E-3</v>
      </c>
    </row>
    <row r="729" spans="1:6" x14ac:dyDescent="0.3">
      <c r="A729" s="3">
        <v>43055</v>
      </c>
      <c r="B729">
        <v>1.01E-2</v>
      </c>
      <c r="C729">
        <v>8.5000000000000006E-3</v>
      </c>
      <c r="D729">
        <v>-5.5000000000000005E-3</v>
      </c>
      <c r="E729">
        <v>5.4000000000000003E-3</v>
      </c>
      <c r="F729">
        <v>-4.0000000000000002E-4</v>
      </c>
    </row>
    <row r="730" spans="1:6" x14ac:dyDescent="0.3">
      <c r="A730" s="3">
        <v>43056</v>
      </c>
      <c r="B730">
        <v>-1.4000000000000002E-3</v>
      </c>
      <c r="C730">
        <v>7.1999999999999998E-3</v>
      </c>
      <c r="D730">
        <v>2.8999999999999998E-3</v>
      </c>
      <c r="E730">
        <v>-1.6000000000000001E-3</v>
      </c>
      <c r="F730">
        <v>4.5000000000000005E-3</v>
      </c>
    </row>
    <row r="731" spans="1:6" x14ac:dyDescent="0.3">
      <c r="A731" s="3">
        <v>43059</v>
      </c>
      <c r="B731">
        <v>2.0999999999999999E-3</v>
      </c>
      <c r="C731">
        <v>6.1999999999999998E-3</v>
      </c>
      <c r="D731">
        <v>2.0000000000000001E-4</v>
      </c>
      <c r="E731">
        <v>2.5000000000000001E-3</v>
      </c>
      <c r="F731">
        <v>0</v>
      </c>
    </row>
    <row r="732" spans="1:6" x14ac:dyDescent="0.3">
      <c r="A732" s="3">
        <v>43060</v>
      </c>
      <c r="B732">
        <v>6.7000000000000002E-3</v>
      </c>
      <c r="C732">
        <v>3.5999999999999999E-3</v>
      </c>
      <c r="D732">
        <v>-3.3E-3</v>
      </c>
      <c r="E732">
        <v>2.9999999999999997E-4</v>
      </c>
      <c r="F732">
        <v>-5.6999999999999993E-3</v>
      </c>
    </row>
    <row r="733" spans="1:6" x14ac:dyDescent="0.3">
      <c r="A733" s="3">
        <v>43061</v>
      </c>
      <c r="B733">
        <v>-5.0000000000000001E-4</v>
      </c>
      <c r="C733">
        <v>8.0000000000000004E-4</v>
      </c>
      <c r="D733">
        <v>-8.0000000000000004E-4</v>
      </c>
      <c r="E733">
        <v>-2.2000000000000001E-3</v>
      </c>
      <c r="F733">
        <v>2.2000000000000001E-3</v>
      </c>
    </row>
    <row r="734" spans="1:6" x14ac:dyDescent="0.3">
      <c r="A734" s="3">
        <v>43063</v>
      </c>
      <c r="B734">
        <v>2.0999999999999999E-3</v>
      </c>
      <c r="C734">
        <v>0</v>
      </c>
      <c r="D734">
        <v>-4.3E-3</v>
      </c>
      <c r="E734">
        <v>4.0000000000000002E-4</v>
      </c>
      <c r="F734">
        <v>-7.000000000000001E-4</v>
      </c>
    </row>
    <row r="735" spans="1:6" x14ac:dyDescent="0.3">
      <c r="A735" s="3">
        <v>43066</v>
      </c>
      <c r="B735">
        <v>-5.9999999999999995E-4</v>
      </c>
      <c r="C735">
        <v>-3.0000000000000001E-3</v>
      </c>
      <c r="D735">
        <v>1E-4</v>
      </c>
      <c r="E735">
        <v>6.0000000000000001E-3</v>
      </c>
      <c r="F735">
        <v>-1.5E-3</v>
      </c>
    </row>
    <row r="736" spans="1:6" x14ac:dyDescent="0.3">
      <c r="A736" s="3">
        <v>43067</v>
      </c>
      <c r="B736">
        <v>1.06E-2</v>
      </c>
      <c r="C736">
        <v>5.6000000000000008E-3</v>
      </c>
      <c r="D736">
        <v>8.6E-3</v>
      </c>
      <c r="E736">
        <v>2.8999999999999998E-3</v>
      </c>
      <c r="F736">
        <v>-1E-4</v>
      </c>
    </row>
    <row r="737" spans="1:6" x14ac:dyDescent="0.3">
      <c r="A737" s="3">
        <v>43068</v>
      </c>
      <c r="B737">
        <v>2.0000000000000001E-4</v>
      </c>
      <c r="C737">
        <v>3.2000000000000002E-3</v>
      </c>
      <c r="D737">
        <v>1.4499999999999999E-2</v>
      </c>
      <c r="E737">
        <v>7.9000000000000008E-3</v>
      </c>
      <c r="F737">
        <v>4.6999999999999993E-3</v>
      </c>
    </row>
    <row r="738" spans="1:6" x14ac:dyDescent="0.3">
      <c r="A738" s="3">
        <v>43069</v>
      </c>
      <c r="B738">
        <v>8.199999999999999E-3</v>
      </c>
      <c r="C738">
        <v>-6.0999999999999995E-3</v>
      </c>
      <c r="D738">
        <v>-5.1000000000000004E-3</v>
      </c>
      <c r="E738">
        <v>-2.0999999999999999E-3</v>
      </c>
      <c r="F738">
        <v>1.4000000000000002E-3</v>
      </c>
    </row>
    <row r="739" spans="1:6" x14ac:dyDescent="0.3">
      <c r="A739" s="3">
        <v>43070</v>
      </c>
      <c r="B739">
        <v>-2.2000000000000001E-3</v>
      </c>
      <c r="C739">
        <v>-3.2000000000000002E-3</v>
      </c>
      <c r="D739">
        <v>3.5999999999999999E-3</v>
      </c>
      <c r="E739">
        <v>-3.9000000000000003E-3</v>
      </c>
      <c r="F739">
        <v>3.4999999999999996E-3</v>
      </c>
    </row>
    <row r="740" spans="1:6" x14ac:dyDescent="0.3">
      <c r="A740" s="3">
        <v>43073</v>
      </c>
      <c r="B740">
        <v>-1E-3</v>
      </c>
      <c r="C740">
        <v>-1.2999999999999999E-3</v>
      </c>
      <c r="D740">
        <v>1.2E-2</v>
      </c>
      <c r="E740">
        <v>9.7999999999999997E-3</v>
      </c>
      <c r="F740">
        <v>5.1000000000000004E-3</v>
      </c>
    </row>
    <row r="741" spans="1:6" x14ac:dyDescent="0.3">
      <c r="A741" s="3">
        <v>43074</v>
      </c>
      <c r="B741">
        <v>-4.3E-3</v>
      </c>
      <c r="C741">
        <v>-4.5999999999999999E-3</v>
      </c>
      <c r="D741">
        <v>-2.2000000000000001E-3</v>
      </c>
      <c r="E741">
        <v>2.2000000000000001E-3</v>
      </c>
      <c r="F741">
        <v>-1.8E-3</v>
      </c>
    </row>
    <row r="742" spans="1:6" x14ac:dyDescent="0.3">
      <c r="A742" s="3">
        <v>43075</v>
      </c>
      <c r="B742">
        <v>-8.9999999999999998E-4</v>
      </c>
      <c r="C742">
        <v>-5.1999999999999998E-3</v>
      </c>
      <c r="D742">
        <v>-5.3E-3</v>
      </c>
      <c r="E742">
        <v>4.0000000000000001E-3</v>
      </c>
      <c r="F742">
        <v>-5.1999999999999998E-3</v>
      </c>
    </row>
    <row r="743" spans="1:6" x14ac:dyDescent="0.3">
      <c r="A743" s="3">
        <v>43076</v>
      </c>
      <c r="B743">
        <v>4.1999999999999997E-3</v>
      </c>
      <c r="C743">
        <v>2.8000000000000004E-3</v>
      </c>
      <c r="D743">
        <v>-2E-3</v>
      </c>
      <c r="E743">
        <v>-2.3E-3</v>
      </c>
      <c r="F743">
        <v>1.2999999999999999E-3</v>
      </c>
    </row>
    <row r="744" spans="1:6" x14ac:dyDescent="0.3">
      <c r="A744" s="3">
        <v>43077</v>
      </c>
      <c r="B744">
        <v>5.1000000000000004E-3</v>
      </c>
      <c r="C744">
        <v>-4.5000000000000005E-3</v>
      </c>
      <c r="D744">
        <v>-1.2999999999999999E-3</v>
      </c>
      <c r="E744">
        <v>-8.0000000000000004E-4</v>
      </c>
      <c r="F744">
        <v>1.5E-3</v>
      </c>
    </row>
    <row r="745" spans="1:6" x14ac:dyDescent="0.3">
      <c r="A745" s="3">
        <v>43080</v>
      </c>
      <c r="B745">
        <v>2.5999999999999999E-3</v>
      </c>
      <c r="C745">
        <v>-4.1999999999999997E-3</v>
      </c>
      <c r="D745">
        <v>-1.6000000000000001E-3</v>
      </c>
      <c r="E745">
        <v>-5.0000000000000001E-4</v>
      </c>
      <c r="F745">
        <v>8.9999999999999998E-4</v>
      </c>
    </row>
    <row r="746" spans="1:6" x14ac:dyDescent="0.3">
      <c r="A746" s="3">
        <v>43081</v>
      </c>
      <c r="B746">
        <v>7.000000000000001E-4</v>
      </c>
      <c r="C746">
        <v>-4.4000000000000003E-3</v>
      </c>
      <c r="D746">
        <v>5.0000000000000001E-3</v>
      </c>
      <c r="E746">
        <v>2.9999999999999997E-4</v>
      </c>
      <c r="F746">
        <v>1E-3</v>
      </c>
    </row>
    <row r="747" spans="1:6" x14ac:dyDescent="0.3">
      <c r="A747" s="3">
        <v>43082</v>
      </c>
      <c r="B747">
        <v>2.0000000000000001E-4</v>
      </c>
      <c r="C747">
        <v>6.1999999999999998E-3</v>
      </c>
      <c r="D747">
        <v>-8.8999999999999999E-3</v>
      </c>
      <c r="E747">
        <v>2.8000000000000004E-3</v>
      </c>
      <c r="F747">
        <v>-7.000000000000001E-4</v>
      </c>
    </row>
    <row r="748" spans="1:6" x14ac:dyDescent="0.3">
      <c r="A748" s="3">
        <v>43083</v>
      </c>
      <c r="B748">
        <v>-4.6999999999999993E-3</v>
      </c>
      <c r="C748">
        <v>-7.6E-3</v>
      </c>
      <c r="D748">
        <v>-2.0999999999999999E-3</v>
      </c>
      <c r="E748">
        <v>-1.7000000000000001E-3</v>
      </c>
      <c r="F748">
        <v>-1.2999999999999999E-3</v>
      </c>
    </row>
    <row r="749" spans="1:6" x14ac:dyDescent="0.3">
      <c r="A749" s="3">
        <v>43084</v>
      </c>
      <c r="B749">
        <v>9.1999999999999998E-3</v>
      </c>
      <c r="C749">
        <v>6.8000000000000005E-3</v>
      </c>
      <c r="D749">
        <v>4.0000000000000002E-4</v>
      </c>
      <c r="E749">
        <v>3.2000000000000002E-3</v>
      </c>
      <c r="F749">
        <v>-4.7999999999999996E-3</v>
      </c>
    </row>
    <row r="750" spans="1:6" x14ac:dyDescent="0.3">
      <c r="A750" s="3">
        <v>43087</v>
      </c>
      <c r="B750">
        <v>6.7000000000000002E-3</v>
      </c>
      <c r="C750">
        <v>8.199999999999999E-3</v>
      </c>
      <c r="D750">
        <v>2.5999999999999999E-3</v>
      </c>
      <c r="E750">
        <v>2.2000000000000001E-3</v>
      </c>
      <c r="F750">
        <v>1.7000000000000001E-3</v>
      </c>
    </row>
    <row r="751" spans="1:6" x14ac:dyDescent="0.3">
      <c r="A751" s="3">
        <v>43088</v>
      </c>
      <c r="B751">
        <v>-3.0000000000000001E-3</v>
      </c>
      <c r="C751">
        <v>-3.4000000000000002E-3</v>
      </c>
      <c r="D751">
        <v>-2.3999999999999998E-3</v>
      </c>
      <c r="E751">
        <v>2.5999999999999999E-3</v>
      </c>
      <c r="F751">
        <v>3.7000000000000002E-3</v>
      </c>
    </row>
    <row r="752" spans="1:6" x14ac:dyDescent="0.3">
      <c r="A752" s="3">
        <v>43089</v>
      </c>
      <c r="B752">
        <v>1E-4</v>
      </c>
      <c r="C752">
        <v>3.5999999999999999E-3</v>
      </c>
      <c r="D752">
        <v>5.0000000000000001E-4</v>
      </c>
      <c r="E752">
        <v>-1.6000000000000001E-3</v>
      </c>
      <c r="F752">
        <v>3.3E-3</v>
      </c>
    </row>
    <row r="753" spans="1:6" x14ac:dyDescent="0.3">
      <c r="A753" s="3">
        <v>43090</v>
      </c>
      <c r="B753">
        <v>2.3999999999999998E-3</v>
      </c>
      <c r="C753">
        <v>3.0000000000000001E-3</v>
      </c>
      <c r="D753">
        <v>6.3E-3</v>
      </c>
      <c r="E753">
        <v>-6.9999999999999993E-3</v>
      </c>
      <c r="F753">
        <v>3.3E-3</v>
      </c>
    </row>
    <row r="754" spans="1:6" x14ac:dyDescent="0.3">
      <c r="A754" s="3">
        <v>43091</v>
      </c>
      <c r="B754">
        <v>-7.000000000000001E-4</v>
      </c>
      <c r="C754">
        <v>-2E-3</v>
      </c>
      <c r="D754">
        <v>-2.0999999999999999E-3</v>
      </c>
      <c r="E754">
        <v>-1.1000000000000001E-3</v>
      </c>
      <c r="F754">
        <v>2E-3</v>
      </c>
    </row>
    <row r="755" spans="1:6" x14ac:dyDescent="0.3">
      <c r="A755" s="3">
        <v>43095</v>
      </c>
      <c r="B755">
        <v>-7.000000000000001E-4</v>
      </c>
      <c r="C755">
        <v>3.0000000000000001E-3</v>
      </c>
      <c r="D755">
        <v>-8.0000000000000004E-4</v>
      </c>
      <c r="E755">
        <v>-1.1999999999999999E-3</v>
      </c>
      <c r="F755">
        <v>5.6999999999999993E-3</v>
      </c>
    </row>
    <row r="756" spans="1:6" x14ac:dyDescent="0.3">
      <c r="A756" s="3">
        <v>43096</v>
      </c>
      <c r="B756">
        <v>5.0000000000000001E-4</v>
      </c>
      <c r="C756">
        <v>-1.6000000000000001E-3</v>
      </c>
      <c r="D756">
        <v>-1.9E-3</v>
      </c>
      <c r="E756">
        <v>8.0000000000000004E-4</v>
      </c>
      <c r="F756">
        <v>-1.5E-3</v>
      </c>
    </row>
    <row r="757" spans="1:6" x14ac:dyDescent="0.3">
      <c r="A757" s="3">
        <v>43097</v>
      </c>
      <c r="B757">
        <v>2.2000000000000001E-3</v>
      </c>
      <c r="C757">
        <v>8.9999999999999998E-4</v>
      </c>
      <c r="D757">
        <v>5.0000000000000001E-4</v>
      </c>
      <c r="E757">
        <v>-1.4000000000000002E-3</v>
      </c>
      <c r="F757">
        <v>-2.0999999999999999E-3</v>
      </c>
    </row>
    <row r="758" spans="1:6" x14ac:dyDescent="0.3">
      <c r="A758" s="3">
        <v>43098</v>
      </c>
      <c r="B758">
        <v>-5.6999999999999993E-3</v>
      </c>
      <c r="C758">
        <v>-3.0000000000000001E-3</v>
      </c>
      <c r="D758">
        <v>1E-4</v>
      </c>
      <c r="E758">
        <v>1.5E-3</v>
      </c>
      <c r="F758">
        <v>1.7000000000000001E-3</v>
      </c>
    </row>
    <row r="759" spans="1:6" x14ac:dyDescent="0.3">
      <c r="A759" s="3">
        <v>43102</v>
      </c>
      <c r="B759">
        <v>8.5000000000000006E-3</v>
      </c>
      <c r="C759">
        <v>3.0000000000000001E-3</v>
      </c>
      <c r="D759">
        <v>-2.3E-3</v>
      </c>
      <c r="E759">
        <v>-4.8999999999999998E-3</v>
      </c>
      <c r="F759">
        <v>3.0999999999999999E-3</v>
      </c>
    </row>
    <row r="760" spans="1:6" x14ac:dyDescent="0.3">
      <c r="A760" s="3">
        <v>43103</v>
      </c>
      <c r="B760">
        <v>5.8999999999999999E-3</v>
      </c>
      <c r="C760">
        <v>-4.6999999999999993E-3</v>
      </c>
      <c r="D760">
        <v>-1.8E-3</v>
      </c>
      <c r="E760">
        <v>-7.1999999999999998E-3</v>
      </c>
      <c r="F760">
        <v>-5.0000000000000001E-4</v>
      </c>
    </row>
    <row r="761" spans="1:6" x14ac:dyDescent="0.3">
      <c r="A761" s="3">
        <v>43104</v>
      </c>
      <c r="B761">
        <v>4.1999999999999997E-3</v>
      </c>
      <c r="C761">
        <v>-2.3E-3</v>
      </c>
      <c r="D761">
        <v>2.3E-3</v>
      </c>
      <c r="E761">
        <v>-1E-4</v>
      </c>
      <c r="F761">
        <v>3.0000000000000001E-3</v>
      </c>
    </row>
    <row r="762" spans="1:6" x14ac:dyDescent="0.3">
      <c r="A762" s="3">
        <v>43105</v>
      </c>
      <c r="B762">
        <v>6.6E-3</v>
      </c>
      <c r="C762">
        <v>-3.7000000000000002E-3</v>
      </c>
      <c r="D762">
        <v>-2.5000000000000001E-3</v>
      </c>
      <c r="E762">
        <v>3.7000000000000002E-3</v>
      </c>
      <c r="F762">
        <v>-3.7000000000000002E-3</v>
      </c>
    </row>
    <row r="763" spans="1:6" x14ac:dyDescent="0.3">
      <c r="A763" s="3">
        <v>43108</v>
      </c>
      <c r="B763">
        <v>1.9E-3</v>
      </c>
      <c r="C763">
        <v>-1.9E-3</v>
      </c>
      <c r="D763">
        <v>4.0000000000000002E-4</v>
      </c>
      <c r="E763">
        <v>-8.0000000000000004E-4</v>
      </c>
      <c r="F763">
        <v>1E-4</v>
      </c>
    </row>
    <row r="764" spans="1:6" x14ac:dyDescent="0.3">
      <c r="A764" s="3">
        <v>43109</v>
      </c>
      <c r="B764">
        <v>1.5E-3</v>
      </c>
      <c r="C764">
        <v>-3.9000000000000003E-3</v>
      </c>
      <c r="D764">
        <v>-4.0000000000000002E-4</v>
      </c>
      <c r="E764">
        <v>-1.1999999999999999E-3</v>
      </c>
      <c r="F764">
        <v>2.9999999999999997E-4</v>
      </c>
    </row>
    <row r="765" spans="1:6" x14ac:dyDescent="0.3">
      <c r="A765" s="3">
        <v>43110</v>
      </c>
      <c r="B765">
        <v>-7.000000000000001E-4</v>
      </c>
      <c r="C765">
        <v>1.2999999999999999E-3</v>
      </c>
      <c r="D765">
        <v>5.6000000000000008E-3</v>
      </c>
      <c r="E765">
        <v>-3.2000000000000002E-3</v>
      </c>
      <c r="F765">
        <v>2.0000000000000001E-4</v>
      </c>
    </row>
    <row r="766" spans="1:6" x14ac:dyDescent="0.3">
      <c r="A766" s="3">
        <v>43111</v>
      </c>
      <c r="B766">
        <v>8.6999999999999994E-3</v>
      </c>
      <c r="C766">
        <v>1.1200000000000002E-2</v>
      </c>
      <c r="D766">
        <v>3.0000000000000001E-3</v>
      </c>
      <c r="E766">
        <v>-2.0999999999999999E-3</v>
      </c>
      <c r="F766">
        <v>5.7999999999999996E-3</v>
      </c>
    </row>
    <row r="767" spans="1:6" x14ac:dyDescent="0.3">
      <c r="A767" s="3">
        <v>43112</v>
      </c>
      <c r="B767">
        <v>6.6E-3</v>
      </c>
      <c r="C767">
        <v>-3.3E-3</v>
      </c>
      <c r="D767">
        <v>1.6000000000000001E-3</v>
      </c>
      <c r="E767">
        <v>-1E-3</v>
      </c>
      <c r="F767">
        <v>1.8E-3</v>
      </c>
    </row>
    <row r="768" spans="1:6" x14ac:dyDescent="0.3">
      <c r="A768" s="3">
        <v>43116</v>
      </c>
      <c r="B768">
        <v>-4.8999999999999998E-3</v>
      </c>
      <c r="C768">
        <v>-0.01</v>
      </c>
      <c r="D768">
        <v>0</v>
      </c>
      <c r="E768">
        <v>4.4000000000000003E-3</v>
      </c>
      <c r="F768">
        <v>-4.0000000000000001E-3</v>
      </c>
    </row>
    <row r="769" spans="1:6" x14ac:dyDescent="0.3">
      <c r="A769" s="3">
        <v>43117</v>
      </c>
      <c r="B769">
        <v>9.4999999999999998E-3</v>
      </c>
      <c r="C769">
        <v>-5.0000000000000001E-4</v>
      </c>
      <c r="D769">
        <v>-1E-3</v>
      </c>
      <c r="E769">
        <v>-1E-3</v>
      </c>
      <c r="F769">
        <v>-1E-3</v>
      </c>
    </row>
    <row r="770" spans="1:6" x14ac:dyDescent="0.3">
      <c r="A770" s="3">
        <v>43118</v>
      </c>
      <c r="B770">
        <v>-1.8E-3</v>
      </c>
      <c r="C770">
        <v>-4.1999999999999997E-3</v>
      </c>
      <c r="D770">
        <v>-2.5000000000000001E-3</v>
      </c>
      <c r="E770">
        <v>3.0000000000000001E-3</v>
      </c>
      <c r="F770">
        <v>-3.8E-3</v>
      </c>
    </row>
    <row r="771" spans="1:6" x14ac:dyDescent="0.3">
      <c r="A771" s="3">
        <v>43119</v>
      </c>
      <c r="B771">
        <v>5.6999999999999993E-3</v>
      </c>
      <c r="C771">
        <v>9.1999999999999998E-3</v>
      </c>
      <c r="D771">
        <v>-5.9999999999999995E-4</v>
      </c>
      <c r="E771">
        <v>8.0000000000000004E-4</v>
      </c>
      <c r="F771">
        <v>1.1000000000000001E-3</v>
      </c>
    </row>
    <row r="772" spans="1:6" x14ac:dyDescent="0.3">
      <c r="A772" s="3">
        <v>43122</v>
      </c>
      <c r="B772">
        <v>7.7000000000000002E-3</v>
      </c>
      <c r="C772">
        <v>-3.5999999999999999E-3</v>
      </c>
      <c r="D772">
        <v>-1.6000000000000001E-3</v>
      </c>
      <c r="E772">
        <v>-5.3E-3</v>
      </c>
      <c r="F772">
        <v>2.2000000000000001E-3</v>
      </c>
    </row>
    <row r="773" spans="1:6" x14ac:dyDescent="0.3">
      <c r="A773" s="3">
        <v>43123</v>
      </c>
      <c r="B773">
        <v>2.2000000000000001E-3</v>
      </c>
      <c r="C773">
        <v>7.000000000000001E-4</v>
      </c>
      <c r="D773">
        <v>-3.4999999999999996E-3</v>
      </c>
      <c r="E773">
        <v>-4.0000000000000001E-3</v>
      </c>
      <c r="F773">
        <v>-2.5999999999999999E-3</v>
      </c>
    </row>
    <row r="774" spans="1:6" x14ac:dyDescent="0.3">
      <c r="A774" s="3">
        <v>43124</v>
      </c>
      <c r="B774">
        <v>-1.2999999999999999E-3</v>
      </c>
      <c r="C774">
        <v>-7.4999999999999997E-3</v>
      </c>
      <c r="D774">
        <v>4.4000000000000003E-3</v>
      </c>
      <c r="E774">
        <v>0</v>
      </c>
      <c r="F774">
        <v>1E-3</v>
      </c>
    </row>
    <row r="775" spans="1:6" x14ac:dyDescent="0.3">
      <c r="A775" s="3">
        <v>43125</v>
      </c>
      <c r="B775">
        <v>7.000000000000001E-4</v>
      </c>
      <c r="C775">
        <v>1.2999999999999999E-3</v>
      </c>
      <c r="D775">
        <v>-5.0000000000000001E-3</v>
      </c>
      <c r="E775">
        <v>1.7000000000000001E-3</v>
      </c>
      <c r="F775">
        <v>-2E-3</v>
      </c>
    </row>
    <row r="776" spans="1:6" x14ac:dyDescent="0.3">
      <c r="A776" s="3">
        <v>43126</v>
      </c>
      <c r="B776">
        <v>1.11E-2</v>
      </c>
      <c r="C776">
        <v>-6.1999999999999998E-3</v>
      </c>
      <c r="D776">
        <v>-5.1999999999999998E-3</v>
      </c>
      <c r="E776">
        <v>3.0000000000000001E-3</v>
      </c>
      <c r="F776">
        <v>-1.5E-3</v>
      </c>
    </row>
    <row r="777" spans="1:6" x14ac:dyDescent="0.3">
      <c r="A777" s="3">
        <v>43129</v>
      </c>
      <c r="B777">
        <v>-6.1999999999999998E-3</v>
      </c>
      <c r="C777">
        <v>-2.0000000000000001E-4</v>
      </c>
      <c r="D777">
        <v>-2.8000000000000004E-3</v>
      </c>
      <c r="E777">
        <v>1.7000000000000001E-3</v>
      </c>
      <c r="F777">
        <v>-4.0000000000000001E-3</v>
      </c>
    </row>
    <row r="778" spans="1:6" x14ac:dyDescent="0.3">
      <c r="A778" s="3">
        <v>43130</v>
      </c>
      <c r="B778">
        <v>-1.06E-2</v>
      </c>
      <c r="C778">
        <v>1.1999999999999999E-3</v>
      </c>
      <c r="D778">
        <v>-2.2000000000000001E-3</v>
      </c>
      <c r="E778">
        <v>3.8E-3</v>
      </c>
      <c r="F778">
        <v>-4.0999999999999995E-3</v>
      </c>
    </row>
    <row r="779" spans="1:6" x14ac:dyDescent="0.3">
      <c r="A779" s="3">
        <v>43131</v>
      </c>
      <c r="B779">
        <v>-7.000000000000001E-4</v>
      </c>
      <c r="C779">
        <v>-6.8000000000000005E-3</v>
      </c>
      <c r="D779">
        <v>1.1999999999999999E-3</v>
      </c>
      <c r="E779">
        <v>8.9999999999999998E-4</v>
      </c>
      <c r="F779">
        <v>-2.9999999999999997E-4</v>
      </c>
    </row>
    <row r="780" spans="1:6" x14ac:dyDescent="0.3">
      <c r="A780" s="3">
        <v>43132</v>
      </c>
      <c r="B780">
        <v>2.9999999999999997E-4</v>
      </c>
      <c r="C780">
        <v>1.1999999999999999E-3</v>
      </c>
      <c r="D780">
        <v>5.4000000000000003E-3</v>
      </c>
      <c r="E780">
        <v>-5.3E-3</v>
      </c>
      <c r="F780">
        <v>1E-4</v>
      </c>
    </row>
    <row r="781" spans="1:6" x14ac:dyDescent="0.3">
      <c r="A781" s="3">
        <v>43133</v>
      </c>
      <c r="B781">
        <v>-2.1299999999999999E-2</v>
      </c>
      <c r="C781">
        <v>1E-4</v>
      </c>
      <c r="D781">
        <v>-2.8000000000000004E-3</v>
      </c>
      <c r="E781">
        <v>6.0000000000000001E-3</v>
      </c>
      <c r="F781">
        <v>-5.1000000000000004E-3</v>
      </c>
    </row>
    <row r="782" spans="1:6" x14ac:dyDescent="0.3">
      <c r="A782" s="3">
        <v>43136</v>
      </c>
      <c r="B782">
        <v>-4.0300000000000002E-2</v>
      </c>
      <c r="C782">
        <v>6.6E-3</v>
      </c>
      <c r="D782">
        <v>-5.7999999999999996E-3</v>
      </c>
      <c r="E782">
        <v>1.6000000000000001E-3</v>
      </c>
      <c r="F782">
        <v>-7.000000000000001E-4</v>
      </c>
    </row>
    <row r="783" spans="1:6" x14ac:dyDescent="0.3">
      <c r="A783" s="3">
        <v>43137</v>
      </c>
      <c r="B783">
        <v>1.67E-2</v>
      </c>
      <c r="C783">
        <v>-4.6999999999999993E-3</v>
      </c>
      <c r="D783">
        <v>-1.7000000000000001E-3</v>
      </c>
      <c r="E783">
        <v>5.9999999999999995E-4</v>
      </c>
      <c r="F783">
        <v>-2.0000000000000001E-4</v>
      </c>
    </row>
    <row r="784" spans="1:6" x14ac:dyDescent="0.3">
      <c r="A784" s="3">
        <v>43138</v>
      </c>
      <c r="B784">
        <v>-3.7000000000000002E-3</v>
      </c>
      <c r="C784">
        <v>6.0999999999999995E-3</v>
      </c>
      <c r="D784">
        <v>2E-3</v>
      </c>
      <c r="E784">
        <v>3.3E-3</v>
      </c>
      <c r="F784">
        <v>2.3E-3</v>
      </c>
    </row>
    <row r="785" spans="1:6" x14ac:dyDescent="0.3">
      <c r="A785" s="3">
        <v>43139</v>
      </c>
      <c r="B785">
        <v>-3.6799999999999999E-2</v>
      </c>
      <c r="C785">
        <v>7.9000000000000008E-3</v>
      </c>
      <c r="D785">
        <v>5.0000000000000001E-3</v>
      </c>
      <c r="E785">
        <v>4.1999999999999997E-3</v>
      </c>
      <c r="F785">
        <v>-5.0000000000000001E-4</v>
      </c>
    </row>
    <row r="786" spans="1:6" x14ac:dyDescent="0.3">
      <c r="A786" s="3">
        <v>43140</v>
      </c>
      <c r="B786">
        <v>1.3600000000000001E-2</v>
      </c>
      <c r="C786">
        <v>-5.6999999999999993E-3</v>
      </c>
      <c r="D786">
        <v>1.4000000000000002E-3</v>
      </c>
      <c r="E786">
        <v>1.8E-3</v>
      </c>
      <c r="F786">
        <v>-3.4000000000000002E-3</v>
      </c>
    </row>
    <row r="787" spans="1:6" x14ac:dyDescent="0.3">
      <c r="A787" s="3">
        <v>43143</v>
      </c>
      <c r="B787">
        <v>1.3600000000000001E-2</v>
      </c>
      <c r="C787">
        <v>-4.5999999999999999E-3</v>
      </c>
      <c r="D787">
        <v>-2.8000000000000004E-3</v>
      </c>
      <c r="E787">
        <v>-2.5000000000000001E-3</v>
      </c>
      <c r="F787">
        <v>-8.9999999999999998E-4</v>
      </c>
    </row>
    <row r="788" spans="1:6" x14ac:dyDescent="0.3">
      <c r="A788" s="3">
        <v>43144</v>
      </c>
      <c r="B788">
        <v>3.0999999999999999E-3</v>
      </c>
      <c r="C788">
        <v>1.2999999999999999E-3</v>
      </c>
      <c r="D788">
        <v>-2.3999999999999998E-3</v>
      </c>
      <c r="E788">
        <v>2.0999999999999999E-3</v>
      </c>
      <c r="F788">
        <v>-1E-3</v>
      </c>
    </row>
    <row r="789" spans="1:6" x14ac:dyDescent="0.3">
      <c r="A789" s="3">
        <v>43145</v>
      </c>
      <c r="B789">
        <v>1.52E-2</v>
      </c>
      <c r="C789">
        <v>2.8000000000000004E-3</v>
      </c>
      <c r="D789">
        <v>4.7999999999999996E-3</v>
      </c>
      <c r="E789">
        <v>-6.5000000000000006E-3</v>
      </c>
      <c r="F789">
        <v>-4.0000000000000002E-4</v>
      </c>
    </row>
    <row r="790" spans="1:6" x14ac:dyDescent="0.3">
      <c r="A790" s="3">
        <v>43146</v>
      </c>
      <c r="B790">
        <v>1.21E-2</v>
      </c>
      <c r="C790">
        <v>-1.6000000000000001E-3</v>
      </c>
      <c r="D790">
        <v>-6.3E-3</v>
      </c>
      <c r="E790">
        <v>2E-3</v>
      </c>
      <c r="F790">
        <v>-3.3E-3</v>
      </c>
    </row>
    <row r="791" spans="1:6" x14ac:dyDescent="0.3">
      <c r="A791" s="3">
        <v>43147</v>
      </c>
      <c r="B791">
        <v>2.9999999999999997E-4</v>
      </c>
      <c r="C791">
        <v>3.5999999999999999E-3</v>
      </c>
      <c r="D791">
        <v>1.5E-3</v>
      </c>
      <c r="E791">
        <v>2.9999999999999997E-4</v>
      </c>
      <c r="F791">
        <v>5.0000000000000001E-4</v>
      </c>
    </row>
    <row r="792" spans="1:6" x14ac:dyDescent="0.3">
      <c r="A792" s="3">
        <v>43151</v>
      </c>
      <c r="B792">
        <v>-6.1999999999999998E-3</v>
      </c>
      <c r="C792">
        <v>-3.4000000000000002E-3</v>
      </c>
      <c r="D792">
        <v>-2.3E-3</v>
      </c>
      <c r="E792">
        <v>-2.5999999999999999E-3</v>
      </c>
      <c r="F792">
        <v>-1.4000000000000002E-3</v>
      </c>
    </row>
    <row r="793" spans="1:6" x14ac:dyDescent="0.3">
      <c r="A793" s="3">
        <v>43152</v>
      </c>
      <c r="B793">
        <v>-4.3E-3</v>
      </c>
      <c r="C793">
        <v>7.9000000000000008E-3</v>
      </c>
      <c r="D793">
        <v>2.0999999999999999E-3</v>
      </c>
      <c r="E793">
        <v>7.000000000000001E-4</v>
      </c>
      <c r="F793">
        <v>-1.9E-3</v>
      </c>
    </row>
    <row r="794" spans="1:6" x14ac:dyDescent="0.3">
      <c r="A794" s="3">
        <v>43153</v>
      </c>
      <c r="B794">
        <v>1E-4</v>
      </c>
      <c r="C794">
        <v>-5.0000000000000001E-4</v>
      </c>
      <c r="D794">
        <v>-4.1999999999999997E-3</v>
      </c>
      <c r="E794">
        <v>1.2999999999999999E-3</v>
      </c>
      <c r="F794">
        <v>4.7999999999999996E-3</v>
      </c>
    </row>
    <row r="795" spans="1:6" x14ac:dyDescent="0.3">
      <c r="A795" s="3">
        <v>43154</v>
      </c>
      <c r="B795">
        <v>1.54E-2</v>
      </c>
      <c r="C795">
        <v>-3.8E-3</v>
      </c>
      <c r="D795">
        <v>-1.4000000000000002E-3</v>
      </c>
      <c r="E795">
        <v>-1.7000000000000001E-3</v>
      </c>
      <c r="F795">
        <v>-5.9999999999999995E-4</v>
      </c>
    </row>
    <row r="796" spans="1:6" x14ac:dyDescent="0.3">
      <c r="A796" s="3">
        <v>43157</v>
      </c>
      <c r="B796">
        <v>1.1200000000000002E-2</v>
      </c>
      <c r="C796">
        <v>-4.6999999999999993E-3</v>
      </c>
      <c r="D796">
        <v>-5.0000000000000001E-4</v>
      </c>
      <c r="E796">
        <v>-1.5E-3</v>
      </c>
      <c r="F796">
        <v>-2.3999999999999998E-3</v>
      </c>
    </row>
    <row r="797" spans="1:6" x14ac:dyDescent="0.3">
      <c r="A797" s="3">
        <v>43158</v>
      </c>
      <c r="B797">
        <v>-1.2500000000000001E-2</v>
      </c>
      <c r="C797">
        <v>-2E-3</v>
      </c>
      <c r="D797">
        <v>2.0000000000000001E-4</v>
      </c>
      <c r="E797">
        <v>-8.0000000000000004E-4</v>
      </c>
      <c r="F797">
        <v>-5.9999999999999995E-4</v>
      </c>
    </row>
    <row r="798" spans="1:6" x14ac:dyDescent="0.3">
      <c r="A798" s="3">
        <v>43159</v>
      </c>
      <c r="B798">
        <v>-1.1000000000000001E-2</v>
      </c>
      <c r="C798">
        <v>-4.1999999999999997E-3</v>
      </c>
      <c r="D798">
        <v>-3.0000000000000001E-3</v>
      </c>
      <c r="E798">
        <v>2.0999999999999999E-3</v>
      </c>
      <c r="F798">
        <v>-2.7000000000000001E-3</v>
      </c>
    </row>
    <row r="799" spans="1:6" x14ac:dyDescent="0.3">
      <c r="A799" s="3">
        <v>43160</v>
      </c>
      <c r="B799">
        <v>-1.18E-2</v>
      </c>
      <c r="C799">
        <v>9.5999999999999992E-3</v>
      </c>
      <c r="D799">
        <v>-2.9999999999999997E-4</v>
      </c>
      <c r="E799">
        <v>-2.5000000000000001E-3</v>
      </c>
      <c r="F799">
        <v>5.0000000000000001E-4</v>
      </c>
    </row>
    <row r="800" spans="1:6" x14ac:dyDescent="0.3">
      <c r="A800" s="3">
        <v>43161</v>
      </c>
      <c r="B800">
        <v>6.9999999999999993E-3</v>
      </c>
      <c r="C800">
        <v>1.1200000000000002E-2</v>
      </c>
      <c r="D800">
        <v>-4.7999999999999996E-3</v>
      </c>
      <c r="E800">
        <v>-3.9000000000000003E-3</v>
      </c>
      <c r="F800">
        <v>-3.4000000000000002E-3</v>
      </c>
    </row>
    <row r="801" spans="1:6" x14ac:dyDescent="0.3">
      <c r="A801" s="3">
        <v>43164</v>
      </c>
      <c r="B801">
        <v>1.06E-2</v>
      </c>
      <c r="C801">
        <v>-4.0000000000000001E-3</v>
      </c>
      <c r="D801">
        <v>2.3999999999999998E-3</v>
      </c>
      <c r="E801">
        <v>-6.0000000000000001E-3</v>
      </c>
      <c r="F801">
        <v>8.9999999999999998E-4</v>
      </c>
    </row>
    <row r="802" spans="1:6" x14ac:dyDescent="0.3">
      <c r="A802" s="3">
        <v>43165</v>
      </c>
      <c r="B802">
        <v>3.5999999999999999E-3</v>
      </c>
      <c r="C802">
        <v>6.8000000000000005E-3</v>
      </c>
      <c r="D802">
        <v>1.1000000000000001E-3</v>
      </c>
      <c r="E802">
        <v>2.2000000000000001E-3</v>
      </c>
      <c r="F802">
        <v>-2.0000000000000001E-4</v>
      </c>
    </row>
    <row r="803" spans="1:6" x14ac:dyDescent="0.3">
      <c r="A803" s="3">
        <v>43166</v>
      </c>
      <c r="B803">
        <v>5.0000000000000001E-4</v>
      </c>
      <c r="C803">
        <v>7.6E-3</v>
      </c>
      <c r="D803">
        <v>-4.3E-3</v>
      </c>
      <c r="E803">
        <v>-5.0000000000000001E-4</v>
      </c>
      <c r="F803">
        <v>-3.0000000000000001E-3</v>
      </c>
    </row>
    <row r="804" spans="1:6" x14ac:dyDescent="0.3">
      <c r="A804" s="3">
        <v>43167</v>
      </c>
      <c r="B804">
        <v>3.7000000000000002E-3</v>
      </c>
      <c r="C804">
        <v>-5.6999999999999993E-3</v>
      </c>
      <c r="D804">
        <v>-3.4999999999999996E-3</v>
      </c>
      <c r="E804">
        <v>1E-4</v>
      </c>
      <c r="F804">
        <v>-1.8E-3</v>
      </c>
    </row>
    <row r="805" spans="1:6" x14ac:dyDescent="0.3">
      <c r="A805" s="3">
        <v>43168</v>
      </c>
      <c r="B805">
        <v>1.7000000000000001E-2</v>
      </c>
      <c r="C805">
        <v>-2E-3</v>
      </c>
      <c r="D805">
        <v>2.7000000000000001E-3</v>
      </c>
      <c r="E805">
        <v>-2.5000000000000001E-3</v>
      </c>
      <c r="F805">
        <v>1E-4</v>
      </c>
    </row>
    <row r="806" spans="1:6" x14ac:dyDescent="0.3">
      <c r="A806" s="3">
        <v>43171</v>
      </c>
      <c r="B806">
        <v>-8.9999999999999998E-4</v>
      </c>
      <c r="C806">
        <v>4.4000000000000003E-3</v>
      </c>
      <c r="D806">
        <v>-7.000000000000001E-4</v>
      </c>
      <c r="E806">
        <v>-3.4999999999999996E-3</v>
      </c>
      <c r="F806">
        <v>-2.3E-3</v>
      </c>
    </row>
    <row r="807" spans="1:6" x14ac:dyDescent="0.3">
      <c r="A807" s="3">
        <v>43172</v>
      </c>
      <c r="B807">
        <v>-6.7000000000000002E-3</v>
      </c>
      <c r="C807">
        <v>8.9999999999999998E-4</v>
      </c>
      <c r="D807">
        <v>2.0000000000000001E-4</v>
      </c>
      <c r="E807">
        <v>4.6999999999999993E-3</v>
      </c>
      <c r="F807">
        <v>0</v>
      </c>
    </row>
    <row r="808" spans="1:6" x14ac:dyDescent="0.3">
      <c r="A808" s="3">
        <v>43173</v>
      </c>
      <c r="B808">
        <v>-5.3E-3</v>
      </c>
      <c r="C808">
        <v>1.5E-3</v>
      </c>
      <c r="D808">
        <v>-5.6000000000000008E-3</v>
      </c>
      <c r="E808">
        <v>-1.1999999999999999E-3</v>
      </c>
      <c r="F808">
        <v>-3.8E-3</v>
      </c>
    </row>
    <row r="809" spans="1:6" x14ac:dyDescent="0.3">
      <c r="A809" s="3">
        <v>43174</v>
      </c>
      <c r="B809">
        <v>-1.8E-3</v>
      </c>
      <c r="C809">
        <v>-3.8E-3</v>
      </c>
      <c r="D809">
        <v>3.2000000000000002E-3</v>
      </c>
      <c r="E809">
        <v>1.2999999999999999E-3</v>
      </c>
      <c r="F809">
        <v>-1.1000000000000001E-3</v>
      </c>
    </row>
    <row r="810" spans="1:6" x14ac:dyDescent="0.3">
      <c r="A810" s="3">
        <v>43175</v>
      </c>
      <c r="B810">
        <v>2.5000000000000001E-3</v>
      </c>
      <c r="C810">
        <v>4.5999999999999999E-3</v>
      </c>
      <c r="D810">
        <v>1.6000000000000001E-3</v>
      </c>
      <c r="E810">
        <v>5.9999999999999995E-4</v>
      </c>
      <c r="F810">
        <v>2.8000000000000004E-3</v>
      </c>
    </row>
    <row r="811" spans="1:6" x14ac:dyDescent="0.3">
      <c r="A811" s="3">
        <v>43178</v>
      </c>
      <c r="B811">
        <v>-1.38E-2</v>
      </c>
      <c r="C811">
        <v>4.0000000000000001E-3</v>
      </c>
      <c r="D811">
        <v>4.0000000000000001E-3</v>
      </c>
      <c r="E811">
        <v>3.2000000000000002E-3</v>
      </c>
      <c r="F811">
        <v>1E-3</v>
      </c>
    </row>
    <row r="812" spans="1:6" x14ac:dyDescent="0.3">
      <c r="A812" s="3">
        <v>43179</v>
      </c>
      <c r="B812">
        <v>1.5E-3</v>
      </c>
      <c r="C812">
        <v>-1.1999999999999999E-3</v>
      </c>
      <c r="D812">
        <v>-3.5999999999999999E-3</v>
      </c>
      <c r="E812">
        <v>-2.0000000000000001E-4</v>
      </c>
      <c r="F812">
        <v>-5.9999999999999995E-4</v>
      </c>
    </row>
    <row r="813" spans="1:6" x14ac:dyDescent="0.3">
      <c r="A813" s="3">
        <v>43180</v>
      </c>
      <c r="B813">
        <v>-5.9999999999999995E-4</v>
      </c>
      <c r="C813">
        <v>6.8999999999999999E-3</v>
      </c>
      <c r="D813">
        <v>4.5000000000000005E-3</v>
      </c>
      <c r="E813">
        <v>-1.0800000000000001E-2</v>
      </c>
      <c r="F813">
        <v>8.6999999999999994E-3</v>
      </c>
    </row>
    <row r="814" spans="1:6" x14ac:dyDescent="0.3">
      <c r="A814" s="3">
        <v>43181</v>
      </c>
      <c r="B814">
        <v>-2.5399999999999999E-2</v>
      </c>
      <c r="C814">
        <v>4.0000000000000001E-3</v>
      </c>
      <c r="D814">
        <v>-4.7999999999999996E-3</v>
      </c>
      <c r="E814">
        <v>2.2000000000000001E-3</v>
      </c>
      <c r="F814">
        <v>1E-4</v>
      </c>
    </row>
    <row r="815" spans="1:6" x14ac:dyDescent="0.3">
      <c r="A815" s="3">
        <v>43182</v>
      </c>
      <c r="B815">
        <v>-2.0899999999999998E-2</v>
      </c>
      <c r="C815">
        <v>1E-3</v>
      </c>
      <c r="D815">
        <v>-2.2000000000000001E-3</v>
      </c>
      <c r="E815">
        <v>1.2999999999999999E-3</v>
      </c>
      <c r="F815">
        <v>7.7000000000000002E-3</v>
      </c>
    </row>
    <row r="816" spans="1:6" x14ac:dyDescent="0.3">
      <c r="A816" s="3">
        <v>43185</v>
      </c>
      <c r="B816">
        <v>2.6699999999999998E-2</v>
      </c>
      <c r="C816">
        <v>-6.1999999999999998E-3</v>
      </c>
      <c r="D816">
        <v>2.0000000000000001E-4</v>
      </c>
      <c r="E816">
        <v>1E-4</v>
      </c>
      <c r="F816">
        <v>-6.0999999999999995E-3</v>
      </c>
    </row>
    <row r="817" spans="1:6" x14ac:dyDescent="0.3">
      <c r="A817" s="3">
        <v>43186</v>
      </c>
      <c r="B817">
        <v>-1.8700000000000001E-2</v>
      </c>
      <c r="C817">
        <v>-2.2000000000000001E-3</v>
      </c>
      <c r="D817">
        <v>3.5999999999999999E-3</v>
      </c>
      <c r="E817">
        <v>7.8000000000000005E-3</v>
      </c>
      <c r="F817">
        <v>5.3E-3</v>
      </c>
    </row>
    <row r="818" spans="1:6" x14ac:dyDescent="0.3">
      <c r="A818" s="3">
        <v>43187</v>
      </c>
      <c r="B818">
        <v>-3.4999999999999996E-3</v>
      </c>
      <c r="C818">
        <v>2E-3</v>
      </c>
      <c r="D818">
        <v>6.3E-3</v>
      </c>
      <c r="E818">
        <v>7.4999999999999997E-3</v>
      </c>
      <c r="F818">
        <v>-8.9999999999999998E-4</v>
      </c>
    </row>
    <row r="819" spans="1:6" x14ac:dyDescent="0.3">
      <c r="A819" s="3">
        <v>43188</v>
      </c>
      <c r="B819">
        <v>1.41E-2</v>
      </c>
      <c r="C819">
        <v>-3.0999999999999999E-3</v>
      </c>
      <c r="D819">
        <v>-2.2000000000000001E-3</v>
      </c>
      <c r="E819">
        <v>-3.7000000000000002E-3</v>
      </c>
      <c r="F819">
        <v>-1.6000000000000001E-3</v>
      </c>
    </row>
    <row r="820" spans="1:6" x14ac:dyDescent="0.3">
      <c r="A820" s="3">
        <v>43192</v>
      </c>
      <c r="B820">
        <v>-2.29E-2</v>
      </c>
      <c r="C820">
        <v>-8.0000000000000004E-4</v>
      </c>
      <c r="D820">
        <v>3.7000000000000002E-3</v>
      </c>
      <c r="E820">
        <v>1.6000000000000001E-3</v>
      </c>
      <c r="F820">
        <v>-5.9999999999999995E-4</v>
      </c>
    </row>
    <row r="821" spans="1:6" x14ac:dyDescent="0.3">
      <c r="A821" s="3">
        <v>43193</v>
      </c>
      <c r="B821">
        <v>1.24E-2</v>
      </c>
      <c r="C821">
        <v>-2.9999999999999997E-4</v>
      </c>
      <c r="D821">
        <v>1.8E-3</v>
      </c>
      <c r="E821">
        <v>2.5999999999999999E-3</v>
      </c>
      <c r="F821">
        <v>1.7000000000000001E-3</v>
      </c>
    </row>
    <row r="822" spans="1:6" x14ac:dyDescent="0.3">
      <c r="A822" s="3">
        <v>43194</v>
      </c>
      <c r="B822">
        <v>1.1699999999999999E-2</v>
      </c>
      <c r="C822">
        <v>3.4000000000000002E-3</v>
      </c>
      <c r="D822">
        <v>-3.0999999999999999E-3</v>
      </c>
      <c r="E822">
        <v>5.9999999999999995E-4</v>
      </c>
      <c r="F822">
        <v>-1.1999999999999999E-3</v>
      </c>
    </row>
    <row r="823" spans="1:6" x14ac:dyDescent="0.3">
      <c r="A823" s="3">
        <v>43195</v>
      </c>
      <c r="B823">
        <v>7.4999999999999997E-3</v>
      </c>
      <c r="C823">
        <v>5.0000000000000001E-4</v>
      </c>
      <c r="D823">
        <v>4.6999999999999993E-3</v>
      </c>
      <c r="E823">
        <v>1E-3</v>
      </c>
      <c r="F823">
        <v>2.7000000000000001E-3</v>
      </c>
    </row>
    <row r="824" spans="1:6" x14ac:dyDescent="0.3">
      <c r="A824" s="3">
        <v>43196</v>
      </c>
      <c r="B824">
        <v>-2.1899999999999999E-2</v>
      </c>
      <c r="C824">
        <v>3.7000000000000002E-3</v>
      </c>
      <c r="D824">
        <v>-5.9999999999999995E-4</v>
      </c>
      <c r="E824">
        <v>1.4000000000000002E-3</v>
      </c>
      <c r="F824">
        <v>-4.0000000000000002E-4</v>
      </c>
    </row>
    <row r="825" spans="1:6" x14ac:dyDescent="0.3">
      <c r="A825" s="3">
        <v>43199</v>
      </c>
      <c r="B825">
        <v>3.0000000000000001E-3</v>
      </c>
      <c r="C825">
        <v>-2.3999999999999998E-3</v>
      </c>
      <c r="D825">
        <v>-5.1000000000000004E-3</v>
      </c>
      <c r="E825">
        <v>-7.4999999999999997E-3</v>
      </c>
      <c r="F825">
        <v>-2.7000000000000001E-3</v>
      </c>
    </row>
    <row r="826" spans="1:6" x14ac:dyDescent="0.3">
      <c r="A826" s="3">
        <v>43200</v>
      </c>
      <c r="B826">
        <v>1.77E-2</v>
      </c>
      <c r="C826">
        <v>3.2000000000000002E-3</v>
      </c>
      <c r="D826">
        <v>-1.1999999999999999E-3</v>
      </c>
      <c r="E826">
        <v>-8.3999999999999995E-3</v>
      </c>
      <c r="F826">
        <v>5.4000000000000003E-3</v>
      </c>
    </row>
    <row r="827" spans="1:6" x14ac:dyDescent="0.3">
      <c r="A827" s="3">
        <v>43201</v>
      </c>
      <c r="B827">
        <v>-4.8999999999999998E-3</v>
      </c>
      <c r="C827">
        <v>7.9000000000000008E-3</v>
      </c>
      <c r="D827">
        <v>-3.0999999999999999E-3</v>
      </c>
      <c r="E827">
        <v>-6.0999999999999995E-3</v>
      </c>
      <c r="F827">
        <v>3.0000000000000001E-3</v>
      </c>
    </row>
    <row r="828" spans="1:6" x14ac:dyDescent="0.3">
      <c r="A828" s="3">
        <v>43202</v>
      </c>
      <c r="B828">
        <v>8.3999999999999995E-3</v>
      </c>
      <c r="C828">
        <v>-1.7000000000000001E-3</v>
      </c>
      <c r="D828">
        <v>1.9E-3</v>
      </c>
      <c r="E828">
        <v>-2.2000000000000001E-3</v>
      </c>
      <c r="F828">
        <v>8.0000000000000004E-4</v>
      </c>
    </row>
    <row r="829" spans="1:6" x14ac:dyDescent="0.3">
      <c r="A829" s="3">
        <v>43203</v>
      </c>
      <c r="B829">
        <v>-3.7000000000000002E-3</v>
      </c>
      <c r="C829">
        <v>-1.1000000000000001E-3</v>
      </c>
      <c r="D829">
        <v>-2.5000000000000001E-3</v>
      </c>
      <c r="E829">
        <v>-7.000000000000001E-4</v>
      </c>
      <c r="F829">
        <v>2E-3</v>
      </c>
    </row>
    <row r="830" spans="1:6" x14ac:dyDescent="0.3">
      <c r="A830" s="3">
        <v>43206</v>
      </c>
      <c r="B830">
        <v>8.199999999999999E-3</v>
      </c>
      <c r="C830">
        <v>1.5E-3</v>
      </c>
      <c r="D830">
        <v>-2.9999999999999997E-4</v>
      </c>
      <c r="E830">
        <v>8.0000000000000002E-3</v>
      </c>
      <c r="F830">
        <v>2.9999999999999997E-4</v>
      </c>
    </row>
    <row r="831" spans="1:6" x14ac:dyDescent="0.3">
      <c r="A831" s="3">
        <v>43207</v>
      </c>
      <c r="B831">
        <v>1.09E-2</v>
      </c>
      <c r="C831">
        <v>1E-4</v>
      </c>
      <c r="D831">
        <v>-1.1699999999999999E-2</v>
      </c>
      <c r="E831">
        <v>-2.3999999999999998E-3</v>
      </c>
      <c r="F831">
        <v>-4.0000000000000001E-3</v>
      </c>
    </row>
    <row r="832" spans="1:6" x14ac:dyDescent="0.3">
      <c r="A832" s="3">
        <v>43208</v>
      </c>
      <c r="B832">
        <v>1.2999999999999999E-3</v>
      </c>
      <c r="C832">
        <v>2.0999999999999999E-3</v>
      </c>
      <c r="D832">
        <v>2.0000000000000001E-4</v>
      </c>
      <c r="E832">
        <v>-2.8000000000000004E-3</v>
      </c>
      <c r="F832">
        <v>4.8999999999999998E-3</v>
      </c>
    </row>
    <row r="833" spans="1:6" x14ac:dyDescent="0.3">
      <c r="A833" s="3">
        <v>43209</v>
      </c>
      <c r="B833">
        <v>-4.8999999999999998E-3</v>
      </c>
      <c r="C833">
        <v>-3.0000000000000001E-3</v>
      </c>
      <c r="D833">
        <v>1.0800000000000001E-2</v>
      </c>
      <c r="E833">
        <v>-4.6999999999999993E-3</v>
      </c>
      <c r="F833">
        <v>5.9999999999999995E-4</v>
      </c>
    </row>
    <row r="834" spans="1:6" x14ac:dyDescent="0.3">
      <c r="A834" s="3">
        <v>43210</v>
      </c>
      <c r="B834">
        <v>-8.1000000000000013E-3</v>
      </c>
      <c r="C834">
        <v>8.9999999999999998E-4</v>
      </c>
      <c r="D834">
        <v>5.7999999999999996E-3</v>
      </c>
      <c r="E834">
        <v>-5.4000000000000003E-3</v>
      </c>
      <c r="F834">
        <v>2.8000000000000004E-3</v>
      </c>
    </row>
    <row r="835" spans="1:6" x14ac:dyDescent="0.3">
      <c r="A835" s="3">
        <v>43213</v>
      </c>
      <c r="B835">
        <v>-5.0000000000000001E-4</v>
      </c>
      <c r="C835">
        <v>-7.000000000000001E-4</v>
      </c>
      <c r="D835">
        <v>1.8E-3</v>
      </c>
      <c r="E835">
        <v>3.0999999999999999E-3</v>
      </c>
      <c r="F835">
        <v>1E-3</v>
      </c>
    </row>
    <row r="836" spans="1:6" x14ac:dyDescent="0.3">
      <c r="A836" s="3">
        <v>43214</v>
      </c>
      <c r="B836">
        <v>-1.3000000000000001E-2</v>
      </c>
      <c r="C836">
        <v>6.5000000000000006E-3</v>
      </c>
      <c r="D836">
        <v>1.01E-2</v>
      </c>
      <c r="E836">
        <v>5.0000000000000001E-4</v>
      </c>
      <c r="F836">
        <v>1E-3</v>
      </c>
    </row>
    <row r="837" spans="1:6" x14ac:dyDescent="0.3">
      <c r="A837" s="3">
        <v>43215</v>
      </c>
      <c r="B837">
        <v>1E-3</v>
      </c>
      <c r="C837">
        <v>-2.8999999999999998E-3</v>
      </c>
      <c r="D837">
        <v>4.0000000000000002E-4</v>
      </c>
      <c r="E837">
        <v>4.3E-3</v>
      </c>
      <c r="F837">
        <v>1.2999999999999999E-3</v>
      </c>
    </row>
    <row r="838" spans="1:6" x14ac:dyDescent="0.3">
      <c r="A838" s="3">
        <v>43216</v>
      </c>
      <c r="B838">
        <v>9.5999999999999992E-3</v>
      </c>
      <c r="C838">
        <v>-5.4000000000000003E-3</v>
      </c>
      <c r="D838">
        <v>-8.3999999999999995E-3</v>
      </c>
      <c r="E838">
        <v>-5.1999999999999998E-3</v>
      </c>
      <c r="F838">
        <v>-4.0999999999999995E-3</v>
      </c>
    </row>
    <row r="839" spans="1:6" x14ac:dyDescent="0.3">
      <c r="A839" s="3">
        <v>43217</v>
      </c>
      <c r="B839">
        <v>1E-4</v>
      </c>
      <c r="C839">
        <v>-2.5999999999999999E-3</v>
      </c>
      <c r="D839">
        <v>4.0000000000000002E-4</v>
      </c>
      <c r="E839">
        <v>6.0000000000000001E-3</v>
      </c>
      <c r="F839">
        <v>1E-3</v>
      </c>
    </row>
    <row r="840" spans="1:6" x14ac:dyDescent="0.3">
      <c r="A840" s="3">
        <v>43220</v>
      </c>
      <c r="B840">
        <v>-8.0000000000000002E-3</v>
      </c>
      <c r="C840">
        <v>-5.9999999999999995E-4</v>
      </c>
      <c r="D840">
        <v>-8.9999999999999998E-4</v>
      </c>
      <c r="E840">
        <v>-4.1999999999999997E-3</v>
      </c>
      <c r="F840">
        <v>-5.9999999999999995E-4</v>
      </c>
    </row>
    <row r="841" spans="1:6" x14ac:dyDescent="0.3">
      <c r="A841" s="3">
        <v>43221</v>
      </c>
      <c r="B841">
        <v>2.3999999999999998E-3</v>
      </c>
      <c r="C841">
        <v>2.5999999999999999E-3</v>
      </c>
      <c r="D841">
        <v>-5.1999999999999998E-3</v>
      </c>
      <c r="E841">
        <v>-5.0000000000000001E-4</v>
      </c>
      <c r="F841">
        <v>-9.4999999999999998E-3</v>
      </c>
    </row>
    <row r="842" spans="1:6" x14ac:dyDescent="0.3">
      <c r="A842" s="3">
        <v>43222</v>
      </c>
      <c r="B842">
        <v>-6.3E-3</v>
      </c>
      <c r="C842">
        <v>1.2500000000000001E-2</v>
      </c>
      <c r="D842">
        <v>-3.4999999999999996E-3</v>
      </c>
      <c r="E842">
        <v>2.9999999999999997E-4</v>
      </c>
      <c r="F842">
        <v>2.9999999999999997E-4</v>
      </c>
    </row>
    <row r="843" spans="1:6" x14ac:dyDescent="0.3">
      <c r="A843" s="3">
        <v>43223</v>
      </c>
      <c r="B843">
        <v>-2.5000000000000001E-3</v>
      </c>
      <c r="C843">
        <v>-6.0000000000000001E-3</v>
      </c>
      <c r="D843">
        <v>-1.4000000000000002E-3</v>
      </c>
      <c r="E843">
        <v>5.0000000000000001E-4</v>
      </c>
      <c r="F843">
        <v>-1.1999999999999999E-3</v>
      </c>
    </row>
    <row r="844" spans="1:6" x14ac:dyDescent="0.3">
      <c r="A844" s="3">
        <v>43224</v>
      </c>
      <c r="B844">
        <v>1.3000000000000001E-2</v>
      </c>
      <c r="C844">
        <v>-1E-4</v>
      </c>
      <c r="D844">
        <v>-1.9E-3</v>
      </c>
      <c r="E844">
        <v>-4.1999999999999997E-3</v>
      </c>
      <c r="F844">
        <v>1E-4</v>
      </c>
    </row>
    <row r="845" spans="1:6" x14ac:dyDescent="0.3">
      <c r="A845" s="3">
        <v>43227</v>
      </c>
      <c r="B845">
        <v>4.1999999999999997E-3</v>
      </c>
      <c r="C845">
        <v>3.7000000000000002E-3</v>
      </c>
      <c r="D845">
        <v>-3.3E-3</v>
      </c>
      <c r="E845">
        <v>-5.3E-3</v>
      </c>
      <c r="F845">
        <v>-2.2000000000000001E-3</v>
      </c>
    </row>
    <row r="846" spans="1:6" x14ac:dyDescent="0.3">
      <c r="A846" s="3">
        <v>43228</v>
      </c>
      <c r="B846">
        <v>7.000000000000001E-4</v>
      </c>
      <c r="C846">
        <v>5.1999999999999998E-3</v>
      </c>
      <c r="D846">
        <v>2.5000000000000001E-3</v>
      </c>
      <c r="E846">
        <v>-2.5999999999999999E-3</v>
      </c>
      <c r="F846">
        <v>8.9999999999999998E-4</v>
      </c>
    </row>
    <row r="847" spans="1:6" x14ac:dyDescent="0.3">
      <c r="A847" s="3">
        <v>43229</v>
      </c>
      <c r="B847">
        <v>8.8999999999999999E-3</v>
      </c>
      <c r="C847">
        <v>-2.8999999999999998E-3</v>
      </c>
      <c r="D847">
        <v>2.5000000000000001E-3</v>
      </c>
      <c r="E847">
        <v>-8.8000000000000005E-3</v>
      </c>
      <c r="F847">
        <v>1.2999999999999999E-3</v>
      </c>
    </row>
    <row r="848" spans="1:6" x14ac:dyDescent="0.3">
      <c r="A848" s="3">
        <v>43230</v>
      </c>
      <c r="B848">
        <v>8.3999999999999995E-3</v>
      </c>
      <c r="C848">
        <v>-3.5999999999999999E-3</v>
      </c>
      <c r="D848">
        <v>-4.0000000000000002E-4</v>
      </c>
      <c r="E848">
        <v>2.5999999999999999E-3</v>
      </c>
      <c r="F848">
        <v>-3.3E-3</v>
      </c>
    </row>
    <row r="849" spans="1:6" x14ac:dyDescent="0.3">
      <c r="A849" s="3">
        <v>43231</v>
      </c>
      <c r="B849">
        <v>1.9E-3</v>
      </c>
      <c r="C849">
        <v>1.2999999999999999E-3</v>
      </c>
      <c r="D849">
        <v>-3.8E-3</v>
      </c>
      <c r="E849">
        <v>2.3999999999999998E-3</v>
      </c>
      <c r="F849">
        <v>1.1000000000000001E-3</v>
      </c>
    </row>
    <row r="850" spans="1:6" x14ac:dyDescent="0.3">
      <c r="A850" s="3">
        <v>43234</v>
      </c>
      <c r="B850">
        <v>5.0000000000000001E-4</v>
      </c>
      <c r="C850">
        <v>-3.0000000000000001E-3</v>
      </c>
      <c r="D850">
        <v>1.1000000000000001E-3</v>
      </c>
      <c r="E850">
        <v>-2E-3</v>
      </c>
      <c r="F850">
        <v>4.8999999999999998E-3</v>
      </c>
    </row>
    <row r="851" spans="1:6" x14ac:dyDescent="0.3">
      <c r="A851" s="3">
        <v>43235</v>
      </c>
      <c r="B851">
        <v>-5.5000000000000005E-3</v>
      </c>
      <c r="C851">
        <v>7.0999999999999995E-3</v>
      </c>
      <c r="D851">
        <v>4.0999999999999995E-3</v>
      </c>
      <c r="E851">
        <v>-7.000000000000001E-4</v>
      </c>
      <c r="F851">
        <v>3.7000000000000002E-3</v>
      </c>
    </row>
    <row r="852" spans="1:6" x14ac:dyDescent="0.3">
      <c r="A852" s="3">
        <v>43236</v>
      </c>
      <c r="B852">
        <v>5.0000000000000001E-3</v>
      </c>
      <c r="C852">
        <v>6.8999999999999999E-3</v>
      </c>
      <c r="D852">
        <v>-2.5999999999999999E-3</v>
      </c>
      <c r="E852">
        <v>3.5999999999999999E-3</v>
      </c>
      <c r="F852">
        <v>5.9999999999999995E-4</v>
      </c>
    </row>
    <row r="853" spans="1:6" x14ac:dyDescent="0.3">
      <c r="A853" s="3">
        <v>43237</v>
      </c>
      <c r="B853">
        <v>2.0000000000000001E-4</v>
      </c>
      <c r="C853">
        <v>8.5000000000000006E-3</v>
      </c>
      <c r="D853">
        <v>2.8000000000000004E-3</v>
      </c>
      <c r="E853">
        <v>-3.4999999999999996E-3</v>
      </c>
      <c r="F853">
        <v>4.3E-3</v>
      </c>
    </row>
    <row r="854" spans="1:6" x14ac:dyDescent="0.3">
      <c r="A854" s="3">
        <v>43238</v>
      </c>
      <c r="B854">
        <v>-2.3E-3</v>
      </c>
      <c r="C854">
        <v>4.5000000000000005E-3</v>
      </c>
      <c r="D854">
        <v>-6.0999999999999995E-3</v>
      </c>
      <c r="E854">
        <v>1.1000000000000001E-3</v>
      </c>
      <c r="F854">
        <v>-1.8E-3</v>
      </c>
    </row>
    <row r="855" spans="1:6" x14ac:dyDescent="0.3">
      <c r="A855" s="3">
        <v>43241</v>
      </c>
      <c r="B855">
        <v>7.1999999999999998E-3</v>
      </c>
      <c r="C855">
        <v>-1.9E-3</v>
      </c>
      <c r="D855">
        <v>4.1999999999999997E-3</v>
      </c>
      <c r="E855">
        <v>1.7000000000000001E-3</v>
      </c>
      <c r="F855">
        <v>1.1000000000000001E-3</v>
      </c>
    </row>
    <row r="856" spans="1:6" x14ac:dyDescent="0.3">
      <c r="A856" s="3">
        <v>43242</v>
      </c>
      <c r="B856">
        <v>-4.1999999999999997E-3</v>
      </c>
      <c r="C856">
        <v>-6.5000000000000006E-3</v>
      </c>
      <c r="D856">
        <v>6.0999999999999995E-3</v>
      </c>
      <c r="E856">
        <v>-3.2000000000000002E-3</v>
      </c>
      <c r="F856">
        <v>-4.0999999999999995E-3</v>
      </c>
    </row>
    <row r="857" spans="1:6" x14ac:dyDescent="0.3">
      <c r="A857" s="3">
        <v>43243</v>
      </c>
      <c r="B857">
        <v>2.8999999999999998E-3</v>
      </c>
      <c r="C857">
        <v>-5.9999999999999995E-4</v>
      </c>
      <c r="D857">
        <v>-6.8999999999999999E-3</v>
      </c>
      <c r="E857">
        <v>0</v>
      </c>
      <c r="F857">
        <v>-3.2000000000000002E-3</v>
      </c>
    </row>
    <row r="858" spans="1:6" x14ac:dyDescent="0.3">
      <c r="A858" s="3">
        <v>43244</v>
      </c>
      <c r="B858">
        <v>-1.6000000000000001E-3</v>
      </c>
      <c r="C858">
        <v>3.4000000000000002E-3</v>
      </c>
      <c r="D858">
        <v>-3.4999999999999996E-3</v>
      </c>
      <c r="E858">
        <v>5.0000000000000001E-3</v>
      </c>
      <c r="F858">
        <v>1.1000000000000001E-3</v>
      </c>
    </row>
    <row r="859" spans="1:6" x14ac:dyDescent="0.3">
      <c r="A859" s="3">
        <v>43245</v>
      </c>
      <c r="B859">
        <v>-2.0999999999999999E-3</v>
      </c>
      <c r="C859">
        <v>2.5000000000000001E-3</v>
      </c>
      <c r="D859">
        <v>-3.9000000000000003E-3</v>
      </c>
      <c r="E859">
        <v>5.5000000000000005E-3</v>
      </c>
      <c r="F859">
        <v>-5.7999999999999996E-3</v>
      </c>
    </row>
    <row r="860" spans="1:6" x14ac:dyDescent="0.3">
      <c r="A860" s="3">
        <v>43249</v>
      </c>
      <c r="B860">
        <v>-1.03E-2</v>
      </c>
      <c r="C860">
        <v>1.11E-2</v>
      </c>
      <c r="D860">
        <v>-1.0200000000000001E-2</v>
      </c>
      <c r="E860">
        <v>1.9E-3</v>
      </c>
      <c r="F860">
        <v>-1E-4</v>
      </c>
    </row>
    <row r="861" spans="1:6" x14ac:dyDescent="0.3">
      <c r="A861" s="3">
        <v>43250</v>
      </c>
      <c r="B861">
        <v>1.3100000000000001E-2</v>
      </c>
      <c r="C861">
        <v>4.0000000000000002E-4</v>
      </c>
      <c r="D861">
        <v>3.7000000000000002E-3</v>
      </c>
      <c r="E861">
        <v>-7.1999999999999998E-3</v>
      </c>
      <c r="F861">
        <v>1.8E-3</v>
      </c>
    </row>
    <row r="862" spans="1:6" x14ac:dyDescent="0.3">
      <c r="A862" s="3">
        <v>43251</v>
      </c>
      <c r="B862">
        <v>-6.9999999999999993E-3</v>
      </c>
      <c r="C862">
        <v>5.9999999999999995E-4</v>
      </c>
      <c r="D862">
        <v>-4.0999999999999995E-3</v>
      </c>
      <c r="E862">
        <v>-5.1999999999999998E-3</v>
      </c>
      <c r="F862">
        <v>-1.1000000000000001E-3</v>
      </c>
    </row>
    <row r="863" spans="1:6" x14ac:dyDescent="0.3">
      <c r="A863" s="3">
        <v>43252</v>
      </c>
      <c r="B863">
        <v>1.06E-2</v>
      </c>
      <c r="C863">
        <v>-2.0999999999999999E-3</v>
      </c>
      <c r="D863">
        <v>-1.1000000000000001E-3</v>
      </c>
      <c r="E863">
        <v>-5.9999999999999995E-4</v>
      </c>
      <c r="F863">
        <v>-1.6000000000000001E-3</v>
      </c>
    </row>
    <row r="864" spans="1:6" x14ac:dyDescent="0.3">
      <c r="A864" s="3">
        <v>43255</v>
      </c>
      <c r="B864">
        <v>4.7999999999999996E-3</v>
      </c>
      <c r="C864">
        <v>1.7000000000000001E-3</v>
      </c>
      <c r="D864">
        <v>-4.5999999999999999E-3</v>
      </c>
      <c r="E864">
        <v>1.03E-2</v>
      </c>
      <c r="F864">
        <v>-4.1999999999999997E-3</v>
      </c>
    </row>
    <row r="865" spans="1:6" x14ac:dyDescent="0.3">
      <c r="A865" s="3">
        <v>43256</v>
      </c>
      <c r="B865">
        <v>1.6000000000000001E-3</v>
      </c>
      <c r="C865">
        <v>7.9000000000000008E-3</v>
      </c>
      <c r="D865">
        <v>-4.4000000000000003E-3</v>
      </c>
      <c r="E865">
        <v>2.2000000000000001E-3</v>
      </c>
      <c r="F865">
        <v>1.6000000000000001E-3</v>
      </c>
    </row>
    <row r="866" spans="1:6" x14ac:dyDescent="0.3">
      <c r="A866" s="3">
        <v>43257</v>
      </c>
      <c r="B866">
        <v>8.6E-3</v>
      </c>
      <c r="C866">
        <v>-2.8000000000000004E-3</v>
      </c>
      <c r="D866">
        <v>2E-3</v>
      </c>
      <c r="E866">
        <v>-2.0000000000000001E-4</v>
      </c>
      <c r="F866">
        <v>1.7000000000000001E-3</v>
      </c>
    </row>
    <row r="867" spans="1:6" x14ac:dyDescent="0.3">
      <c r="A867" s="3">
        <v>43258</v>
      </c>
      <c r="B867">
        <v>-1.4000000000000002E-3</v>
      </c>
      <c r="C867">
        <v>-2.5000000000000001E-3</v>
      </c>
      <c r="D867">
        <v>9.300000000000001E-3</v>
      </c>
      <c r="E867">
        <v>1.7000000000000001E-3</v>
      </c>
      <c r="F867">
        <v>5.8999999999999999E-3</v>
      </c>
    </row>
    <row r="868" spans="1:6" x14ac:dyDescent="0.3">
      <c r="A868" s="3">
        <v>43259</v>
      </c>
      <c r="B868">
        <v>3.0999999999999999E-3</v>
      </c>
      <c r="C868">
        <v>4.0000000000000002E-4</v>
      </c>
      <c r="D868">
        <v>-4.0999999999999995E-3</v>
      </c>
      <c r="E868">
        <v>2.5000000000000001E-3</v>
      </c>
      <c r="F868">
        <v>-1.9E-3</v>
      </c>
    </row>
    <row r="869" spans="1:6" x14ac:dyDescent="0.3">
      <c r="A869" s="3">
        <v>43262</v>
      </c>
      <c r="B869">
        <v>1.1999999999999999E-3</v>
      </c>
      <c r="C869">
        <v>1.5E-3</v>
      </c>
      <c r="D869">
        <v>-1.7000000000000001E-3</v>
      </c>
      <c r="E869">
        <v>2.0999999999999999E-3</v>
      </c>
      <c r="F869">
        <v>2.3999999999999998E-3</v>
      </c>
    </row>
    <row r="870" spans="1:6" x14ac:dyDescent="0.3">
      <c r="A870" s="3">
        <v>43263</v>
      </c>
      <c r="B870">
        <v>2.3E-3</v>
      </c>
      <c r="C870">
        <v>1.8E-3</v>
      </c>
      <c r="D870">
        <v>-6.3E-3</v>
      </c>
      <c r="E870">
        <v>8.0000000000000004E-4</v>
      </c>
      <c r="F870">
        <v>-1.4000000000000002E-3</v>
      </c>
    </row>
    <row r="871" spans="1:6" x14ac:dyDescent="0.3">
      <c r="A871" s="3">
        <v>43264</v>
      </c>
      <c r="B871">
        <v>-3.3E-3</v>
      </c>
      <c r="C871">
        <v>4.0000000000000002E-4</v>
      </c>
      <c r="D871">
        <v>-1.9E-3</v>
      </c>
      <c r="E871">
        <v>-5.1999999999999998E-3</v>
      </c>
      <c r="F871">
        <v>-1.9E-3</v>
      </c>
    </row>
    <row r="872" spans="1:6" x14ac:dyDescent="0.3">
      <c r="A872" s="3">
        <v>43265</v>
      </c>
      <c r="B872">
        <v>2.7000000000000001E-3</v>
      </c>
      <c r="C872">
        <v>2.2000000000000001E-3</v>
      </c>
      <c r="D872">
        <v>-9.8999999999999991E-3</v>
      </c>
      <c r="E872">
        <v>-1E-4</v>
      </c>
      <c r="F872">
        <v>-6.0000000000000001E-3</v>
      </c>
    </row>
    <row r="873" spans="1:6" x14ac:dyDescent="0.3">
      <c r="A873" s="3">
        <v>43266</v>
      </c>
      <c r="B873">
        <v>-8.0000000000000004E-4</v>
      </c>
      <c r="C873">
        <v>1.2999999999999999E-3</v>
      </c>
      <c r="D873">
        <v>-2.5000000000000001E-3</v>
      </c>
      <c r="E873">
        <v>6.5000000000000006E-3</v>
      </c>
      <c r="F873">
        <v>-2.2000000000000001E-3</v>
      </c>
    </row>
    <row r="874" spans="1:6" x14ac:dyDescent="0.3">
      <c r="A874" s="3">
        <v>43269</v>
      </c>
      <c r="B874">
        <v>-8.9999999999999998E-4</v>
      </c>
      <c r="C874">
        <v>7.3000000000000001E-3</v>
      </c>
      <c r="D874">
        <v>7.000000000000001E-4</v>
      </c>
      <c r="E874">
        <v>-4.1999999999999997E-3</v>
      </c>
      <c r="F874">
        <v>8.0000000000000004E-4</v>
      </c>
    </row>
    <row r="875" spans="1:6" x14ac:dyDescent="0.3">
      <c r="A875" s="3">
        <v>43270</v>
      </c>
      <c r="B875">
        <v>-3.8E-3</v>
      </c>
      <c r="C875">
        <v>5.3E-3</v>
      </c>
      <c r="D875">
        <v>-1.4000000000000002E-3</v>
      </c>
      <c r="E875">
        <v>-2.3E-3</v>
      </c>
      <c r="F875">
        <v>-4.5999999999999999E-3</v>
      </c>
    </row>
    <row r="876" spans="1:6" x14ac:dyDescent="0.3">
      <c r="A876" s="3">
        <v>43271</v>
      </c>
      <c r="B876">
        <v>2.3E-3</v>
      </c>
      <c r="C876">
        <v>6.6E-3</v>
      </c>
      <c r="D876">
        <v>-5.0000000000000001E-3</v>
      </c>
      <c r="E876">
        <v>-1.4000000000000002E-3</v>
      </c>
      <c r="F876">
        <v>1.1000000000000001E-3</v>
      </c>
    </row>
    <row r="877" spans="1:6" x14ac:dyDescent="0.3">
      <c r="A877" s="3">
        <v>43272</v>
      </c>
      <c r="B877">
        <v>-7.3000000000000001E-3</v>
      </c>
      <c r="C877">
        <v>-5.6000000000000008E-3</v>
      </c>
      <c r="D877">
        <v>3.4000000000000002E-3</v>
      </c>
      <c r="E877">
        <v>4.3E-3</v>
      </c>
      <c r="F877">
        <v>0</v>
      </c>
    </row>
    <row r="878" spans="1:6" x14ac:dyDescent="0.3">
      <c r="A878" s="3">
        <v>43273</v>
      </c>
      <c r="B878">
        <v>1.1000000000000001E-3</v>
      </c>
      <c r="C878">
        <v>-8.0000000000000004E-4</v>
      </c>
      <c r="D878">
        <v>4.5999999999999999E-3</v>
      </c>
      <c r="E878">
        <v>-5.1999999999999998E-3</v>
      </c>
      <c r="F878">
        <v>9.1999999999999998E-3</v>
      </c>
    </row>
    <row r="879" spans="1:6" x14ac:dyDescent="0.3">
      <c r="A879" s="3">
        <v>43276</v>
      </c>
      <c r="B879">
        <v>-1.4800000000000001E-2</v>
      </c>
      <c r="C879">
        <v>-4.5000000000000005E-3</v>
      </c>
      <c r="D879">
        <v>5.6000000000000008E-3</v>
      </c>
      <c r="E879">
        <v>6.3E-3</v>
      </c>
      <c r="F879">
        <v>-2.0000000000000001E-4</v>
      </c>
    </row>
    <row r="880" spans="1:6" x14ac:dyDescent="0.3">
      <c r="A880" s="3">
        <v>43277</v>
      </c>
      <c r="B880">
        <v>2.7000000000000001E-3</v>
      </c>
      <c r="C880">
        <v>5.0000000000000001E-3</v>
      </c>
      <c r="D880">
        <v>-2.3999999999999998E-3</v>
      </c>
      <c r="E880">
        <v>-4.8999999999999998E-3</v>
      </c>
      <c r="F880">
        <v>1.2999999999999999E-3</v>
      </c>
    </row>
    <row r="881" spans="1:6" x14ac:dyDescent="0.3">
      <c r="A881" s="3">
        <v>43278</v>
      </c>
      <c r="B881">
        <v>-1.0200000000000001E-2</v>
      </c>
      <c r="C881">
        <v>-1.01E-2</v>
      </c>
      <c r="D881">
        <v>3.7000000000000002E-3</v>
      </c>
      <c r="E881">
        <v>-7.000000000000001E-4</v>
      </c>
      <c r="F881">
        <v>4.6999999999999993E-3</v>
      </c>
    </row>
    <row r="882" spans="1:6" x14ac:dyDescent="0.3">
      <c r="A882" s="3">
        <v>43279</v>
      </c>
      <c r="B882">
        <v>5.7999999999999996E-3</v>
      </c>
      <c r="C882">
        <v>-2E-3</v>
      </c>
      <c r="D882">
        <v>-5.0000000000000001E-3</v>
      </c>
      <c r="E882">
        <v>-1.7000000000000001E-3</v>
      </c>
      <c r="F882">
        <v>-5.0000000000000001E-3</v>
      </c>
    </row>
    <row r="883" spans="1:6" x14ac:dyDescent="0.3">
      <c r="A883" s="3">
        <v>43280</v>
      </c>
      <c r="B883">
        <v>7.000000000000001E-4</v>
      </c>
      <c r="C883">
        <v>-2.3999999999999998E-3</v>
      </c>
      <c r="D883">
        <v>-2.3E-3</v>
      </c>
      <c r="E883">
        <v>-2.5000000000000001E-3</v>
      </c>
      <c r="F883">
        <v>0</v>
      </c>
    </row>
    <row r="884" spans="1:6" x14ac:dyDescent="0.3">
      <c r="A884" s="3">
        <v>43283</v>
      </c>
      <c r="B884">
        <v>3.5999999999999999E-3</v>
      </c>
      <c r="C884">
        <v>4.5000000000000005E-3</v>
      </c>
      <c r="D884">
        <v>-2.5000000000000001E-3</v>
      </c>
      <c r="E884">
        <v>-7.000000000000001E-4</v>
      </c>
      <c r="F884">
        <v>-5.5000000000000005E-3</v>
      </c>
    </row>
    <row r="885" spans="1:6" x14ac:dyDescent="0.3">
      <c r="A885" s="3">
        <v>43284</v>
      </c>
      <c r="B885">
        <v>-4.4000000000000003E-3</v>
      </c>
      <c r="C885">
        <v>7.7000000000000002E-3</v>
      </c>
      <c r="D885">
        <v>-2.0000000000000001E-4</v>
      </c>
      <c r="E885">
        <v>-3.0000000000000001E-3</v>
      </c>
      <c r="F885">
        <v>4.5999999999999999E-3</v>
      </c>
    </row>
    <row r="886" spans="1:6" x14ac:dyDescent="0.3">
      <c r="A886" s="3">
        <v>43286</v>
      </c>
      <c r="B886">
        <v>8.6999999999999994E-3</v>
      </c>
      <c r="C886">
        <v>4.0999999999999995E-3</v>
      </c>
      <c r="D886">
        <v>-4.1999999999999997E-3</v>
      </c>
      <c r="E886">
        <v>3.3E-3</v>
      </c>
      <c r="F886">
        <v>-1.6000000000000001E-3</v>
      </c>
    </row>
    <row r="887" spans="1:6" x14ac:dyDescent="0.3">
      <c r="A887" s="3">
        <v>43287</v>
      </c>
      <c r="B887">
        <v>8.8000000000000005E-3</v>
      </c>
      <c r="C887">
        <v>-2.0000000000000001E-4</v>
      </c>
      <c r="D887">
        <v>-3.0999999999999999E-3</v>
      </c>
      <c r="E887">
        <v>-2.3999999999999998E-3</v>
      </c>
      <c r="F887">
        <v>-1.2999999999999999E-3</v>
      </c>
    </row>
    <row r="888" spans="1:6" x14ac:dyDescent="0.3">
      <c r="A888" s="3">
        <v>43290</v>
      </c>
      <c r="B888">
        <v>9.300000000000001E-3</v>
      </c>
      <c r="C888">
        <v>-3.0999999999999999E-3</v>
      </c>
      <c r="D888">
        <v>8.6E-3</v>
      </c>
      <c r="E888">
        <v>1E-4</v>
      </c>
      <c r="F888">
        <v>-2.3E-3</v>
      </c>
    </row>
    <row r="889" spans="1:6" x14ac:dyDescent="0.3">
      <c r="A889" s="3">
        <v>43291</v>
      </c>
      <c r="B889">
        <v>2.0999999999999999E-3</v>
      </c>
      <c r="C889">
        <v>-8.3000000000000001E-3</v>
      </c>
      <c r="D889">
        <v>-1.7000000000000001E-3</v>
      </c>
      <c r="E889">
        <v>1.1999999999999999E-3</v>
      </c>
      <c r="F889">
        <v>2.7000000000000001E-3</v>
      </c>
    </row>
    <row r="890" spans="1:6" x14ac:dyDescent="0.3">
      <c r="A890" s="3">
        <v>43292</v>
      </c>
      <c r="B890">
        <v>-6.8999999999999999E-3</v>
      </c>
      <c r="C890">
        <v>-5.9999999999999995E-4</v>
      </c>
      <c r="D890">
        <v>-4.5999999999999999E-3</v>
      </c>
      <c r="E890">
        <v>-1.1000000000000001E-3</v>
      </c>
      <c r="F890">
        <v>-2.8999999999999998E-3</v>
      </c>
    </row>
    <row r="891" spans="1:6" x14ac:dyDescent="0.3">
      <c r="A891" s="3">
        <v>43293</v>
      </c>
      <c r="B891">
        <v>8.6E-3</v>
      </c>
      <c r="C891">
        <v>-4.4000000000000003E-3</v>
      </c>
      <c r="D891">
        <v>-1.1399999999999999E-2</v>
      </c>
      <c r="E891">
        <v>-5.0000000000000001E-4</v>
      </c>
      <c r="F891">
        <v>-4.6999999999999993E-3</v>
      </c>
    </row>
    <row r="892" spans="1:6" x14ac:dyDescent="0.3">
      <c r="A892" s="3">
        <v>43294</v>
      </c>
      <c r="B892">
        <v>8.0000000000000004E-4</v>
      </c>
      <c r="C892">
        <v>-1.8E-3</v>
      </c>
      <c r="D892">
        <v>-3.0000000000000001E-3</v>
      </c>
      <c r="E892">
        <v>3.4000000000000002E-3</v>
      </c>
      <c r="F892">
        <v>1.8E-3</v>
      </c>
    </row>
    <row r="893" spans="1:6" x14ac:dyDescent="0.3">
      <c r="A893" s="3">
        <v>43297</v>
      </c>
      <c r="B893">
        <v>-1.6000000000000001E-3</v>
      </c>
      <c r="C893">
        <v>-6.0999999999999995E-3</v>
      </c>
      <c r="D893">
        <v>9.7000000000000003E-3</v>
      </c>
      <c r="E893">
        <v>-2.0999999999999999E-3</v>
      </c>
      <c r="F893">
        <v>-1.5E-3</v>
      </c>
    </row>
    <row r="894" spans="1:6" x14ac:dyDescent="0.3">
      <c r="A894" s="3">
        <v>43298</v>
      </c>
      <c r="B894">
        <v>4.7999999999999996E-3</v>
      </c>
      <c r="C894">
        <v>1.6000000000000001E-3</v>
      </c>
      <c r="D894">
        <v>-7.4999999999999997E-3</v>
      </c>
      <c r="E894">
        <v>1.1999999999999999E-3</v>
      </c>
      <c r="F894">
        <v>-2.3999999999999998E-3</v>
      </c>
    </row>
    <row r="895" spans="1:6" x14ac:dyDescent="0.3">
      <c r="A895" s="3">
        <v>43299</v>
      </c>
      <c r="B895">
        <v>2.7000000000000001E-3</v>
      </c>
      <c r="C895">
        <v>-1.4000000000000002E-3</v>
      </c>
      <c r="D895">
        <v>6.7000000000000002E-3</v>
      </c>
      <c r="E895">
        <v>-1.6000000000000001E-3</v>
      </c>
      <c r="F895">
        <v>-1.7000000000000001E-3</v>
      </c>
    </row>
    <row r="896" spans="1:6" x14ac:dyDescent="0.3">
      <c r="A896" s="3">
        <v>43300</v>
      </c>
      <c r="B896">
        <v>-3.4000000000000002E-3</v>
      </c>
      <c r="C896">
        <v>9.1999999999999998E-3</v>
      </c>
      <c r="D896">
        <v>-3.5999999999999999E-3</v>
      </c>
      <c r="E896">
        <v>1.2999999999999999E-3</v>
      </c>
      <c r="F896">
        <v>5.0000000000000001E-4</v>
      </c>
    </row>
    <row r="897" spans="1:6" x14ac:dyDescent="0.3">
      <c r="A897" s="3">
        <v>43301</v>
      </c>
      <c r="B897">
        <v>-1E-3</v>
      </c>
      <c r="C897">
        <v>-1.7000000000000001E-3</v>
      </c>
      <c r="D897">
        <v>1.1999999999999999E-3</v>
      </c>
      <c r="E897">
        <v>1.1000000000000001E-3</v>
      </c>
      <c r="F897">
        <v>-2.0999999999999999E-3</v>
      </c>
    </row>
    <row r="898" spans="1:6" x14ac:dyDescent="0.3">
      <c r="A898" s="3">
        <v>43304</v>
      </c>
      <c r="B898">
        <v>1.5E-3</v>
      </c>
      <c r="C898">
        <v>-1.9E-3</v>
      </c>
      <c r="D898">
        <v>5.4000000000000003E-3</v>
      </c>
      <c r="E898">
        <v>-2.3E-3</v>
      </c>
      <c r="F898">
        <v>-1.7000000000000001E-3</v>
      </c>
    </row>
    <row r="899" spans="1:6" x14ac:dyDescent="0.3">
      <c r="A899" s="3">
        <v>43305</v>
      </c>
      <c r="B899">
        <v>2.2000000000000001E-3</v>
      </c>
      <c r="C899">
        <v>-1.3300000000000001E-2</v>
      </c>
      <c r="D899">
        <v>3.8E-3</v>
      </c>
      <c r="E899">
        <v>4.8999999999999998E-3</v>
      </c>
      <c r="F899">
        <v>7.000000000000001E-4</v>
      </c>
    </row>
    <row r="900" spans="1:6" x14ac:dyDescent="0.3">
      <c r="A900" s="3">
        <v>43306</v>
      </c>
      <c r="B900">
        <v>8.3000000000000001E-3</v>
      </c>
      <c r="C900">
        <v>-5.8999999999999999E-3</v>
      </c>
      <c r="D900">
        <v>-1.06E-2</v>
      </c>
      <c r="E900">
        <v>8.0000000000000004E-4</v>
      </c>
      <c r="F900">
        <v>-3.7000000000000002E-3</v>
      </c>
    </row>
    <row r="901" spans="1:6" x14ac:dyDescent="0.3">
      <c r="A901" s="3">
        <v>43307</v>
      </c>
      <c r="B901">
        <v>-2E-3</v>
      </c>
      <c r="C901">
        <v>7.3000000000000001E-3</v>
      </c>
      <c r="D901">
        <v>5.6000000000000008E-3</v>
      </c>
      <c r="E901">
        <v>-2.0000000000000001E-4</v>
      </c>
      <c r="F901">
        <v>5.7999999999999996E-3</v>
      </c>
    </row>
    <row r="902" spans="1:6" x14ac:dyDescent="0.3">
      <c r="A902" s="3">
        <v>43308</v>
      </c>
      <c r="B902">
        <v>-8.199999999999999E-3</v>
      </c>
      <c r="C902">
        <v>-1.2E-2</v>
      </c>
      <c r="D902">
        <v>1.06E-2</v>
      </c>
      <c r="E902">
        <v>5.1999999999999998E-3</v>
      </c>
      <c r="F902">
        <v>4.8999999999999998E-3</v>
      </c>
    </row>
    <row r="903" spans="1:6" x14ac:dyDescent="0.3">
      <c r="A903" s="3">
        <v>43311</v>
      </c>
      <c r="B903">
        <v>-6.9999999999999993E-3</v>
      </c>
      <c r="C903">
        <v>1E-4</v>
      </c>
      <c r="D903">
        <v>1.5700000000000002E-2</v>
      </c>
      <c r="E903">
        <v>3.2000000000000002E-3</v>
      </c>
      <c r="F903">
        <v>1.01E-2</v>
      </c>
    </row>
    <row r="904" spans="1:6" x14ac:dyDescent="0.3">
      <c r="A904" s="3">
        <v>43312</v>
      </c>
      <c r="B904">
        <v>5.1000000000000004E-3</v>
      </c>
      <c r="C904">
        <v>7.3000000000000001E-3</v>
      </c>
      <c r="D904">
        <v>-1.11E-2</v>
      </c>
      <c r="E904">
        <v>2.8000000000000004E-3</v>
      </c>
      <c r="F904">
        <v>2.5999999999999999E-3</v>
      </c>
    </row>
    <row r="905" spans="1:6" x14ac:dyDescent="0.3">
      <c r="A905" s="3">
        <v>43313</v>
      </c>
      <c r="B905">
        <v>-1.2999999999999999E-3</v>
      </c>
      <c r="C905">
        <v>0</v>
      </c>
      <c r="D905">
        <v>-1.9E-3</v>
      </c>
      <c r="E905">
        <v>-2E-3</v>
      </c>
      <c r="F905">
        <v>-7.8000000000000005E-3</v>
      </c>
    </row>
    <row r="906" spans="1:6" x14ac:dyDescent="0.3">
      <c r="A906" s="3">
        <v>43314</v>
      </c>
      <c r="B906">
        <v>6.7000000000000002E-3</v>
      </c>
      <c r="C906">
        <v>1.8E-3</v>
      </c>
      <c r="D906">
        <v>-6.7000000000000002E-3</v>
      </c>
      <c r="E906">
        <v>-1E-4</v>
      </c>
      <c r="F906">
        <v>-5.7999999999999996E-3</v>
      </c>
    </row>
    <row r="907" spans="1:6" x14ac:dyDescent="0.3">
      <c r="A907" s="3">
        <v>43315</v>
      </c>
      <c r="B907">
        <v>3.0999999999999999E-3</v>
      </c>
      <c r="C907">
        <v>-9.300000000000001E-3</v>
      </c>
      <c r="D907">
        <v>5.1000000000000004E-3</v>
      </c>
      <c r="E907">
        <v>6.3E-3</v>
      </c>
      <c r="F907">
        <v>3.4000000000000002E-3</v>
      </c>
    </row>
    <row r="908" spans="1:6" x14ac:dyDescent="0.3">
      <c r="A908" s="3">
        <v>43318</v>
      </c>
      <c r="B908">
        <v>4.5999999999999999E-3</v>
      </c>
      <c r="C908">
        <v>2.2000000000000001E-3</v>
      </c>
      <c r="D908">
        <v>-3.3E-3</v>
      </c>
      <c r="E908">
        <v>-3.0000000000000001E-3</v>
      </c>
      <c r="F908">
        <v>-2.2000000000000001E-3</v>
      </c>
    </row>
    <row r="909" spans="1:6" x14ac:dyDescent="0.3">
      <c r="A909" s="3">
        <v>43319</v>
      </c>
      <c r="B909">
        <v>2.8999999999999998E-3</v>
      </c>
      <c r="C909">
        <v>-2.0000000000000001E-4</v>
      </c>
      <c r="D909">
        <v>-1.6000000000000001E-3</v>
      </c>
      <c r="E909">
        <v>-3.0999999999999999E-3</v>
      </c>
      <c r="F909">
        <v>-1.5E-3</v>
      </c>
    </row>
    <row r="910" spans="1:6" x14ac:dyDescent="0.3">
      <c r="A910" s="3">
        <v>43320</v>
      </c>
      <c r="B910">
        <v>-4.0000000000000002E-4</v>
      </c>
      <c r="C910">
        <v>-1.1000000000000001E-3</v>
      </c>
      <c r="D910">
        <v>2.5999999999999999E-3</v>
      </c>
      <c r="E910">
        <v>-2.9999999999999997E-4</v>
      </c>
      <c r="F910">
        <v>-8.0000000000000004E-4</v>
      </c>
    </row>
    <row r="911" spans="1:6" x14ac:dyDescent="0.3">
      <c r="A911" s="3">
        <v>43321</v>
      </c>
      <c r="B911">
        <v>-5.0000000000000001E-4</v>
      </c>
      <c r="C911">
        <v>3.4000000000000002E-3</v>
      </c>
      <c r="D911">
        <v>-3.5999999999999999E-3</v>
      </c>
      <c r="E911">
        <v>2.0000000000000001E-4</v>
      </c>
      <c r="F911">
        <v>-2.3999999999999998E-3</v>
      </c>
    </row>
    <row r="912" spans="1:6" x14ac:dyDescent="0.3">
      <c r="A912" s="3">
        <v>43322</v>
      </c>
      <c r="B912">
        <v>-6.0000000000000001E-3</v>
      </c>
      <c r="C912">
        <v>3.0000000000000001E-3</v>
      </c>
      <c r="D912">
        <v>-2.0999999999999999E-3</v>
      </c>
      <c r="E912">
        <v>-2.5999999999999999E-3</v>
      </c>
      <c r="F912">
        <v>2.0999999999999999E-3</v>
      </c>
    </row>
    <row r="913" spans="1:6" x14ac:dyDescent="0.3">
      <c r="A913" s="3">
        <v>43325</v>
      </c>
      <c r="B913">
        <v>-4.5999999999999999E-3</v>
      </c>
      <c r="C913">
        <v>-2.0999999999999999E-3</v>
      </c>
      <c r="D913">
        <v>-3.0000000000000001E-3</v>
      </c>
      <c r="E913">
        <v>3.0999999999999999E-3</v>
      </c>
      <c r="F913">
        <v>4.0000000000000002E-4</v>
      </c>
    </row>
    <row r="914" spans="1:6" x14ac:dyDescent="0.3">
      <c r="A914" s="3">
        <v>43326</v>
      </c>
      <c r="B914">
        <v>6.8999999999999999E-3</v>
      </c>
      <c r="C914">
        <v>3.0000000000000001E-3</v>
      </c>
      <c r="D914">
        <v>2.0999999999999999E-3</v>
      </c>
      <c r="E914">
        <v>3.4000000000000002E-3</v>
      </c>
      <c r="F914">
        <v>1.6000000000000001E-3</v>
      </c>
    </row>
    <row r="915" spans="1:6" x14ac:dyDescent="0.3">
      <c r="A915" s="3">
        <v>43327</v>
      </c>
      <c r="B915">
        <v>-9.1000000000000004E-3</v>
      </c>
      <c r="C915">
        <v>-5.1000000000000004E-3</v>
      </c>
      <c r="D915">
        <v>-1.1999999999999999E-3</v>
      </c>
      <c r="E915">
        <v>6.1999999999999998E-3</v>
      </c>
      <c r="F915">
        <v>-8.9999999999999998E-4</v>
      </c>
    </row>
    <row r="916" spans="1:6" x14ac:dyDescent="0.3">
      <c r="A916" s="3">
        <v>43328</v>
      </c>
      <c r="B916">
        <v>8.6E-3</v>
      </c>
      <c r="C916">
        <v>-4.0000000000000002E-4</v>
      </c>
      <c r="D916">
        <v>2.5999999999999999E-3</v>
      </c>
      <c r="E916">
        <v>-8.0000000000000004E-4</v>
      </c>
      <c r="F916">
        <v>3.9000000000000003E-3</v>
      </c>
    </row>
    <row r="917" spans="1:6" x14ac:dyDescent="0.3">
      <c r="A917" s="3">
        <v>43329</v>
      </c>
      <c r="B917">
        <v>3.0000000000000001E-3</v>
      </c>
      <c r="C917">
        <v>1.2999999999999999E-3</v>
      </c>
      <c r="D917">
        <v>2.0000000000000001E-4</v>
      </c>
      <c r="E917">
        <v>2.2000000000000001E-3</v>
      </c>
      <c r="F917">
        <v>1.9E-3</v>
      </c>
    </row>
    <row r="918" spans="1:6" x14ac:dyDescent="0.3">
      <c r="A918" s="3">
        <v>43332</v>
      </c>
      <c r="B918">
        <v>2.5000000000000001E-3</v>
      </c>
      <c r="C918">
        <v>1.5E-3</v>
      </c>
      <c r="D918">
        <v>1.4000000000000002E-3</v>
      </c>
      <c r="E918">
        <v>1E-3</v>
      </c>
      <c r="F918">
        <v>1.1999999999999999E-3</v>
      </c>
    </row>
    <row r="919" spans="1:6" x14ac:dyDescent="0.3">
      <c r="A919" s="3">
        <v>43333</v>
      </c>
      <c r="B919">
        <v>3.3E-3</v>
      </c>
      <c r="C919">
        <v>9.1999999999999998E-3</v>
      </c>
      <c r="D919">
        <v>1.1999999999999999E-3</v>
      </c>
      <c r="E919">
        <v>-2.2000000000000001E-3</v>
      </c>
      <c r="F919">
        <v>-2.3E-3</v>
      </c>
    </row>
    <row r="920" spans="1:6" x14ac:dyDescent="0.3">
      <c r="A920" s="3">
        <v>43334</v>
      </c>
      <c r="B920">
        <v>5.0000000000000001E-4</v>
      </c>
      <c r="C920">
        <v>2.8999999999999998E-3</v>
      </c>
      <c r="D920">
        <v>-3.4999999999999996E-3</v>
      </c>
      <c r="E920">
        <v>-5.1000000000000004E-3</v>
      </c>
      <c r="F920">
        <v>-2.7000000000000001E-3</v>
      </c>
    </row>
    <row r="921" spans="1:6" x14ac:dyDescent="0.3">
      <c r="A921" s="3">
        <v>43335</v>
      </c>
      <c r="B921">
        <v>-1.9E-3</v>
      </c>
      <c r="C921">
        <v>-1.1000000000000001E-3</v>
      </c>
      <c r="D921">
        <v>-3.3E-3</v>
      </c>
      <c r="E921">
        <v>0</v>
      </c>
      <c r="F921">
        <v>-1.9E-3</v>
      </c>
    </row>
    <row r="922" spans="1:6" x14ac:dyDescent="0.3">
      <c r="A922" s="3">
        <v>43336</v>
      </c>
      <c r="B922">
        <v>6.1999999999999998E-3</v>
      </c>
      <c r="C922">
        <v>-8.9999999999999998E-4</v>
      </c>
      <c r="D922">
        <v>-5.6999999999999993E-3</v>
      </c>
      <c r="E922">
        <v>-2.8999999999999998E-3</v>
      </c>
      <c r="F922">
        <v>-2E-3</v>
      </c>
    </row>
    <row r="923" spans="1:6" x14ac:dyDescent="0.3">
      <c r="A923" s="3">
        <v>43339</v>
      </c>
      <c r="B923">
        <v>7.4000000000000003E-3</v>
      </c>
      <c r="C923">
        <v>-6.1999999999999998E-3</v>
      </c>
      <c r="D923">
        <v>-1.7000000000000001E-3</v>
      </c>
      <c r="E923">
        <v>-2E-3</v>
      </c>
      <c r="F923">
        <v>-3.7000000000000002E-3</v>
      </c>
    </row>
    <row r="924" spans="1:6" x14ac:dyDescent="0.3">
      <c r="A924" s="3">
        <v>43340</v>
      </c>
      <c r="B924">
        <v>-1E-4</v>
      </c>
      <c r="C924">
        <v>-1.1999999999999999E-3</v>
      </c>
      <c r="D924">
        <v>-2.8000000000000004E-3</v>
      </c>
      <c r="E924">
        <v>1.1000000000000001E-3</v>
      </c>
      <c r="F924">
        <v>-5.0000000000000001E-4</v>
      </c>
    </row>
    <row r="925" spans="1:6" x14ac:dyDescent="0.3">
      <c r="A925" s="3">
        <v>43341</v>
      </c>
      <c r="B925">
        <v>5.6000000000000008E-3</v>
      </c>
      <c r="C925">
        <v>-1.4000000000000002E-3</v>
      </c>
      <c r="D925">
        <v>-5.6999999999999993E-3</v>
      </c>
      <c r="E925">
        <v>-1.4000000000000002E-3</v>
      </c>
      <c r="F925">
        <v>-2.8000000000000004E-3</v>
      </c>
    </row>
    <row r="926" spans="1:6" x14ac:dyDescent="0.3">
      <c r="A926" s="3">
        <v>43342</v>
      </c>
      <c r="B926">
        <v>-4.0999999999999995E-3</v>
      </c>
      <c r="C926">
        <v>2.3E-3</v>
      </c>
      <c r="D926">
        <v>-4.1999999999999997E-3</v>
      </c>
      <c r="E926">
        <v>-2.2000000000000001E-3</v>
      </c>
      <c r="F926">
        <v>-1.2999999999999999E-3</v>
      </c>
    </row>
    <row r="927" spans="1:6" x14ac:dyDescent="0.3">
      <c r="A927" s="3">
        <v>43343</v>
      </c>
      <c r="B927">
        <v>8.0000000000000004E-4</v>
      </c>
      <c r="C927">
        <v>4.5000000000000005E-3</v>
      </c>
      <c r="D927">
        <v>-3.9000000000000003E-3</v>
      </c>
      <c r="E927">
        <v>1.5E-3</v>
      </c>
      <c r="F927">
        <v>-1.2999999999999999E-3</v>
      </c>
    </row>
    <row r="928" spans="1:6" x14ac:dyDescent="0.3">
      <c r="A928" s="3">
        <v>43347</v>
      </c>
      <c r="B928">
        <v>-1.1000000000000001E-3</v>
      </c>
      <c r="C928">
        <v>-3.4000000000000002E-3</v>
      </c>
      <c r="D928">
        <v>0</v>
      </c>
      <c r="E928">
        <v>-5.0000000000000001E-4</v>
      </c>
      <c r="F928">
        <v>-1.6000000000000001E-3</v>
      </c>
    </row>
    <row r="929" spans="1:6" x14ac:dyDescent="0.3">
      <c r="A929" s="3">
        <v>43348</v>
      </c>
      <c r="B929">
        <v>-4.0999999999999995E-3</v>
      </c>
      <c r="C929">
        <v>-2.9999999999999997E-4</v>
      </c>
      <c r="D929">
        <v>6.6E-3</v>
      </c>
      <c r="E929">
        <v>4.5000000000000005E-3</v>
      </c>
      <c r="F929">
        <v>6.0999999999999995E-3</v>
      </c>
    </row>
    <row r="930" spans="1:6" x14ac:dyDescent="0.3">
      <c r="A930" s="3">
        <v>43349</v>
      </c>
      <c r="B930">
        <v>-4.4000000000000003E-3</v>
      </c>
      <c r="C930">
        <v>-3.5999999999999999E-3</v>
      </c>
      <c r="D930">
        <v>-2.3999999999999998E-3</v>
      </c>
      <c r="E930">
        <v>4.0999999999999995E-3</v>
      </c>
      <c r="F930">
        <v>3.3E-3</v>
      </c>
    </row>
    <row r="931" spans="1:6" x14ac:dyDescent="0.3">
      <c r="A931" s="3">
        <v>43350</v>
      </c>
      <c r="B931">
        <v>-1.8E-3</v>
      </c>
      <c r="C931">
        <v>7.000000000000001E-4</v>
      </c>
      <c r="D931">
        <v>-2.0999999999999999E-3</v>
      </c>
      <c r="E931">
        <v>2.9999999999999997E-4</v>
      </c>
      <c r="F931">
        <v>4.0000000000000002E-4</v>
      </c>
    </row>
    <row r="932" spans="1:6" x14ac:dyDescent="0.3">
      <c r="A932" s="3">
        <v>43353</v>
      </c>
      <c r="B932">
        <v>2.3E-3</v>
      </c>
      <c r="C932">
        <v>8.0000000000000004E-4</v>
      </c>
      <c r="D932">
        <v>-3.7000000000000002E-3</v>
      </c>
      <c r="E932">
        <v>5.9999999999999995E-4</v>
      </c>
      <c r="F932">
        <v>-2.3999999999999998E-3</v>
      </c>
    </row>
    <row r="933" spans="1:6" x14ac:dyDescent="0.3">
      <c r="A933" s="3">
        <v>43354</v>
      </c>
      <c r="B933">
        <v>3.7000000000000002E-3</v>
      </c>
      <c r="C933">
        <v>-3.4000000000000002E-3</v>
      </c>
      <c r="D933">
        <v>-2.3999999999999998E-3</v>
      </c>
      <c r="E933">
        <v>-1.1999999999999999E-3</v>
      </c>
      <c r="F933">
        <v>-4.1999999999999997E-3</v>
      </c>
    </row>
    <row r="934" spans="1:6" x14ac:dyDescent="0.3">
      <c r="A934" s="3">
        <v>43355</v>
      </c>
      <c r="B934">
        <v>2.9999999999999997E-4</v>
      </c>
      <c r="C934">
        <v>-1.1999999999999999E-3</v>
      </c>
      <c r="D934">
        <v>-2.2000000000000001E-3</v>
      </c>
      <c r="E934">
        <v>4.0000000000000002E-4</v>
      </c>
      <c r="F934">
        <v>5.4000000000000003E-3</v>
      </c>
    </row>
    <row r="935" spans="1:6" x14ac:dyDescent="0.3">
      <c r="A935" s="3">
        <v>43356</v>
      </c>
      <c r="B935">
        <v>4.5000000000000005E-3</v>
      </c>
      <c r="C935">
        <v>-4.8999999999999998E-3</v>
      </c>
      <c r="D935">
        <v>-4.0999999999999995E-3</v>
      </c>
      <c r="E935">
        <v>4.0000000000000002E-4</v>
      </c>
      <c r="F935">
        <v>-4.0000000000000002E-4</v>
      </c>
    </row>
    <row r="936" spans="1:6" x14ac:dyDescent="0.3">
      <c r="A936" s="3">
        <v>43357</v>
      </c>
      <c r="B936">
        <v>1.1999999999999999E-3</v>
      </c>
      <c r="C936">
        <v>3.0999999999999999E-3</v>
      </c>
      <c r="D936">
        <v>2.5000000000000001E-3</v>
      </c>
      <c r="E936">
        <v>-1.1999999999999999E-3</v>
      </c>
      <c r="F936">
        <v>-5.9999999999999995E-4</v>
      </c>
    </row>
    <row r="937" spans="1:6" x14ac:dyDescent="0.3">
      <c r="A937" s="3">
        <v>43360</v>
      </c>
      <c r="B937">
        <v>-7.0999999999999995E-3</v>
      </c>
      <c r="C937">
        <v>-3.5999999999999999E-3</v>
      </c>
      <c r="D937">
        <v>8.5000000000000006E-3</v>
      </c>
      <c r="E937">
        <v>3.2000000000000002E-3</v>
      </c>
      <c r="F937">
        <v>7.3000000000000001E-3</v>
      </c>
    </row>
    <row r="938" spans="1:6" x14ac:dyDescent="0.3">
      <c r="A938" s="3">
        <v>43361</v>
      </c>
      <c r="B938">
        <v>5.6999999999999993E-3</v>
      </c>
      <c r="C938">
        <v>2.9999999999999997E-4</v>
      </c>
      <c r="D938">
        <v>-4.7999999999999996E-3</v>
      </c>
      <c r="E938">
        <v>-2.3999999999999998E-3</v>
      </c>
      <c r="F938">
        <v>-2.2000000000000001E-3</v>
      </c>
    </row>
    <row r="939" spans="1:6" x14ac:dyDescent="0.3">
      <c r="A939" s="3">
        <v>43362</v>
      </c>
      <c r="B939">
        <v>5.9999999999999995E-4</v>
      </c>
      <c r="C939">
        <v>-5.0000000000000001E-3</v>
      </c>
      <c r="D939">
        <v>1.2800000000000001E-2</v>
      </c>
      <c r="E939">
        <v>-4.5000000000000005E-3</v>
      </c>
      <c r="F939">
        <v>0</v>
      </c>
    </row>
    <row r="940" spans="1:6" x14ac:dyDescent="0.3">
      <c r="A940" s="3">
        <v>43363</v>
      </c>
      <c r="B940">
        <v>7.7000000000000002E-3</v>
      </c>
      <c r="C940">
        <v>2.8999999999999998E-3</v>
      </c>
      <c r="D940">
        <v>-2.2000000000000001E-3</v>
      </c>
      <c r="E940">
        <v>8.0000000000000004E-4</v>
      </c>
      <c r="F940">
        <v>-8.9999999999999998E-4</v>
      </c>
    </row>
    <row r="941" spans="1:6" x14ac:dyDescent="0.3">
      <c r="A941" s="3">
        <v>43364</v>
      </c>
      <c r="B941">
        <v>-1.2999999999999999E-3</v>
      </c>
      <c r="C941">
        <v>-4.3E-3</v>
      </c>
      <c r="D941">
        <v>3.0000000000000001E-3</v>
      </c>
      <c r="E941">
        <v>2.5999999999999999E-3</v>
      </c>
      <c r="F941">
        <v>6.4000000000000003E-3</v>
      </c>
    </row>
    <row r="942" spans="1:6" x14ac:dyDescent="0.3">
      <c r="A942" s="3">
        <v>43367</v>
      </c>
      <c r="B942">
        <v>-3.0999999999999999E-3</v>
      </c>
      <c r="C942">
        <v>-5.9999999999999995E-4</v>
      </c>
      <c r="D942">
        <v>-9.1000000000000004E-3</v>
      </c>
      <c r="E942">
        <v>-4.5999999999999999E-3</v>
      </c>
      <c r="F942">
        <v>-3.0000000000000001E-3</v>
      </c>
    </row>
    <row r="943" spans="1:6" x14ac:dyDescent="0.3">
      <c r="A943" s="3">
        <v>43368</v>
      </c>
      <c r="B943">
        <v>-5.0000000000000001E-4</v>
      </c>
      <c r="C943">
        <v>2E-3</v>
      </c>
      <c r="D943">
        <v>-3.8E-3</v>
      </c>
      <c r="E943">
        <v>-3.4000000000000002E-3</v>
      </c>
      <c r="F943">
        <v>-7.000000000000001E-4</v>
      </c>
    </row>
    <row r="944" spans="1:6" x14ac:dyDescent="0.3">
      <c r="A944" s="3">
        <v>43369</v>
      </c>
      <c r="B944">
        <v>-4.0000000000000001E-3</v>
      </c>
      <c r="C944">
        <v>-4.7999999999999996E-3</v>
      </c>
      <c r="D944">
        <v>-6.3E-3</v>
      </c>
      <c r="E944">
        <v>4.7999999999999996E-3</v>
      </c>
      <c r="F944">
        <v>1.1999999999999999E-3</v>
      </c>
    </row>
    <row r="945" spans="1:6" x14ac:dyDescent="0.3">
      <c r="A945" s="3">
        <v>43370</v>
      </c>
      <c r="B945">
        <v>2.7000000000000001E-3</v>
      </c>
      <c r="C945">
        <v>-3.3E-3</v>
      </c>
      <c r="D945">
        <v>-5.6000000000000008E-3</v>
      </c>
      <c r="E945">
        <v>1.1000000000000001E-3</v>
      </c>
      <c r="F945">
        <v>-3.3E-3</v>
      </c>
    </row>
    <row r="946" spans="1:6" x14ac:dyDescent="0.3">
      <c r="A946" s="3">
        <v>43371</v>
      </c>
      <c r="B946">
        <v>-2.9999999999999997E-4</v>
      </c>
      <c r="C946">
        <v>3.4000000000000002E-3</v>
      </c>
      <c r="D946">
        <v>-2E-3</v>
      </c>
      <c r="E946">
        <v>1.1000000000000001E-3</v>
      </c>
      <c r="F946">
        <v>1.9E-3</v>
      </c>
    </row>
    <row r="947" spans="1:6" x14ac:dyDescent="0.3">
      <c r="A947" s="3">
        <v>43374</v>
      </c>
      <c r="B947">
        <v>1.6000000000000001E-3</v>
      </c>
      <c r="C947">
        <v>-1.6200000000000003E-2</v>
      </c>
      <c r="D947">
        <v>3.4000000000000002E-3</v>
      </c>
      <c r="E947">
        <v>-1.2999999999999999E-3</v>
      </c>
      <c r="F947">
        <v>2.9999999999999997E-4</v>
      </c>
    </row>
    <row r="948" spans="1:6" x14ac:dyDescent="0.3">
      <c r="A948" s="3">
        <v>43375</v>
      </c>
      <c r="B948">
        <v>-2.0999999999999999E-3</v>
      </c>
      <c r="C948">
        <v>-9.3999999999999986E-3</v>
      </c>
      <c r="D948">
        <v>6.0000000000000001E-3</v>
      </c>
      <c r="E948">
        <v>1.2999999999999999E-3</v>
      </c>
      <c r="F948">
        <v>3.5999999999999999E-3</v>
      </c>
    </row>
    <row r="949" spans="1:6" x14ac:dyDescent="0.3">
      <c r="A949" s="3">
        <v>43376</v>
      </c>
      <c r="B949">
        <v>2E-3</v>
      </c>
      <c r="C949">
        <v>8.8000000000000005E-3</v>
      </c>
      <c r="D949">
        <v>5.0000000000000001E-3</v>
      </c>
      <c r="E949">
        <v>-3.5999999999999999E-3</v>
      </c>
      <c r="F949">
        <v>-2.0999999999999999E-3</v>
      </c>
    </row>
    <row r="950" spans="1:6" x14ac:dyDescent="0.3">
      <c r="A950" s="3">
        <v>43377</v>
      </c>
      <c r="B950">
        <v>-9.300000000000001E-3</v>
      </c>
      <c r="C950">
        <v>-8.0000000000000002E-3</v>
      </c>
      <c r="D950">
        <v>1.5700000000000002E-2</v>
      </c>
      <c r="E950">
        <v>1.2999999999999999E-3</v>
      </c>
      <c r="F950">
        <v>7.7000000000000002E-3</v>
      </c>
    </row>
    <row r="951" spans="1:6" x14ac:dyDescent="0.3">
      <c r="A951" s="3">
        <v>43378</v>
      </c>
      <c r="B951">
        <v>-6.4000000000000003E-3</v>
      </c>
      <c r="C951">
        <v>-4.0999999999999995E-3</v>
      </c>
      <c r="D951">
        <v>3.9000000000000003E-3</v>
      </c>
      <c r="E951">
        <v>-3.8E-3</v>
      </c>
      <c r="F951">
        <v>4.0999999999999995E-3</v>
      </c>
    </row>
    <row r="952" spans="1:6" x14ac:dyDescent="0.3">
      <c r="A952" s="3">
        <v>43381</v>
      </c>
      <c r="B952">
        <v>-1.7000000000000001E-3</v>
      </c>
      <c r="C952">
        <v>-2.3E-3</v>
      </c>
      <c r="D952">
        <v>1.2199999999999999E-2</v>
      </c>
      <c r="E952">
        <v>5.1999999999999998E-3</v>
      </c>
      <c r="F952">
        <v>6.6E-3</v>
      </c>
    </row>
    <row r="953" spans="1:6" x14ac:dyDescent="0.3">
      <c r="A953" s="3">
        <v>43382</v>
      </c>
      <c r="B953">
        <v>-1.8E-3</v>
      </c>
      <c r="C953">
        <v>-4.0999999999999995E-3</v>
      </c>
      <c r="D953">
        <v>2.8000000000000004E-3</v>
      </c>
      <c r="E953">
        <v>-5.1000000000000004E-3</v>
      </c>
      <c r="F953">
        <v>2.2000000000000001E-3</v>
      </c>
    </row>
    <row r="954" spans="1:6" x14ac:dyDescent="0.3">
      <c r="A954" s="3">
        <v>43383</v>
      </c>
      <c r="B954">
        <v>-3.3300000000000003E-2</v>
      </c>
      <c r="C954">
        <v>4.0000000000000001E-3</v>
      </c>
      <c r="D954">
        <v>1.1200000000000002E-2</v>
      </c>
      <c r="E954">
        <v>2.0999999999999999E-3</v>
      </c>
      <c r="F954">
        <v>7.7000000000000002E-3</v>
      </c>
    </row>
    <row r="955" spans="1:6" x14ac:dyDescent="0.3">
      <c r="A955" s="3">
        <v>43384</v>
      </c>
      <c r="B955">
        <v>-1.9599999999999999E-2</v>
      </c>
      <c r="C955">
        <v>3.8E-3</v>
      </c>
      <c r="D955">
        <v>-9.1000000000000004E-3</v>
      </c>
      <c r="E955">
        <v>4.3E-3</v>
      </c>
      <c r="F955">
        <v>-5.4000000000000003E-3</v>
      </c>
    </row>
    <row r="956" spans="1:6" x14ac:dyDescent="0.3">
      <c r="A956" s="3">
        <v>43385</v>
      </c>
      <c r="B956">
        <v>1.38E-2</v>
      </c>
      <c r="C956">
        <v>-1.11E-2</v>
      </c>
      <c r="D956">
        <v>-1.7399999999999999E-2</v>
      </c>
      <c r="E956">
        <v>5.9999999999999995E-4</v>
      </c>
      <c r="F956">
        <v>-4.4000000000000003E-3</v>
      </c>
    </row>
    <row r="957" spans="1:6" x14ac:dyDescent="0.3">
      <c r="A957" s="3">
        <v>43388</v>
      </c>
      <c r="B957">
        <v>-4.7999999999999996E-3</v>
      </c>
      <c r="C957">
        <v>0.01</v>
      </c>
      <c r="D957">
        <v>5.1999999999999998E-3</v>
      </c>
      <c r="E957">
        <v>3.9000000000000003E-3</v>
      </c>
      <c r="F957">
        <v>5.0000000000000001E-3</v>
      </c>
    </row>
    <row r="958" spans="1:6" x14ac:dyDescent="0.3">
      <c r="A958" s="3">
        <v>43389</v>
      </c>
      <c r="B958">
        <v>2.2400000000000003E-2</v>
      </c>
      <c r="C958">
        <v>5.6000000000000008E-3</v>
      </c>
      <c r="D958">
        <v>-1.44E-2</v>
      </c>
      <c r="E958">
        <v>-2.3E-3</v>
      </c>
      <c r="F958">
        <v>-6.8999999999999999E-3</v>
      </c>
    </row>
    <row r="959" spans="1:6" x14ac:dyDescent="0.3">
      <c r="A959" s="3">
        <v>43390</v>
      </c>
      <c r="B959">
        <v>-8.0000000000000004E-4</v>
      </c>
      <c r="C959">
        <v>-6.0999999999999995E-3</v>
      </c>
      <c r="D959">
        <v>2.5000000000000001E-3</v>
      </c>
      <c r="E959">
        <v>-2.3999999999999998E-3</v>
      </c>
      <c r="F959">
        <v>1.7000000000000001E-3</v>
      </c>
    </row>
    <row r="960" spans="1:6" x14ac:dyDescent="0.3">
      <c r="A960" s="3">
        <v>43391</v>
      </c>
      <c r="B960">
        <v>-1.54E-2</v>
      </c>
      <c r="C960">
        <v>-5.3E-3</v>
      </c>
      <c r="D960">
        <v>4.3E-3</v>
      </c>
      <c r="E960">
        <v>-3.4000000000000002E-3</v>
      </c>
      <c r="F960">
        <v>3.5999999999999999E-3</v>
      </c>
    </row>
    <row r="961" spans="1:6" x14ac:dyDescent="0.3">
      <c r="A961" s="3">
        <v>43392</v>
      </c>
      <c r="B961">
        <v>-2.5000000000000001E-3</v>
      </c>
      <c r="C961">
        <v>-1.26E-2</v>
      </c>
      <c r="D961">
        <v>7.1999999999999998E-3</v>
      </c>
      <c r="E961">
        <v>4.5000000000000005E-3</v>
      </c>
      <c r="F961">
        <v>5.8999999999999999E-3</v>
      </c>
    </row>
    <row r="962" spans="1:6" x14ac:dyDescent="0.3">
      <c r="A962" s="3">
        <v>43395</v>
      </c>
      <c r="B962">
        <v>-3.8E-3</v>
      </c>
      <c r="C962">
        <v>3.4999999999999996E-3</v>
      </c>
      <c r="D962">
        <v>-1.2500000000000001E-2</v>
      </c>
      <c r="E962">
        <v>1.11E-2</v>
      </c>
      <c r="F962">
        <v>-1.7000000000000001E-3</v>
      </c>
    </row>
    <row r="963" spans="1:6" x14ac:dyDescent="0.3">
      <c r="A963" s="3">
        <v>43396</v>
      </c>
      <c r="B963">
        <v>-6.1999999999999998E-3</v>
      </c>
      <c r="C963">
        <v>-1.8E-3</v>
      </c>
      <c r="D963">
        <v>-4.0999999999999995E-3</v>
      </c>
      <c r="E963">
        <v>1.1000000000000001E-3</v>
      </c>
      <c r="F963">
        <v>-8.9999999999999998E-4</v>
      </c>
    </row>
    <row r="964" spans="1:6" x14ac:dyDescent="0.3">
      <c r="A964" s="3">
        <v>43397</v>
      </c>
      <c r="B964">
        <v>-3.3300000000000003E-2</v>
      </c>
      <c r="C964">
        <v>-8.199999999999999E-3</v>
      </c>
      <c r="D964">
        <v>7.7000000000000002E-3</v>
      </c>
      <c r="E964">
        <v>3.2000000000000002E-3</v>
      </c>
      <c r="F964">
        <v>1.26E-2</v>
      </c>
    </row>
    <row r="965" spans="1:6" x14ac:dyDescent="0.3">
      <c r="A965" s="3">
        <v>43398</v>
      </c>
      <c r="B965">
        <v>1.9299999999999998E-2</v>
      </c>
      <c r="C965">
        <v>2.8000000000000004E-3</v>
      </c>
      <c r="D965">
        <v>-5.8999999999999999E-3</v>
      </c>
      <c r="E965">
        <v>-1.8E-3</v>
      </c>
      <c r="F965">
        <v>-1.1200000000000002E-2</v>
      </c>
    </row>
    <row r="966" spans="1:6" x14ac:dyDescent="0.3">
      <c r="A966" s="3">
        <v>43399</v>
      </c>
      <c r="B966">
        <v>-1.6500000000000001E-2</v>
      </c>
      <c r="C966">
        <v>5.7999999999999996E-3</v>
      </c>
      <c r="D966">
        <v>3.4999999999999996E-3</v>
      </c>
      <c r="E966">
        <v>-3.4000000000000002E-3</v>
      </c>
      <c r="F966">
        <v>4.8999999999999998E-3</v>
      </c>
    </row>
    <row r="967" spans="1:6" x14ac:dyDescent="0.3">
      <c r="A967" s="3">
        <v>43402</v>
      </c>
      <c r="B967">
        <v>-7.7000000000000002E-3</v>
      </c>
      <c r="C967">
        <v>-1E-3</v>
      </c>
      <c r="D967">
        <v>1.61E-2</v>
      </c>
      <c r="E967">
        <v>-1E-4</v>
      </c>
      <c r="F967">
        <v>9.7000000000000003E-3</v>
      </c>
    </row>
    <row r="968" spans="1:6" x14ac:dyDescent="0.3">
      <c r="A968" s="3">
        <v>43403</v>
      </c>
      <c r="B968">
        <v>1.66E-2</v>
      </c>
      <c r="C968">
        <v>4.4000000000000003E-3</v>
      </c>
      <c r="D968">
        <v>7.000000000000001E-4</v>
      </c>
      <c r="E968">
        <v>3.7000000000000002E-3</v>
      </c>
      <c r="F968">
        <v>3.2000000000000002E-3</v>
      </c>
    </row>
    <row r="969" spans="1:6" x14ac:dyDescent="0.3">
      <c r="A969" s="3">
        <v>43404</v>
      </c>
      <c r="B969">
        <v>1.2199999999999999E-2</v>
      </c>
      <c r="C969">
        <v>-6.9999999999999993E-3</v>
      </c>
      <c r="D969">
        <v>-7.3000000000000001E-3</v>
      </c>
      <c r="E969">
        <v>-4.0000000000000001E-3</v>
      </c>
      <c r="F969">
        <v>-9.5999999999999992E-3</v>
      </c>
    </row>
    <row r="970" spans="1:6" x14ac:dyDescent="0.3">
      <c r="A970" s="3">
        <v>43405</v>
      </c>
      <c r="B970">
        <v>1.29E-2</v>
      </c>
      <c r="C970">
        <v>1.23E-2</v>
      </c>
      <c r="D970">
        <v>-1.1399999999999999E-2</v>
      </c>
      <c r="E970">
        <v>-2.3999999999999998E-3</v>
      </c>
      <c r="F970">
        <v>-4.6999999999999993E-3</v>
      </c>
    </row>
    <row r="971" spans="1:6" x14ac:dyDescent="0.3">
      <c r="A971" s="3">
        <v>43406</v>
      </c>
      <c r="B971">
        <v>-5.3E-3</v>
      </c>
      <c r="C971">
        <v>8.3999999999999995E-3</v>
      </c>
      <c r="D971">
        <v>6.7000000000000002E-3</v>
      </c>
      <c r="E971">
        <v>-4.5999999999999999E-3</v>
      </c>
      <c r="F971">
        <v>2.3E-3</v>
      </c>
    </row>
    <row r="972" spans="1:6" x14ac:dyDescent="0.3">
      <c r="A972" s="3">
        <v>43409</v>
      </c>
      <c r="B972">
        <v>4.0000000000000001E-3</v>
      </c>
      <c r="C972">
        <v>-8.8000000000000005E-3</v>
      </c>
      <c r="D972">
        <v>1.5600000000000001E-2</v>
      </c>
      <c r="E972">
        <v>-5.0000000000000001E-3</v>
      </c>
      <c r="F972">
        <v>7.6E-3</v>
      </c>
    </row>
    <row r="973" spans="1:6" x14ac:dyDescent="0.3">
      <c r="A973" s="3">
        <v>43410</v>
      </c>
      <c r="B973">
        <v>5.7999999999999996E-3</v>
      </c>
      <c r="C973">
        <v>-1.4000000000000002E-3</v>
      </c>
      <c r="D973">
        <v>2.0000000000000001E-4</v>
      </c>
      <c r="E973">
        <v>3.0000000000000001E-3</v>
      </c>
      <c r="F973">
        <v>2.0999999999999999E-3</v>
      </c>
    </row>
    <row r="974" spans="1:6" x14ac:dyDescent="0.3">
      <c r="A974" s="3">
        <v>43411</v>
      </c>
      <c r="B974">
        <v>2.1099999999999997E-2</v>
      </c>
      <c r="C974">
        <v>-5.3E-3</v>
      </c>
      <c r="D974">
        <v>-1.06E-2</v>
      </c>
      <c r="E974">
        <v>-3.9000000000000003E-3</v>
      </c>
      <c r="F974">
        <v>-8.199999999999999E-3</v>
      </c>
    </row>
    <row r="975" spans="1:6" x14ac:dyDescent="0.3">
      <c r="A975" s="3">
        <v>43412</v>
      </c>
      <c r="B975">
        <v>-2.8000000000000004E-3</v>
      </c>
      <c r="C975">
        <v>-1.6000000000000001E-3</v>
      </c>
      <c r="D975">
        <v>2.5000000000000001E-3</v>
      </c>
      <c r="E975">
        <v>4.0000000000000001E-3</v>
      </c>
      <c r="F975">
        <v>3.4000000000000002E-3</v>
      </c>
    </row>
    <row r="976" spans="1:6" x14ac:dyDescent="0.3">
      <c r="A976" s="3">
        <v>43413</v>
      </c>
      <c r="B976">
        <v>-1.04E-2</v>
      </c>
      <c r="C976">
        <v>-8.5000000000000006E-3</v>
      </c>
      <c r="D976">
        <v>4.1999999999999997E-3</v>
      </c>
      <c r="E976">
        <v>6.1999999999999998E-3</v>
      </c>
      <c r="F976">
        <v>6.7000000000000002E-3</v>
      </c>
    </row>
    <row r="977" spans="1:6" x14ac:dyDescent="0.3">
      <c r="A977" s="3">
        <v>43416</v>
      </c>
      <c r="B977">
        <v>-2.06E-2</v>
      </c>
      <c r="C977">
        <v>8.9999999999999998E-4</v>
      </c>
      <c r="D977">
        <v>8.5000000000000006E-3</v>
      </c>
      <c r="E977">
        <v>5.1999999999999998E-3</v>
      </c>
      <c r="F977">
        <v>8.8000000000000005E-3</v>
      </c>
    </row>
    <row r="978" spans="1:6" x14ac:dyDescent="0.3">
      <c r="A978" s="3">
        <v>43417</v>
      </c>
      <c r="B978">
        <v>-1.2999999999999999E-3</v>
      </c>
      <c r="C978">
        <v>-5.0000000000000001E-4</v>
      </c>
      <c r="D978">
        <v>1.6000000000000001E-3</v>
      </c>
      <c r="E978">
        <v>2.0999999999999999E-3</v>
      </c>
      <c r="F978">
        <v>-3.0999999999999999E-3</v>
      </c>
    </row>
    <row r="979" spans="1:6" x14ac:dyDescent="0.3">
      <c r="A979" s="3">
        <v>43418</v>
      </c>
      <c r="B979">
        <v>-7.7000000000000002E-3</v>
      </c>
      <c r="C979">
        <v>2.9999999999999997E-4</v>
      </c>
      <c r="D979">
        <v>-2.8999999999999998E-3</v>
      </c>
      <c r="E979">
        <v>5.7999999999999996E-3</v>
      </c>
      <c r="F979">
        <v>1E-3</v>
      </c>
    </row>
    <row r="980" spans="1:6" x14ac:dyDescent="0.3">
      <c r="A980" s="3">
        <v>43419</v>
      </c>
      <c r="B980">
        <v>1.18E-2</v>
      </c>
      <c r="C980">
        <v>3.0999999999999999E-3</v>
      </c>
      <c r="D980">
        <v>-4.0000000000000001E-3</v>
      </c>
      <c r="E980">
        <v>-8.199999999999999E-3</v>
      </c>
      <c r="F980">
        <v>-6.8999999999999999E-3</v>
      </c>
    </row>
    <row r="981" spans="1:6" x14ac:dyDescent="0.3">
      <c r="A981" s="3">
        <v>43420</v>
      </c>
      <c r="B981">
        <v>1.5E-3</v>
      </c>
      <c r="C981">
        <v>-2.0000000000000001E-4</v>
      </c>
      <c r="D981">
        <v>-7.000000000000001E-4</v>
      </c>
      <c r="E981">
        <v>-7.8000000000000005E-3</v>
      </c>
      <c r="F981">
        <v>1.7000000000000001E-3</v>
      </c>
    </row>
    <row r="982" spans="1:6" x14ac:dyDescent="0.3">
      <c r="A982" s="3">
        <v>43423</v>
      </c>
      <c r="B982">
        <v>-1.8799999999999997E-2</v>
      </c>
      <c r="C982">
        <v>-4.0000000000000001E-3</v>
      </c>
      <c r="D982">
        <v>2.3E-2</v>
      </c>
      <c r="E982">
        <v>2.0999999999999999E-3</v>
      </c>
      <c r="F982">
        <v>1.24E-2</v>
      </c>
    </row>
    <row r="983" spans="1:6" x14ac:dyDescent="0.3">
      <c r="A983" s="3">
        <v>43424</v>
      </c>
      <c r="B983">
        <v>-1.8500000000000003E-2</v>
      </c>
      <c r="C983">
        <v>2.9999999999999997E-4</v>
      </c>
      <c r="D983">
        <v>-5.4000000000000003E-3</v>
      </c>
      <c r="E983">
        <v>-3.7000000000000002E-3</v>
      </c>
      <c r="F983">
        <v>-3.2000000000000002E-3</v>
      </c>
    </row>
    <row r="984" spans="1:6" x14ac:dyDescent="0.3">
      <c r="A984" s="3">
        <v>43425</v>
      </c>
      <c r="B984">
        <v>5.1000000000000004E-3</v>
      </c>
      <c r="C984">
        <v>9.5999999999999992E-3</v>
      </c>
      <c r="D984">
        <v>-3.3E-3</v>
      </c>
      <c r="E984">
        <v>-3.4000000000000002E-3</v>
      </c>
      <c r="F984">
        <v>1E-4</v>
      </c>
    </row>
    <row r="985" spans="1:6" x14ac:dyDescent="0.3">
      <c r="A985" s="3">
        <v>43427</v>
      </c>
      <c r="B985">
        <v>-5.5000000000000005E-3</v>
      </c>
      <c r="C985">
        <v>7.7000000000000002E-3</v>
      </c>
      <c r="D985">
        <v>-6.0000000000000001E-3</v>
      </c>
      <c r="E985">
        <v>2.8999999999999998E-3</v>
      </c>
      <c r="F985">
        <v>-5.0000000000000001E-4</v>
      </c>
    </row>
    <row r="986" spans="1:6" x14ac:dyDescent="0.3">
      <c r="A986" s="3">
        <v>43430</v>
      </c>
      <c r="B986">
        <v>1.6200000000000003E-2</v>
      </c>
      <c r="C986">
        <v>-6.9999999999999993E-3</v>
      </c>
      <c r="D986">
        <v>-2E-3</v>
      </c>
      <c r="E986">
        <v>-4.4000000000000003E-3</v>
      </c>
      <c r="F986">
        <v>-7.4000000000000003E-3</v>
      </c>
    </row>
    <row r="987" spans="1:6" x14ac:dyDescent="0.3">
      <c r="A987" s="3">
        <v>43431</v>
      </c>
      <c r="B987">
        <v>1.1000000000000001E-3</v>
      </c>
      <c r="C987">
        <v>-1.06E-2</v>
      </c>
      <c r="D987">
        <v>2.5999999999999999E-3</v>
      </c>
      <c r="E987">
        <v>5.8999999999999999E-3</v>
      </c>
      <c r="F987">
        <v>1.1999999999999999E-3</v>
      </c>
    </row>
    <row r="988" spans="1:6" x14ac:dyDescent="0.3">
      <c r="A988" s="3">
        <v>43432</v>
      </c>
      <c r="B988">
        <v>2.4199999999999999E-2</v>
      </c>
      <c r="C988">
        <v>3.0999999999999999E-3</v>
      </c>
      <c r="D988">
        <v>-1.1699999999999999E-2</v>
      </c>
      <c r="E988">
        <v>7.000000000000001E-4</v>
      </c>
      <c r="F988">
        <v>-9.1999999999999998E-3</v>
      </c>
    </row>
    <row r="989" spans="1:6" x14ac:dyDescent="0.3">
      <c r="A989" s="3">
        <v>43433</v>
      </c>
      <c r="B989">
        <v>-2.2000000000000001E-3</v>
      </c>
      <c r="C989">
        <v>-2.0999999999999999E-3</v>
      </c>
      <c r="D989">
        <v>-1E-3</v>
      </c>
      <c r="E989">
        <v>-4.7999999999999996E-3</v>
      </c>
      <c r="F989">
        <v>2.9999999999999997E-4</v>
      </c>
    </row>
    <row r="990" spans="1:6" x14ac:dyDescent="0.3">
      <c r="A990" s="3">
        <v>43434</v>
      </c>
      <c r="B990">
        <v>7.8000000000000005E-3</v>
      </c>
      <c r="C990">
        <v>-3.7000000000000002E-3</v>
      </c>
      <c r="D990">
        <v>-4.3E-3</v>
      </c>
      <c r="E990">
        <v>2.3E-3</v>
      </c>
      <c r="F990">
        <v>-2.5999999999999999E-3</v>
      </c>
    </row>
    <row r="991" spans="1:6" x14ac:dyDescent="0.3">
      <c r="A991" s="3">
        <v>43437</v>
      </c>
      <c r="B991">
        <v>1.1299999999999999E-2</v>
      </c>
      <c r="C991">
        <v>-1E-3</v>
      </c>
      <c r="D991">
        <v>-8.0000000000000002E-3</v>
      </c>
      <c r="E991">
        <v>-2.5000000000000001E-3</v>
      </c>
      <c r="F991">
        <v>-5.6000000000000008E-3</v>
      </c>
    </row>
    <row r="992" spans="1:6" x14ac:dyDescent="0.3">
      <c r="A992" s="3">
        <v>43438</v>
      </c>
      <c r="B992">
        <v>-3.4500000000000003E-2</v>
      </c>
      <c r="C992">
        <v>-1.04E-2</v>
      </c>
      <c r="D992">
        <v>-2.0999999999999999E-3</v>
      </c>
      <c r="E992">
        <v>-1.4000000000000002E-3</v>
      </c>
      <c r="F992">
        <v>9.300000000000001E-3</v>
      </c>
    </row>
    <row r="993" spans="1:6" x14ac:dyDescent="0.3">
      <c r="A993" s="3">
        <v>43440</v>
      </c>
      <c r="B993">
        <v>-1.6000000000000001E-3</v>
      </c>
      <c r="C993">
        <v>-5.9999999999999995E-4</v>
      </c>
      <c r="D993">
        <v>-1.0500000000000001E-2</v>
      </c>
      <c r="E993">
        <v>1.2999999999999999E-3</v>
      </c>
      <c r="F993">
        <v>-3.0999999999999999E-3</v>
      </c>
    </row>
    <row r="994" spans="1:6" x14ac:dyDescent="0.3">
      <c r="A994" s="3">
        <v>43441</v>
      </c>
      <c r="B994">
        <v>-2.3599999999999999E-2</v>
      </c>
      <c r="C994">
        <v>2.7000000000000001E-3</v>
      </c>
      <c r="D994">
        <v>1.3300000000000001E-2</v>
      </c>
      <c r="E994">
        <v>-4.6999999999999993E-3</v>
      </c>
      <c r="F994">
        <v>6.3E-3</v>
      </c>
    </row>
    <row r="995" spans="1:6" x14ac:dyDescent="0.3">
      <c r="A995" s="3">
        <v>43444</v>
      </c>
      <c r="B995">
        <v>1E-3</v>
      </c>
      <c r="C995">
        <v>-3.5999999999999999E-3</v>
      </c>
      <c r="D995">
        <v>-1.6200000000000003E-2</v>
      </c>
      <c r="E995">
        <v>2.7000000000000001E-3</v>
      </c>
      <c r="F995">
        <v>-2.8999999999999998E-3</v>
      </c>
    </row>
    <row r="996" spans="1:6" x14ac:dyDescent="0.3">
      <c r="A996" s="3">
        <v>43445</v>
      </c>
      <c r="B996">
        <v>-8.0000000000000004E-4</v>
      </c>
      <c r="C996">
        <v>-1.6000000000000001E-3</v>
      </c>
      <c r="D996">
        <v>-4.1999999999999997E-3</v>
      </c>
      <c r="E996">
        <v>1.7000000000000001E-3</v>
      </c>
      <c r="F996">
        <v>-7.000000000000001E-4</v>
      </c>
    </row>
    <row r="997" spans="1:6" x14ac:dyDescent="0.3">
      <c r="A997" s="3">
        <v>43446</v>
      </c>
      <c r="B997">
        <v>6.8000000000000005E-3</v>
      </c>
      <c r="C997">
        <v>5.1000000000000004E-3</v>
      </c>
      <c r="D997">
        <v>-1.8E-3</v>
      </c>
      <c r="E997">
        <v>-2.3E-3</v>
      </c>
      <c r="F997">
        <v>-8.9999999999999998E-4</v>
      </c>
    </row>
    <row r="998" spans="1:6" x14ac:dyDescent="0.3">
      <c r="A998" s="3">
        <v>43447</v>
      </c>
      <c r="B998">
        <v>-2.5999999999999999E-3</v>
      </c>
      <c r="C998">
        <v>-1.55E-2</v>
      </c>
      <c r="D998">
        <v>-1.9E-3</v>
      </c>
      <c r="E998">
        <v>1.9E-3</v>
      </c>
      <c r="F998">
        <v>4.0000000000000002E-4</v>
      </c>
    </row>
    <row r="999" spans="1:6" x14ac:dyDescent="0.3">
      <c r="A999" s="3">
        <v>43448</v>
      </c>
      <c r="B999">
        <v>-1.89E-2</v>
      </c>
      <c r="C999">
        <v>8.9999999999999998E-4</v>
      </c>
      <c r="D999">
        <v>5.0000000000000001E-3</v>
      </c>
      <c r="E999">
        <v>-2.0999999999999999E-3</v>
      </c>
      <c r="F999">
        <v>6.1999999999999998E-3</v>
      </c>
    </row>
    <row r="1000" spans="1:6" x14ac:dyDescent="0.3">
      <c r="A1000" s="3">
        <v>43451</v>
      </c>
      <c r="B1000">
        <v>-2.1299999999999999E-2</v>
      </c>
      <c r="C1000">
        <v>-1.1000000000000001E-3</v>
      </c>
      <c r="D1000">
        <v>1.0800000000000001E-2</v>
      </c>
      <c r="E1000">
        <v>2.5999999999999999E-3</v>
      </c>
      <c r="F1000">
        <v>2E-3</v>
      </c>
    </row>
    <row r="1001" spans="1:6" x14ac:dyDescent="0.3">
      <c r="A1001" s="3">
        <v>43452</v>
      </c>
      <c r="B1001">
        <v>-2.9999999999999997E-4</v>
      </c>
      <c r="C1001">
        <v>-4.0000000000000002E-4</v>
      </c>
      <c r="D1001">
        <v>-6.0999999999999995E-3</v>
      </c>
      <c r="E1001">
        <v>9.1999999999999998E-3</v>
      </c>
      <c r="F1001">
        <v>-4.6999999999999993E-3</v>
      </c>
    </row>
    <row r="1002" spans="1:6" x14ac:dyDescent="0.3">
      <c r="A1002" s="3">
        <v>43453</v>
      </c>
      <c r="B1002">
        <v>-1.5800000000000002E-2</v>
      </c>
      <c r="C1002">
        <v>-6.0000000000000001E-3</v>
      </c>
      <c r="D1002">
        <v>2.0000000000000001E-4</v>
      </c>
      <c r="E1002">
        <v>-3.8E-3</v>
      </c>
      <c r="F1002">
        <v>4.0999999999999995E-3</v>
      </c>
    </row>
    <row r="1003" spans="1:6" x14ac:dyDescent="0.3">
      <c r="A1003" s="3">
        <v>43454</v>
      </c>
      <c r="B1003">
        <v>-1.6200000000000003E-2</v>
      </c>
      <c r="C1003">
        <v>-1.1999999999999999E-3</v>
      </c>
      <c r="D1003">
        <v>9.7000000000000003E-3</v>
      </c>
      <c r="E1003">
        <v>6.1999999999999998E-3</v>
      </c>
      <c r="F1003">
        <v>-7.000000000000001E-4</v>
      </c>
    </row>
    <row r="1004" spans="1:6" x14ac:dyDescent="0.3">
      <c r="A1004" s="3">
        <v>43455</v>
      </c>
      <c r="B1004">
        <v>-2.1700000000000001E-2</v>
      </c>
      <c r="C1004">
        <v>-5.3E-3</v>
      </c>
      <c r="D1004">
        <v>7.7000000000000002E-3</v>
      </c>
      <c r="E1004">
        <v>1.1999999999999999E-3</v>
      </c>
      <c r="F1004">
        <v>6.5000000000000006E-3</v>
      </c>
    </row>
    <row r="1005" spans="1:6" x14ac:dyDescent="0.3">
      <c r="A1005" s="3">
        <v>43458</v>
      </c>
      <c r="B1005">
        <v>-2.5499999999999998E-2</v>
      </c>
      <c r="C1005">
        <v>9.300000000000001E-3</v>
      </c>
      <c r="D1005">
        <v>-4.7999999999999996E-3</v>
      </c>
      <c r="E1005">
        <v>-3.4000000000000002E-3</v>
      </c>
      <c r="F1005">
        <v>-3.3E-3</v>
      </c>
    </row>
    <row r="1006" spans="1:6" x14ac:dyDescent="0.3">
      <c r="A1006" s="3">
        <v>43460</v>
      </c>
      <c r="B1006">
        <v>5.0599999999999999E-2</v>
      </c>
      <c r="C1006">
        <v>-2E-3</v>
      </c>
      <c r="D1006">
        <v>-1.0200000000000001E-2</v>
      </c>
      <c r="E1006">
        <v>-2.0999999999999999E-3</v>
      </c>
      <c r="F1006">
        <v>-1.1000000000000001E-2</v>
      </c>
    </row>
    <row r="1007" spans="1:6" x14ac:dyDescent="0.3">
      <c r="A1007" s="3">
        <v>43461</v>
      </c>
      <c r="B1007">
        <v>7.8000000000000005E-3</v>
      </c>
      <c r="C1007">
        <v>-7.1999999999999998E-3</v>
      </c>
      <c r="D1007">
        <v>-1.4000000000000002E-3</v>
      </c>
      <c r="E1007">
        <v>-1.4000000000000002E-3</v>
      </c>
      <c r="F1007">
        <v>1E-3</v>
      </c>
    </row>
    <row r="1008" spans="1:6" x14ac:dyDescent="0.3">
      <c r="A1008" s="3">
        <v>43462</v>
      </c>
      <c r="B1008">
        <v>-2.9999999999999997E-4</v>
      </c>
      <c r="C1008">
        <v>7.4999999999999997E-3</v>
      </c>
      <c r="D1008">
        <v>2.5999999999999999E-3</v>
      </c>
      <c r="E1008">
        <v>-3.7000000000000002E-3</v>
      </c>
      <c r="F1008">
        <v>-5.0000000000000001E-4</v>
      </c>
    </row>
    <row r="1009" spans="1:6" x14ac:dyDescent="0.3">
      <c r="A1009" s="3">
        <v>43465</v>
      </c>
      <c r="B1009">
        <v>9.0000000000000011E-3</v>
      </c>
      <c r="C1009">
        <v>-1.4000000000000002E-3</v>
      </c>
      <c r="D1009">
        <v>-4.5999999999999999E-3</v>
      </c>
      <c r="E1009">
        <v>-8.0000000000000004E-4</v>
      </c>
      <c r="F1009">
        <v>-1.4000000000000002E-3</v>
      </c>
    </row>
    <row r="1010" spans="1:6" x14ac:dyDescent="0.3">
      <c r="A1010" s="3">
        <v>43467</v>
      </c>
      <c r="B1010">
        <v>2.3E-3</v>
      </c>
      <c r="C1010">
        <v>7.4000000000000003E-3</v>
      </c>
      <c r="D1010">
        <v>1.1299999999999999E-2</v>
      </c>
      <c r="E1010">
        <v>-1.2999999999999999E-3</v>
      </c>
      <c r="F1010">
        <v>2.7000000000000001E-3</v>
      </c>
    </row>
    <row r="1011" spans="1:6" x14ac:dyDescent="0.3">
      <c r="A1011" s="3">
        <v>43468</v>
      </c>
      <c r="B1011">
        <v>-2.4500000000000001E-2</v>
      </c>
      <c r="C1011">
        <v>4.8999999999999998E-3</v>
      </c>
      <c r="D1011">
        <v>1.2E-2</v>
      </c>
      <c r="E1011">
        <v>-2.3E-3</v>
      </c>
      <c r="F1011">
        <v>8.8999999999999999E-3</v>
      </c>
    </row>
    <row r="1012" spans="1:6" x14ac:dyDescent="0.3">
      <c r="A1012" s="3">
        <v>43469</v>
      </c>
      <c r="B1012">
        <v>3.5499999999999997E-2</v>
      </c>
      <c r="C1012">
        <v>3.5999999999999999E-3</v>
      </c>
      <c r="D1012">
        <v>-6.9999999999999993E-3</v>
      </c>
      <c r="E1012">
        <v>-1E-3</v>
      </c>
      <c r="F1012">
        <v>-6.0000000000000001E-3</v>
      </c>
    </row>
    <row r="1013" spans="1:6" x14ac:dyDescent="0.3">
      <c r="A1013" s="3">
        <v>43472</v>
      </c>
      <c r="B1013">
        <v>9.3999999999999986E-3</v>
      </c>
      <c r="C1013">
        <v>8.6999999999999994E-3</v>
      </c>
      <c r="D1013">
        <v>-7.4000000000000003E-3</v>
      </c>
      <c r="E1013">
        <v>-7.3000000000000001E-3</v>
      </c>
      <c r="F1013">
        <v>-4.5999999999999999E-3</v>
      </c>
    </row>
    <row r="1014" spans="1:6" x14ac:dyDescent="0.3">
      <c r="A1014" s="3">
        <v>43473</v>
      </c>
      <c r="B1014">
        <v>1.01E-2</v>
      </c>
      <c r="C1014">
        <v>4.5000000000000005E-3</v>
      </c>
      <c r="D1014">
        <v>-6.3E-3</v>
      </c>
      <c r="E1014">
        <v>3.0999999999999999E-3</v>
      </c>
      <c r="F1014">
        <v>-7.000000000000001E-4</v>
      </c>
    </row>
    <row r="1015" spans="1:6" x14ac:dyDescent="0.3">
      <c r="A1015" s="3">
        <v>43474</v>
      </c>
      <c r="B1015">
        <v>5.6000000000000008E-3</v>
      </c>
      <c r="C1015">
        <v>5.0000000000000001E-3</v>
      </c>
      <c r="D1015">
        <v>1E-3</v>
      </c>
      <c r="E1015">
        <v>8.0000000000000004E-4</v>
      </c>
      <c r="F1015">
        <v>-1.9E-3</v>
      </c>
    </row>
    <row r="1016" spans="1:6" x14ac:dyDescent="0.3">
      <c r="A1016" s="3">
        <v>43475</v>
      </c>
      <c r="B1016">
        <v>4.1999999999999997E-3</v>
      </c>
      <c r="C1016">
        <v>-1E-4</v>
      </c>
      <c r="D1016">
        <v>-4.5999999999999999E-3</v>
      </c>
      <c r="E1016">
        <v>-5.0000000000000001E-4</v>
      </c>
      <c r="F1016">
        <v>-4.0000000000000002E-4</v>
      </c>
    </row>
    <row r="1017" spans="1:6" x14ac:dyDescent="0.3">
      <c r="A1017" s="3">
        <v>43476</v>
      </c>
      <c r="B1017">
        <v>-1E-4</v>
      </c>
      <c r="C1017">
        <v>2E-3</v>
      </c>
      <c r="D1017">
        <v>2.2000000000000001E-3</v>
      </c>
      <c r="E1017">
        <v>2.3E-3</v>
      </c>
      <c r="F1017">
        <v>2.5000000000000001E-3</v>
      </c>
    </row>
    <row r="1018" spans="1:6" x14ac:dyDescent="0.3">
      <c r="A1018" s="3">
        <v>43479</v>
      </c>
      <c r="B1018">
        <v>-6.0000000000000001E-3</v>
      </c>
      <c r="C1018">
        <v>-4.5999999999999999E-3</v>
      </c>
      <c r="D1018">
        <v>9.3999999999999986E-3</v>
      </c>
      <c r="E1018">
        <v>2.5000000000000001E-3</v>
      </c>
      <c r="F1018">
        <v>0</v>
      </c>
    </row>
    <row r="1019" spans="1:6" x14ac:dyDescent="0.3">
      <c r="A1019" s="3">
        <v>43480</v>
      </c>
      <c r="B1019">
        <v>1.06E-2</v>
      </c>
      <c r="C1019">
        <v>-1.4000000000000002E-3</v>
      </c>
      <c r="D1019">
        <v>-8.8000000000000005E-3</v>
      </c>
      <c r="E1019">
        <v>-3.0999999999999999E-3</v>
      </c>
      <c r="F1019">
        <v>-5.6999999999999993E-3</v>
      </c>
    </row>
    <row r="1020" spans="1:6" x14ac:dyDescent="0.3">
      <c r="A1020" s="3">
        <v>43481</v>
      </c>
      <c r="B1020">
        <v>2.8000000000000004E-3</v>
      </c>
      <c r="C1020">
        <v>2.5000000000000001E-3</v>
      </c>
      <c r="D1020">
        <v>9.1999999999999998E-3</v>
      </c>
      <c r="E1020">
        <v>-1E-3</v>
      </c>
      <c r="F1020">
        <v>-2.3E-3</v>
      </c>
    </row>
    <row r="1021" spans="1:6" x14ac:dyDescent="0.3">
      <c r="A1021" s="3">
        <v>43482</v>
      </c>
      <c r="B1021">
        <v>7.4999999999999997E-3</v>
      </c>
      <c r="C1021">
        <v>8.0000000000000004E-4</v>
      </c>
      <c r="D1021">
        <v>-2.3999999999999998E-3</v>
      </c>
      <c r="E1021">
        <v>7.000000000000001E-4</v>
      </c>
      <c r="F1021">
        <v>0</v>
      </c>
    </row>
    <row r="1022" spans="1:6" x14ac:dyDescent="0.3">
      <c r="A1022" s="3">
        <v>43483</v>
      </c>
      <c r="B1022">
        <v>1.29E-2</v>
      </c>
      <c r="C1022">
        <v>-3.0000000000000001E-3</v>
      </c>
      <c r="D1022">
        <v>1.1000000000000001E-3</v>
      </c>
      <c r="E1022">
        <v>1.9E-3</v>
      </c>
      <c r="F1022">
        <v>-2.7000000000000001E-3</v>
      </c>
    </row>
    <row r="1023" spans="1:6" x14ac:dyDescent="0.3">
      <c r="A1023" s="3">
        <v>43487</v>
      </c>
      <c r="B1023">
        <v>-1.5300000000000001E-2</v>
      </c>
      <c r="C1023">
        <v>-3.5999999999999999E-3</v>
      </c>
      <c r="D1023">
        <v>3.2000000000000002E-3</v>
      </c>
      <c r="E1023">
        <v>2.5999999999999999E-3</v>
      </c>
      <c r="F1023">
        <v>3.4000000000000002E-3</v>
      </c>
    </row>
    <row r="1024" spans="1:6" x14ac:dyDescent="0.3">
      <c r="A1024" s="3">
        <v>43488</v>
      </c>
      <c r="B1024">
        <v>1.5E-3</v>
      </c>
      <c r="C1024">
        <v>-4.0999999999999995E-3</v>
      </c>
      <c r="D1024">
        <v>-1.4000000000000002E-3</v>
      </c>
      <c r="E1024">
        <v>3.4999999999999996E-3</v>
      </c>
      <c r="F1024">
        <v>2.8999999999999998E-3</v>
      </c>
    </row>
    <row r="1025" spans="1:6" x14ac:dyDescent="0.3">
      <c r="A1025" s="3">
        <v>43489</v>
      </c>
      <c r="B1025">
        <v>2.3E-3</v>
      </c>
      <c r="C1025">
        <v>4.7999999999999996E-3</v>
      </c>
      <c r="D1025">
        <v>0</v>
      </c>
      <c r="E1025">
        <v>-1.4000000000000002E-3</v>
      </c>
      <c r="F1025">
        <v>-1.9E-3</v>
      </c>
    </row>
    <row r="1026" spans="1:6" x14ac:dyDescent="0.3">
      <c r="A1026" s="3">
        <v>43490</v>
      </c>
      <c r="B1026">
        <v>9.0000000000000011E-3</v>
      </c>
      <c r="C1026">
        <v>4.0999999999999995E-3</v>
      </c>
      <c r="D1026">
        <v>-3.4999999999999996E-3</v>
      </c>
      <c r="E1026">
        <v>-3.4000000000000002E-3</v>
      </c>
      <c r="F1026">
        <v>-5.7999999999999996E-3</v>
      </c>
    </row>
    <row r="1027" spans="1:6" x14ac:dyDescent="0.3">
      <c r="A1027" s="3">
        <v>43493</v>
      </c>
      <c r="B1027">
        <v>-8.0000000000000002E-3</v>
      </c>
      <c r="C1027">
        <v>-8.0000000000000004E-4</v>
      </c>
      <c r="D1027">
        <v>6.1999999999999998E-3</v>
      </c>
      <c r="E1027">
        <v>2.8999999999999998E-3</v>
      </c>
      <c r="F1027">
        <v>1.7000000000000001E-3</v>
      </c>
    </row>
    <row r="1028" spans="1:6" x14ac:dyDescent="0.3">
      <c r="A1028" s="3">
        <v>43494</v>
      </c>
      <c r="B1028">
        <v>-1.9E-3</v>
      </c>
      <c r="C1028">
        <v>2.9999999999999997E-4</v>
      </c>
      <c r="D1028">
        <v>1.7000000000000001E-3</v>
      </c>
      <c r="E1028">
        <v>2.9999999999999997E-4</v>
      </c>
      <c r="F1028">
        <v>4.5999999999999999E-3</v>
      </c>
    </row>
    <row r="1029" spans="1:6" x14ac:dyDescent="0.3">
      <c r="A1029" s="3">
        <v>43495</v>
      </c>
      <c r="B1029">
        <v>1.5100000000000001E-2</v>
      </c>
      <c r="C1029">
        <v>-3.5999999999999999E-3</v>
      </c>
      <c r="D1029">
        <v>-9.3999999999999986E-3</v>
      </c>
      <c r="E1029">
        <v>-2.3999999999999998E-3</v>
      </c>
      <c r="F1029">
        <v>-8.8999999999999999E-3</v>
      </c>
    </row>
    <row r="1030" spans="1:6" x14ac:dyDescent="0.3">
      <c r="A1030" s="3">
        <v>43496</v>
      </c>
      <c r="B1030">
        <v>9.1999999999999998E-3</v>
      </c>
      <c r="C1030">
        <v>-5.9999999999999995E-4</v>
      </c>
      <c r="D1030">
        <v>-1.0800000000000001E-2</v>
      </c>
      <c r="E1030">
        <v>-3.7000000000000002E-3</v>
      </c>
      <c r="F1030">
        <v>-1E-4</v>
      </c>
    </row>
    <row r="1031" spans="1:6" x14ac:dyDescent="0.3">
      <c r="A1031" s="3">
        <v>43497</v>
      </c>
      <c r="B1031">
        <v>1.4000000000000002E-3</v>
      </c>
      <c r="C1031">
        <v>-1.6000000000000001E-3</v>
      </c>
      <c r="D1031">
        <v>4.1999999999999997E-3</v>
      </c>
      <c r="E1031">
        <v>-7.3000000000000001E-3</v>
      </c>
      <c r="F1031">
        <v>3.0000000000000001E-3</v>
      </c>
    </row>
    <row r="1032" spans="1:6" x14ac:dyDescent="0.3">
      <c r="A1032" s="3">
        <v>43500</v>
      </c>
      <c r="B1032">
        <v>7.1999999999999998E-3</v>
      </c>
      <c r="C1032">
        <v>4.1999999999999997E-3</v>
      </c>
      <c r="D1032">
        <v>-4.5000000000000005E-3</v>
      </c>
      <c r="E1032">
        <v>1.8E-3</v>
      </c>
      <c r="F1032">
        <v>-2.0999999999999999E-3</v>
      </c>
    </row>
    <row r="1033" spans="1:6" x14ac:dyDescent="0.3">
      <c r="A1033" s="3">
        <v>43501</v>
      </c>
      <c r="B1033">
        <v>4.3E-3</v>
      </c>
      <c r="C1033">
        <v>-1.2999999999999999E-3</v>
      </c>
      <c r="D1033">
        <v>-6.0000000000000001E-3</v>
      </c>
      <c r="E1033">
        <v>6.0999999999999995E-3</v>
      </c>
      <c r="F1033">
        <v>-3.4000000000000002E-3</v>
      </c>
    </row>
    <row r="1034" spans="1:6" x14ac:dyDescent="0.3">
      <c r="A1034" s="3">
        <v>43502</v>
      </c>
      <c r="B1034">
        <v>-2.2000000000000001E-3</v>
      </c>
      <c r="C1034">
        <v>-2.9999999999999997E-4</v>
      </c>
      <c r="D1034">
        <v>5.9999999999999995E-4</v>
      </c>
      <c r="E1034">
        <v>-5.0000000000000001E-4</v>
      </c>
      <c r="F1034">
        <v>7.000000000000001E-4</v>
      </c>
    </row>
    <row r="1035" spans="1:6" x14ac:dyDescent="0.3">
      <c r="A1035" s="3">
        <v>43503</v>
      </c>
      <c r="B1035">
        <v>-9.300000000000001E-3</v>
      </c>
      <c r="C1035">
        <v>-1.4000000000000002E-3</v>
      </c>
      <c r="D1035">
        <v>3.9000000000000003E-3</v>
      </c>
      <c r="E1035">
        <v>5.4000000000000003E-3</v>
      </c>
      <c r="F1035">
        <v>3.0000000000000001E-3</v>
      </c>
    </row>
    <row r="1036" spans="1:6" x14ac:dyDescent="0.3">
      <c r="A1036" s="3">
        <v>43504</v>
      </c>
      <c r="B1036">
        <v>8.9999999999999998E-4</v>
      </c>
      <c r="C1036">
        <v>-8.0000000000000004E-4</v>
      </c>
      <c r="D1036">
        <v>-6.8000000000000005E-3</v>
      </c>
      <c r="E1036">
        <v>-3.4999999999999996E-3</v>
      </c>
      <c r="F1036">
        <v>-1.1999999999999999E-3</v>
      </c>
    </row>
    <row r="1037" spans="1:6" x14ac:dyDescent="0.3">
      <c r="A1037" s="3">
        <v>43507</v>
      </c>
      <c r="B1037">
        <v>1.4000000000000002E-3</v>
      </c>
      <c r="C1037">
        <v>6.7000000000000002E-3</v>
      </c>
      <c r="D1037">
        <v>2.2000000000000001E-3</v>
      </c>
      <c r="E1037">
        <v>-8.0000000000000004E-4</v>
      </c>
      <c r="F1037">
        <v>-2.9999999999999997E-4</v>
      </c>
    </row>
    <row r="1038" spans="1:6" x14ac:dyDescent="0.3">
      <c r="A1038" s="3">
        <v>43508</v>
      </c>
      <c r="B1038">
        <v>1.3600000000000001E-2</v>
      </c>
      <c r="C1038">
        <v>4.0000000000000002E-4</v>
      </c>
      <c r="D1038">
        <v>-1.7000000000000001E-3</v>
      </c>
      <c r="E1038">
        <v>-1.1999999999999999E-3</v>
      </c>
      <c r="F1038">
        <v>-2.8000000000000004E-3</v>
      </c>
    </row>
    <row r="1039" spans="1:6" x14ac:dyDescent="0.3">
      <c r="A1039" s="3">
        <v>43509</v>
      </c>
      <c r="B1039">
        <v>2.8000000000000004E-3</v>
      </c>
      <c r="C1039">
        <v>5.9999999999999995E-4</v>
      </c>
      <c r="D1039">
        <v>7.000000000000001E-4</v>
      </c>
      <c r="E1039">
        <v>1.1000000000000001E-3</v>
      </c>
      <c r="F1039">
        <v>2.2000000000000001E-3</v>
      </c>
    </row>
    <row r="1040" spans="1:6" x14ac:dyDescent="0.3">
      <c r="A1040" s="3">
        <v>43510</v>
      </c>
      <c r="B1040">
        <v>-2.0999999999999999E-3</v>
      </c>
      <c r="C1040">
        <v>5.1000000000000004E-3</v>
      </c>
      <c r="D1040">
        <v>-5.7999999999999996E-3</v>
      </c>
      <c r="E1040">
        <v>4.1999999999999997E-3</v>
      </c>
      <c r="F1040">
        <v>-1.8E-3</v>
      </c>
    </row>
    <row r="1041" spans="1:6" x14ac:dyDescent="0.3">
      <c r="A1041" s="3">
        <v>43511</v>
      </c>
      <c r="B1041">
        <v>1.1299999999999999E-2</v>
      </c>
      <c r="C1041">
        <v>3.8E-3</v>
      </c>
      <c r="D1041">
        <v>4.7999999999999996E-3</v>
      </c>
      <c r="E1041">
        <v>-2E-3</v>
      </c>
      <c r="F1041">
        <v>0</v>
      </c>
    </row>
    <row r="1042" spans="1:6" x14ac:dyDescent="0.3">
      <c r="A1042" s="3">
        <v>43515</v>
      </c>
      <c r="B1042">
        <v>1.9E-3</v>
      </c>
      <c r="C1042">
        <v>3.0000000000000001E-3</v>
      </c>
      <c r="D1042">
        <v>2.8000000000000004E-3</v>
      </c>
      <c r="E1042">
        <v>4.0000000000000002E-4</v>
      </c>
      <c r="F1042">
        <v>2.2000000000000001E-3</v>
      </c>
    </row>
    <row r="1043" spans="1:6" x14ac:dyDescent="0.3">
      <c r="A1043" s="3">
        <v>43516</v>
      </c>
      <c r="B1043">
        <v>1.9E-3</v>
      </c>
      <c r="C1043">
        <v>2.8999999999999998E-3</v>
      </c>
      <c r="D1043">
        <v>5.6000000000000008E-3</v>
      </c>
      <c r="E1043">
        <v>1E-4</v>
      </c>
      <c r="F1043">
        <v>-2.8000000000000004E-3</v>
      </c>
    </row>
    <row r="1044" spans="1:6" x14ac:dyDescent="0.3">
      <c r="A1044" s="3">
        <v>43517</v>
      </c>
      <c r="B1044">
        <v>-3.7000000000000002E-3</v>
      </c>
      <c r="C1044">
        <v>-2.9999999999999997E-4</v>
      </c>
      <c r="D1044">
        <v>-2.3E-3</v>
      </c>
      <c r="E1044">
        <v>5.7999999999999996E-3</v>
      </c>
      <c r="F1044">
        <v>1.4000000000000002E-3</v>
      </c>
    </row>
    <row r="1045" spans="1:6" x14ac:dyDescent="0.3">
      <c r="A1045" s="3">
        <v>43518</v>
      </c>
      <c r="B1045">
        <v>6.5000000000000006E-3</v>
      </c>
      <c r="C1045">
        <v>3.8E-3</v>
      </c>
      <c r="D1045">
        <v>-1.47E-2</v>
      </c>
      <c r="E1045">
        <v>2.8999999999999998E-3</v>
      </c>
      <c r="F1045">
        <v>-6.3E-3</v>
      </c>
    </row>
    <row r="1046" spans="1:6" x14ac:dyDescent="0.3">
      <c r="A1046" s="3">
        <v>43521</v>
      </c>
      <c r="B1046">
        <v>1.5E-3</v>
      </c>
      <c r="C1046">
        <v>-2.7000000000000001E-3</v>
      </c>
      <c r="D1046">
        <v>-1.8E-3</v>
      </c>
      <c r="E1046">
        <v>-8.6E-3</v>
      </c>
      <c r="F1046">
        <v>-5.0000000000000001E-3</v>
      </c>
    </row>
    <row r="1047" spans="1:6" x14ac:dyDescent="0.3">
      <c r="A1047" s="3">
        <v>43522</v>
      </c>
      <c r="B1047">
        <v>-1.6000000000000001E-3</v>
      </c>
      <c r="C1047">
        <v>-6.7000000000000002E-3</v>
      </c>
      <c r="D1047">
        <v>-3.2000000000000002E-3</v>
      </c>
      <c r="E1047">
        <v>8.9999999999999998E-4</v>
      </c>
      <c r="F1047">
        <v>-1.5E-3</v>
      </c>
    </row>
    <row r="1048" spans="1:6" x14ac:dyDescent="0.3">
      <c r="A1048" s="3">
        <v>43523</v>
      </c>
      <c r="B1048">
        <v>8.9999999999999998E-4</v>
      </c>
      <c r="C1048">
        <v>1.5E-3</v>
      </c>
      <c r="D1048">
        <v>-1.1999999999999999E-3</v>
      </c>
      <c r="E1048">
        <v>-6.8000000000000005E-3</v>
      </c>
      <c r="F1048">
        <v>-7.000000000000001E-4</v>
      </c>
    </row>
    <row r="1049" spans="1:6" x14ac:dyDescent="0.3">
      <c r="A1049" s="3">
        <v>43524</v>
      </c>
      <c r="B1049">
        <v>-3.0999999999999999E-3</v>
      </c>
      <c r="C1049">
        <v>-2.0000000000000001E-4</v>
      </c>
      <c r="D1049">
        <v>-2.5000000000000001E-3</v>
      </c>
      <c r="E1049">
        <v>2.8999999999999998E-3</v>
      </c>
      <c r="F1049">
        <v>1.6000000000000001E-3</v>
      </c>
    </row>
    <row r="1050" spans="1:6" x14ac:dyDescent="0.3">
      <c r="A1050" s="3">
        <v>43525</v>
      </c>
      <c r="B1050">
        <v>7.1999999999999998E-3</v>
      </c>
      <c r="C1050">
        <v>2.5000000000000001E-3</v>
      </c>
      <c r="D1050">
        <v>-4.0999999999999995E-3</v>
      </c>
      <c r="E1050">
        <v>-3.4999999999999996E-3</v>
      </c>
      <c r="F1050">
        <v>-1.8E-3</v>
      </c>
    </row>
    <row r="1051" spans="1:6" x14ac:dyDescent="0.3">
      <c r="A1051" s="3">
        <v>43528</v>
      </c>
      <c r="B1051">
        <v>-5.1999999999999998E-3</v>
      </c>
      <c r="C1051">
        <v>-3.8E-3</v>
      </c>
      <c r="D1051">
        <v>3.9000000000000003E-3</v>
      </c>
      <c r="E1051">
        <v>1.4000000000000002E-3</v>
      </c>
      <c r="F1051">
        <v>-8.9999999999999998E-4</v>
      </c>
    </row>
    <row r="1052" spans="1:6" x14ac:dyDescent="0.3">
      <c r="A1052" s="3">
        <v>43529</v>
      </c>
      <c r="B1052">
        <v>-1.7000000000000001E-3</v>
      </c>
      <c r="C1052">
        <v>-3.2000000000000002E-3</v>
      </c>
      <c r="D1052">
        <v>-2.3E-3</v>
      </c>
      <c r="E1052">
        <v>2.8000000000000004E-3</v>
      </c>
      <c r="F1052">
        <v>0</v>
      </c>
    </row>
    <row r="1053" spans="1:6" x14ac:dyDescent="0.3">
      <c r="A1053" s="3">
        <v>43530</v>
      </c>
      <c r="B1053">
        <v>-8.3999999999999995E-3</v>
      </c>
      <c r="C1053">
        <v>-1.23E-2</v>
      </c>
      <c r="D1053">
        <v>5.0000000000000001E-4</v>
      </c>
      <c r="E1053">
        <v>5.5000000000000005E-3</v>
      </c>
      <c r="F1053">
        <v>1.1999999999999999E-3</v>
      </c>
    </row>
    <row r="1054" spans="1:6" x14ac:dyDescent="0.3">
      <c r="A1054" s="3">
        <v>43531</v>
      </c>
      <c r="B1054">
        <v>-8.199999999999999E-3</v>
      </c>
      <c r="C1054">
        <v>-5.0000000000000001E-4</v>
      </c>
      <c r="D1054">
        <v>-3.4000000000000002E-3</v>
      </c>
      <c r="E1054">
        <v>-3.8E-3</v>
      </c>
      <c r="F1054">
        <v>1.2999999999999999E-3</v>
      </c>
    </row>
    <row r="1055" spans="1:6" x14ac:dyDescent="0.3">
      <c r="A1055" s="3">
        <v>43532</v>
      </c>
      <c r="B1055">
        <v>-2.2000000000000001E-3</v>
      </c>
      <c r="C1055">
        <v>7.000000000000001E-4</v>
      </c>
      <c r="D1055">
        <v>-1.4000000000000002E-3</v>
      </c>
      <c r="E1055">
        <v>-1.1999999999999999E-3</v>
      </c>
      <c r="F1055">
        <v>-2.7000000000000001E-3</v>
      </c>
    </row>
    <row r="1056" spans="1:6" x14ac:dyDescent="0.3">
      <c r="A1056" s="3">
        <v>43535</v>
      </c>
      <c r="B1056">
        <v>1.49E-2</v>
      </c>
      <c r="C1056">
        <v>2.7000000000000001E-3</v>
      </c>
      <c r="D1056">
        <v>-5.1999999999999998E-3</v>
      </c>
      <c r="E1056">
        <v>-2.8000000000000004E-3</v>
      </c>
      <c r="F1056">
        <v>-4.6999999999999993E-3</v>
      </c>
    </row>
    <row r="1057" spans="1:6" x14ac:dyDescent="0.3">
      <c r="A1057" s="3">
        <v>43536</v>
      </c>
      <c r="B1057">
        <v>2.5000000000000001E-3</v>
      </c>
      <c r="C1057">
        <v>-3.0999999999999999E-3</v>
      </c>
      <c r="D1057">
        <v>-8.0000000000000004E-4</v>
      </c>
      <c r="E1057">
        <v>-4.3E-3</v>
      </c>
      <c r="F1057">
        <v>2.0000000000000001E-4</v>
      </c>
    </row>
    <row r="1058" spans="1:6" x14ac:dyDescent="0.3">
      <c r="A1058" s="3">
        <v>43537</v>
      </c>
      <c r="B1058">
        <v>6.8000000000000005E-3</v>
      </c>
      <c r="C1058">
        <v>-3.2000000000000002E-3</v>
      </c>
      <c r="D1058">
        <v>8.0000000000000004E-4</v>
      </c>
      <c r="E1058">
        <v>-1.7000000000000001E-3</v>
      </c>
      <c r="F1058">
        <v>1.8E-3</v>
      </c>
    </row>
    <row r="1059" spans="1:6" x14ac:dyDescent="0.3">
      <c r="A1059" s="3">
        <v>43538</v>
      </c>
      <c r="B1059">
        <v>-1E-3</v>
      </c>
      <c r="C1059">
        <v>-3.8E-3</v>
      </c>
      <c r="D1059">
        <v>3.0999999999999999E-3</v>
      </c>
      <c r="E1059">
        <v>-1.5E-3</v>
      </c>
      <c r="F1059">
        <v>-1.1999999999999999E-3</v>
      </c>
    </row>
    <row r="1060" spans="1:6" x14ac:dyDescent="0.3">
      <c r="A1060" s="3">
        <v>43539</v>
      </c>
      <c r="B1060">
        <v>4.7999999999999996E-3</v>
      </c>
      <c r="C1060">
        <v>-2.3E-3</v>
      </c>
      <c r="D1060">
        <v>-2.3999999999999998E-3</v>
      </c>
      <c r="E1060">
        <v>-4.0000000000000002E-4</v>
      </c>
      <c r="F1060">
        <v>-1.9E-3</v>
      </c>
    </row>
    <row r="1061" spans="1:6" x14ac:dyDescent="0.3">
      <c r="A1061" s="3">
        <v>43542</v>
      </c>
      <c r="B1061">
        <v>4.5999999999999999E-3</v>
      </c>
      <c r="C1061">
        <v>2.3E-3</v>
      </c>
      <c r="D1061">
        <v>4.4000000000000003E-3</v>
      </c>
      <c r="E1061">
        <v>-8.0000000000000004E-4</v>
      </c>
      <c r="F1061">
        <v>-8.0000000000000004E-4</v>
      </c>
    </row>
    <row r="1062" spans="1:6" x14ac:dyDescent="0.3">
      <c r="A1062" s="3">
        <v>43543</v>
      </c>
      <c r="B1062">
        <v>-8.9999999999999998E-4</v>
      </c>
      <c r="C1062">
        <v>-4.6999999999999993E-3</v>
      </c>
      <c r="D1062">
        <v>-9.0000000000000011E-3</v>
      </c>
      <c r="E1062">
        <v>1E-4</v>
      </c>
      <c r="F1062">
        <v>-7.000000000000001E-4</v>
      </c>
    </row>
    <row r="1063" spans="1:6" x14ac:dyDescent="0.3">
      <c r="A1063" s="3">
        <v>43544</v>
      </c>
      <c r="B1063">
        <v>-3.9000000000000003E-3</v>
      </c>
      <c r="C1063">
        <v>-2.2000000000000001E-3</v>
      </c>
      <c r="D1063">
        <v>-1.03E-2</v>
      </c>
      <c r="E1063">
        <v>-2.0999999999999999E-3</v>
      </c>
      <c r="F1063">
        <v>-2.3999999999999998E-3</v>
      </c>
    </row>
    <row r="1064" spans="1:6" x14ac:dyDescent="0.3">
      <c r="A1064" s="3">
        <v>43545</v>
      </c>
      <c r="B1064">
        <v>1.11E-2</v>
      </c>
      <c r="C1064">
        <v>1.7000000000000001E-3</v>
      </c>
      <c r="D1064">
        <v>-1.2199999999999999E-2</v>
      </c>
      <c r="E1064">
        <v>3.0999999999999999E-3</v>
      </c>
      <c r="F1064">
        <v>-3.4000000000000002E-3</v>
      </c>
    </row>
    <row r="1065" spans="1:6" x14ac:dyDescent="0.3">
      <c r="A1065" s="3">
        <v>43546</v>
      </c>
      <c r="B1065">
        <v>-2.1700000000000001E-2</v>
      </c>
      <c r="C1065">
        <v>-1.5600000000000001E-2</v>
      </c>
      <c r="D1065">
        <v>-5.9999999999999995E-4</v>
      </c>
      <c r="E1065">
        <v>5.3E-3</v>
      </c>
      <c r="F1065">
        <v>6.0000000000000001E-3</v>
      </c>
    </row>
    <row r="1066" spans="1:6" x14ac:dyDescent="0.3">
      <c r="A1066" s="3">
        <v>43549</v>
      </c>
      <c r="B1066">
        <v>-5.0000000000000001E-4</v>
      </c>
      <c r="C1066">
        <v>6.0000000000000001E-3</v>
      </c>
      <c r="D1066">
        <v>-2.7000000000000001E-3</v>
      </c>
      <c r="E1066">
        <v>1.9E-3</v>
      </c>
      <c r="F1066">
        <v>2.9999999999999997E-4</v>
      </c>
    </row>
    <row r="1067" spans="1:6" x14ac:dyDescent="0.3">
      <c r="A1067" s="3">
        <v>43550</v>
      </c>
      <c r="B1067">
        <v>7.6E-3</v>
      </c>
      <c r="C1067">
        <v>2.3E-3</v>
      </c>
      <c r="D1067">
        <v>4.5999999999999999E-3</v>
      </c>
      <c r="E1067">
        <v>4.0000000000000002E-4</v>
      </c>
      <c r="F1067">
        <v>1.9E-3</v>
      </c>
    </row>
    <row r="1068" spans="1:6" x14ac:dyDescent="0.3">
      <c r="A1068" s="3">
        <v>43551</v>
      </c>
      <c r="B1068">
        <v>-5.0000000000000001E-3</v>
      </c>
      <c r="C1068">
        <v>1.7000000000000001E-3</v>
      </c>
      <c r="D1068">
        <v>5.0000000000000001E-3</v>
      </c>
      <c r="E1068">
        <v>7.6E-3</v>
      </c>
      <c r="F1068">
        <v>8.9999999999999998E-4</v>
      </c>
    </row>
    <row r="1069" spans="1:6" x14ac:dyDescent="0.3">
      <c r="A1069" s="3">
        <v>43552</v>
      </c>
      <c r="B1069">
        <v>4.0000000000000001E-3</v>
      </c>
      <c r="C1069">
        <v>3.5999999999999999E-3</v>
      </c>
      <c r="D1069">
        <v>2.0000000000000001E-4</v>
      </c>
      <c r="E1069">
        <v>-1.4000000000000002E-3</v>
      </c>
      <c r="F1069">
        <v>-7.000000000000001E-4</v>
      </c>
    </row>
    <row r="1070" spans="1:6" x14ac:dyDescent="0.3">
      <c r="A1070" s="3">
        <v>43553</v>
      </c>
      <c r="B1070">
        <v>6.6E-3</v>
      </c>
      <c r="C1070">
        <v>-2.7000000000000001E-3</v>
      </c>
      <c r="D1070">
        <v>-9.1000000000000004E-3</v>
      </c>
      <c r="E1070">
        <v>2E-3</v>
      </c>
      <c r="F1070">
        <v>-1.7000000000000001E-3</v>
      </c>
    </row>
    <row r="1071" spans="1:6" x14ac:dyDescent="0.3">
      <c r="A1071" s="3">
        <v>43556</v>
      </c>
      <c r="B1071">
        <v>1.1899999999999999E-2</v>
      </c>
      <c r="C1071">
        <v>-1.9E-3</v>
      </c>
      <c r="D1071">
        <v>9.7999999999999997E-3</v>
      </c>
      <c r="E1071">
        <v>-5.0000000000000001E-4</v>
      </c>
      <c r="F1071">
        <v>-3.2000000000000002E-3</v>
      </c>
    </row>
    <row r="1072" spans="1:6" x14ac:dyDescent="0.3">
      <c r="A1072" s="3">
        <v>43557</v>
      </c>
      <c r="B1072">
        <v>-5.0000000000000001E-4</v>
      </c>
      <c r="C1072">
        <v>-1.8E-3</v>
      </c>
      <c r="D1072">
        <v>-4.4000000000000003E-3</v>
      </c>
      <c r="E1072">
        <v>-3.8E-3</v>
      </c>
      <c r="F1072">
        <v>-5.0000000000000001E-3</v>
      </c>
    </row>
    <row r="1073" spans="1:6" x14ac:dyDescent="0.3">
      <c r="A1073" s="3">
        <v>43558</v>
      </c>
      <c r="B1073">
        <v>2.7000000000000001E-3</v>
      </c>
      <c r="C1073">
        <v>2.3999999999999998E-3</v>
      </c>
      <c r="D1073">
        <v>-3.9000000000000003E-3</v>
      </c>
      <c r="E1073">
        <v>1.4000000000000002E-3</v>
      </c>
      <c r="F1073">
        <v>-4.0000000000000001E-3</v>
      </c>
    </row>
    <row r="1074" spans="1:6" x14ac:dyDescent="0.3">
      <c r="A1074" s="3">
        <v>43559</v>
      </c>
      <c r="B1074">
        <v>1.9E-3</v>
      </c>
      <c r="C1074">
        <v>3.4999999999999996E-3</v>
      </c>
      <c r="D1074">
        <v>9.300000000000001E-3</v>
      </c>
      <c r="E1074">
        <v>6.3E-3</v>
      </c>
      <c r="F1074">
        <v>2.2000000000000001E-3</v>
      </c>
    </row>
    <row r="1075" spans="1:6" x14ac:dyDescent="0.3">
      <c r="A1075" s="3">
        <v>43560</v>
      </c>
      <c r="B1075">
        <v>5.1999999999999998E-3</v>
      </c>
      <c r="C1075">
        <v>4.8999999999999998E-3</v>
      </c>
      <c r="D1075">
        <v>-8.0000000000000004E-4</v>
      </c>
      <c r="E1075">
        <v>-2.7000000000000001E-3</v>
      </c>
      <c r="F1075">
        <v>1E-3</v>
      </c>
    </row>
    <row r="1076" spans="1:6" x14ac:dyDescent="0.3">
      <c r="A1076" s="3">
        <v>43563</v>
      </c>
      <c r="B1076">
        <v>8.0000000000000004E-4</v>
      </c>
      <c r="C1076">
        <v>-3.0000000000000001E-3</v>
      </c>
      <c r="D1076">
        <v>1E-3</v>
      </c>
      <c r="E1076">
        <v>2.7000000000000001E-3</v>
      </c>
      <c r="F1076">
        <v>-2.9999999999999997E-4</v>
      </c>
    </row>
    <row r="1077" spans="1:6" x14ac:dyDescent="0.3">
      <c r="A1077" s="3">
        <v>43564</v>
      </c>
      <c r="B1077">
        <v>-6.5000000000000006E-3</v>
      </c>
      <c r="C1077">
        <v>-6.0000000000000001E-3</v>
      </c>
      <c r="D1077">
        <v>-1.4000000000000002E-3</v>
      </c>
      <c r="E1077">
        <v>1.2999999999999999E-3</v>
      </c>
      <c r="F1077">
        <v>-2.9999999999999997E-4</v>
      </c>
    </row>
    <row r="1078" spans="1:6" x14ac:dyDescent="0.3">
      <c r="A1078" s="3">
        <v>43565</v>
      </c>
      <c r="B1078">
        <v>4.7999999999999996E-3</v>
      </c>
      <c r="C1078">
        <v>9.3999999999999986E-3</v>
      </c>
      <c r="D1078">
        <v>-1E-3</v>
      </c>
      <c r="E1078">
        <v>1.1000000000000001E-3</v>
      </c>
      <c r="F1078">
        <v>-1.2999999999999999E-3</v>
      </c>
    </row>
    <row r="1079" spans="1:6" x14ac:dyDescent="0.3">
      <c r="A1079" s="3">
        <v>43566</v>
      </c>
      <c r="B1079">
        <v>0</v>
      </c>
      <c r="C1079">
        <v>-2.7000000000000001E-3</v>
      </c>
      <c r="D1079">
        <v>4.0000000000000001E-3</v>
      </c>
      <c r="E1079">
        <v>4.0000000000000002E-4</v>
      </c>
      <c r="F1079">
        <v>1.1000000000000001E-3</v>
      </c>
    </row>
    <row r="1080" spans="1:6" x14ac:dyDescent="0.3">
      <c r="A1080" s="3">
        <v>43567</v>
      </c>
      <c r="B1080">
        <v>6.5000000000000006E-3</v>
      </c>
      <c r="C1080">
        <v>-3.5999999999999999E-3</v>
      </c>
      <c r="D1080">
        <v>6.4000000000000003E-3</v>
      </c>
      <c r="E1080">
        <v>5.1999999999999998E-3</v>
      </c>
      <c r="F1080">
        <v>-2.5999999999999999E-3</v>
      </c>
    </row>
    <row r="1081" spans="1:6" x14ac:dyDescent="0.3">
      <c r="A1081" s="3">
        <v>43570</v>
      </c>
      <c r="B1081">
        <v>-8.9999999999999998E-4</v>
      </c>
      <c r="C1081">
        <v>-2.5000000000000001E-3</v>
      </c>
      <c r="D1081">
        <v>-5.3E-3</v>
      </c>
      <c r="E1081">
        <v>3.4999999999999996E-3</v>
      </c>
      <c r="F1081">
        <v>8.0000000000000004E-4</v>
      </c>
    </row>
    <row r="1082" spans="1:6" x14ac:dyDescent="0.3">
      <c r="A1082" s="3">
        <v>43571</v>
      </c>
      <c r="B1082">
        <v>1.2999999999999999E-3</v>
      </c>
      <c r="C1082">
        <v>2.3E-3</v>
      </c>
      <c r="D1082">
        <v>6.9999999999999993E-3</v>
      </c>
      <c r="E1082">
        <v>-7.000000000000001E-4</v>
      </c>
      <c r="F1082">
        <v>-1.2999999999999999E-3</v>
      </c>
    </row>
    <row r="1083" spans="1:6" x14ac:dyDescent="0.3">
      <c r="A1083" s="3">
        <v>43572</v>
      </c>
      <c r="B1083">
        <v>-3.2000000000000002E-3</v>
      </c>
      <c r="C1083">
        <v>-5.3E-3</v>
      </c>
      <c r="D1083">
        <v>8.3999999999999995E-3</v>
      </c>
      <c r="E1083">
        <v>1.1299999999999999E-2</v>
      </c>
      <c r="F1083">
        <v>-2.7000000000000001E-3</v>
      </c>
    </row>
    <row r="1084" spans="1:6" x14ac:dyDescent="0.3">
      <c r="A1084" s="3">
        <v>43573</v>
      </c>
      <c r="B1084">
        <v>1.1000000000000001E-3</v>
      </c>
      <c r="C1084">
        <v>-2.8000000000000004E-3</v>
      </c>
      <c r="D1084">
        <v>-5.1000000000000004E-3</v>
      </c>
      <c r="E1084">
        <v>1.5E-3</v>
      </c>
      <c r="F1084">
        <v>-2E-3</v>
      </c>
    </row>
    <row r="1085" spans="1:6" x14ac:dyDescent="0.3">
      <c r="A1085" s="3">
        <v>43577</v>
      </c>
      <c r="B1085">
        <v>1.1000000000000001E-3</v>
      </c>
      <c r="C1085">
        <v>-4.8999999999999998E-3</v>
      </c>
      <c r="D1085">
        <v>-5.5000000000000005E-3</v>
      </c>
      <c r="E1085">
        <v>-5.1999999999999998E-3</v>
      </c>
      <c r="F1085">
        <v>-1.7000000000000001E-3</v>
      </c>
    </row>
    <row r="1086" spans="1:6" x14ac:dyDescent="0.3">
      <c r="A1086" s="3">
        <v>43578</v>
      </c>
      <c r="B1086">
        <v>9.7000000000000003E-3</v>
      </c>
      <c r="C1086">
        <v>6.7000000000000002E-3</v>
      </c>
      <c r="D1086">
        <v>-4.7999999999999996E-3</v>
      </c>
      <c r="E1086">
        <v>-1.1000000000000001E-3</v>
      </c>
      <c r="F1086">
        <v>-4.3E-3</v>
      </c>
    </row>
    <row r="1087" spans="1:6" x14ac:dyDescent="0.3">
      <c r="A1087" s="3">
        <v>43579</v>
      </c>
      <c r="B1087">
        <v>-2.3E-3</v>
      </c>
      <c r="C1087">
        <v>3.2000000000000002E-3</v>
      </c>
      <c r="D1087">
        <v>-7.000000000000001E-4</v>
      </c>
      <c r="E1087">
        <v>6.0000000000000001E-3</v>
      </c>
      <c r="F1087">
        <v>5.0000000000000001E-4</v>
      </c>
    </row>
    <row r="1088" spans="1:6" x14ac:dyDescent="0.3">
      <c r="A1088" s="3">
        <v>43580</v>
      </c>
      <c r="B1088">
        <v>-1.4000000000000002E-3</v>
      </c>
      <c r="C1088">
        <v>-8.199999999999999E-3</v>
      </c>
      <c r="D1088">
        <v>-1.9E-3</v>
      </c>
      <c r="E1088">
        <v>-6.5000000000000006E-3</v>
      </c>
      <c r="F1088">
        <v>-2.8999999999999998E-3</v>
      </c>
    </row>
    <row r="1089" spans="1:6" x14ac:dyDescent="0.3">
      <c r="A1089" s="3">
        <v>43581</v>
      </c>
      <c r="B1089">
        <v>5.3E-3</v>
      </c>
      <c r="C1089">
        <v>4.7999999999999996E-3</v>
      </c>
      <c r="D1089">
        <v>7.000000000000001E-4</v>
      </c>
      <c r="E1089">
        <v>-8.0000000000000004E-4</v>
      </c>
      <c r="F1089">
        <v>-1.8E-3</v>
      </c>
    </row>
    <row r="1090" spans="1:6" x14ac:dyDescent="0.3">
      <c r="A1090" s="3">
        <v>43584</v>
      </c>
      <c r="B1090">
        <v>1.8E-3</v>
      </c>
      <c r="C1090">
        <v>1.6000000000000001E-3</v>
      </c>
      <c r="D1090">
        <v>6.5000000000000006E-3</v>
      </c>
      <c r="E1090">
        <v>-3.7000000000000002E-3</v>
      </c>
      <c r="F1090">
        <v>-1.5E-3</v>
      </c>
    </row>
    <row r="1091" spans="1:6" x14ac:dyDescent="0.3">
      <c r="A1091" s="3">
        <v>43585</v>
      </c>
      <c r="B1091">
        <v>-4.0000000000000002E-4</v>
      </c>
      <c r="C1091">
        <v>-6.8999999999999999E-3</v>
      </c>
      <c r="D1091">
        <v>2.8000000000000004E-3</v>
      </c>
      <c r="E1091">
        <v>1E-3</v>
      </c>
      <c r="F1091">
        <v>6.8999999999999999E-3</v>
      </c>
    </row>
    <row r="1092" spans="1:6" x14ac:dyDescent="0.3">
      <c r="A1092" s="3">
        <v>43586</v>
      </c>
      <c r="B1092">
        <v>-8.3000000000000001E-3</v>
      </c>
      <c r="C1092">
        <v>-7.000000000000001E-4</v>
      </c>
      <c r="D1092">
        <v>-2.9999999999999997E-4</v>
      </c>
      <c r="E1092">
        <v>3.4999999999999996E-3</v>
      </c>
      <c r="F1092">
        <v>-7.000000000000001E-4</v>
      </c>
    </row>
    <row r="1093" spans="1:6" x14ac:dyDescent="0.3">
      <c r="A1093" s="3">
        <v>43587</v>
      </c>
      <c r="B1093">
        <v>-1.6000000000000001E-3</v>
      </c>
      <c r="C1093">
        <v>4.5999999999999999E-3</v>
      </c>
      <c r="D1093">
        <v>-2.7000000000000001E-3</v>
      </c>
      <c r="E1093">
        <v>0</v>
      </c>
      <c r="F1093">
        <v>5.9999999999999995E-4</v>
      </c>
    </row>
    <row r="1094" spans="1:6" x14ac:dyDescent="0.3">
      <c r="A1094" s="3">
        <v>43588</v>
      </c>
      <c r="B1094">
        <v>1.1299999999999999E-2</v>
      </c>
      <c r="C1094">
        <v>9.300000000000001E-3</v>
      </c>
      <c r="D1094">
        <v>-2.7000000000000001E-3</v>
      </c>
      <c r="E1094">
        <v>0</v>
      </c>
      <c r="F1094">
        <v>-3.4000000000000002E-3</v>
      </c>
    </row>
    <row r="1095" spans="1:6" x14ac:dyDescent="0.3">
      <c r="A1095" s="3">
        <v>43591</v>
      </c>
      <c r="B1095">
        <v>-3.9000000000000003E-3</v>
      </c>
      <c r="C1095">
        <v>5.7999999999999996E-3</v>
      </c>
      <c r="D1095">
        <v>-4.1999999999999997E-3</v>
      </c>
      <c r="E1095">
        <v>1E-4</v>
      </c>
      <c r="F1095">
        <v>7.000000000000001E-4</v>
      </c>
    </row>
    <row r="1096" spans="1:6" x14ac:dyDescent="0.3">
      <c r="A1096" s="3">
        <v>43592</v>
      </c>
      <c r="B1096">
        <v>-1.6899999999999998E-2</v>
      </c>
      <c r="C1096">
        <v>-2.7000000000000001E-3</v>
      </c>
      <c r="D1096">
        <v>5.0000000000000001E-3</v>
      </c>
      <c r="E1096">
        <v>2.0000000000000001E-4</v>
      </c>
      <c r="F1096">
        <v>3.0999999999999999E-3</v>
      </c>
    </row>
    <row r="1097" spans="1:6" x14ac:dyDescent="0.3">
      <c r="A1097" s="3">
        <v>43593</v>
      </c>
      <c r="B1097">
        <v>-2.2000000000000001E-3</v>
      </c>
      <c r="C1097">
        <v>-2.0999999999999999E-3</v>
      </c>
      <c r="D1097">
        <v>-3.2000000000000002E-3</v>
      </c>
      <c r="E1097">
        <v>-4.0000000000000002E-4</v>
      </c>
      <c r="F1097">
        <v>1.8E-3</v>
      </c>
    </row>
    <row r="1098" spans="1:6" x14ac:dyDescent="0.3">
      <c r="A1098" s="3">
        <v>43594</v>
      </c>
      <c r="B1098">
        <v>-2.8000000000000004E-3</v>
      </c>
      <c r="C1098">
        <v>5.9999999999999995E-4</v>
      </c>
      <c r="D1098">
        <v>1.1000000000000001E-3</v>
      </c>
      <c r="E1098">
        <v>-3.7000000000000002E-3</v>
      </c>
      <c r="F1098">
        <v>1E-4</v>
      </c>
    </row>
    <row r="1099" spans="1:6" x14ac:dyDescent="0.3">
      <c r="A1099" s="3">
        <v>43595</v>
      </c>
      <c r="B1099">
        <v>3.4999999999999996E-3</v>
      </c>
      <c r="C1099">
        <v>-3.3E-3</v>
      </c>
      <c r="D1099">
        <v>7.000000000000001E-4</v>
      </c>
      <c r="E1099">
        <v>-1.1000000000000001E-3</v>
      </c>
      <c r="F1099">
        <v>2.5000000000000001E-3</v>
      </c>
    </row>
    <row r="1100" spans="1:6" x14ac:dyDescent="0.3">
      <c r="A1100" s="3">
        <v>43598</v>
      </c>
      <c r="B1100">
        <v>-2.6699999999999998E-2</v>
      </c>
      <c r="C1100">
        <v>-6.8000000000000005E-3</v>
      </c>
      <c r="D1100">
        <v>2.8999999999999998E-3</v>
      </c>
      <c r="E1100">
        <v>2.3E-3</v>
      </c>
      <c r="F1100">
        <v>8.199999999999999E-3</v>
      </c>
    </row>
    <row r="1101" spans="1:6" x14ac:dyDescent="0.3">
      <c r="A1101" s="3">
        <v>43599</v>
      </c>
      <c r="B1101">
        <v>9.300000000000001E-3</v>
      </c>
      <c r="C1101">
        <v>3.4000000000000002E-3</v>
      </c>
      <c r="D1101">
        <v>-2.0000000000000001E-4</v>
      </c>
      <c r="E1101">
        <v>-5.5000000000000005E-3</v>
      </c>
      <c r="F1101">
        <v>0</v>
      </c>
    </row>
    <row r="1102" spans="1:6" x14ac:dyDescent="0.3">
      <c r="A1102" s="3">
        <v>43600</v>
      </c>
      <c r="B1102">
        <v>5.8999999999999999E-3</v>
      </c>
      <c r="C1102">
        <v>-1E-3</v>
      </c>
      <c r="D1102">
        <v>-9.5999999999999992E-3</v>
      </c>
      <c r="E1102">
        <v>1.2999999999999999E-3</v>
      </c>
      <c r="F1102">
        <v>-2.8000000000000004E-3</v>
      </c>
    </row>
    <row r="1103" spans="1:6" x14ac:dyDescent="0.3">
      <c r="A1103" s="3">
        <v>43601</v>
      </c>
      <c r="B1103">
        <v>9.1000000000000004E-3</v>
      </c>
      <c r="C1103">
        <v>-4.5000000000000005E-3</v>
      </c>
      <c r="D1103">
        <v>-3.0999999999999999E-3</v>
      </c>
      <c r="E1103">
        <v>-1.5E-3</v>
      </c>
      <c r="F1103">
        <v>-2.3999999999999998E-3</v>
      </c>
    </row>
    <row r="1104" spans="1:6" x14ac:dyDescent="0.3">
      <c r="A1104" s="3">
        <v>43602</v>
      </c>
      <c r="B1104">
        <v>-7.3000000000000001E-3</v>
      </c>
      <c r="C1104">
        <v>-7.6E-3</v>
      </c>
      <c r="D1104">
        <v>2.8999999999999998E-3</v>
      </c>
      <c r="E1104">
        <v>5.0000000000000001E-4</v>
      </c>
      <c r="F1104">
        <v>3.2000000000000002E-3</v>
      </c>
    </row>
    <row r="1105" spans="1:6" x14ac:dyDescent="0.3">
      <c r="A1105" s="3">
        <v>43605</v>
      </c>
      <c r="B1105">
        <v>-6.5000000000000006E-3</v>
      </c>
      <c r="C1105">
        <v>-1.1000000000000001E-3</v>
      </c>
      <c r="D1105">
        <v>7.1999999999999998E-3</v>
      </c>
      <c r="E1105">
        <v>7.000000000000001E-4</v>
      </c>
      <c r="F1105">
        <v>4.3E-3</v>
      </c>
    </row>
    <row r="1106" spans="1:6" x14ac:dyDescent="0.3">
      <c r="A1106" s="3">
        <v>43606</v>
      </c>
      <c r="B1106">
        <v>9.0000000000000011E-3</v>
      </c>
      <c r="C1106">
        <v>4.4000000000000003E-3</v>
      </c>
      <c r="D1106">
        <v>-3.4999999999999996E-3</v>
      </c>
      <c r="E1106">
        <v>-1.4000000000000002E-3</v>
      </c>
      <c r="F1106">
        <v>-1.9E-3</v>
      </c>
    </row>
    <row r="1107" spans="1:6" x14ac:dyDescent="0.3">
      <c r="A1107" s="3">
        <v>43607</v>
      </c>
      <c r="B1107">
        <v>-4.0000000000000001E-3</v>
      </c>
      <c r="C1107">
        <v>-6.5000000000000006E-3</v>
      </c>
      <c r="D1107">
        <v>-6.0000000000000001E-3</v>
      </c>
      <c r="E1107">
        <v>-1.4000000000000002E-3</v>
      </c>
      <c r="F1107">
        <v>2E-3</v>
      </c>
    </row>
    <row r="1108" spans="1:6" x14ac:dyDescent="0.3">
      <c r="A1108" s="3">
        <v>43608</v>
      </c>
      <c r="B1108">
        <v>-1.37E-2</v>
      </c>
      <c r="C1108">
        <v>-7.0999999999999995E-3</v>
      </c>
      <c r="D1108">
        <v>-2.7000000000000001E-3</v>
      </c>
      <c r="E1108">
        <v>3.0000000000000001E-3</v>
      </c>
      <c r="F1108">
        <v>2.8000000000000004E-3</v>
      </c>
    </row>
    <row r="1109" spans="1:6" x14ac:dyDescent="0.3">
      <c r="A1109" s="3">
        <v>43609</v>
      </c>
      <c r="B1109">
        <v>2.3E-3</v>
      </c>
      <c r="C1109">
        <v>5.1000000000000004E-3</v>
      </c>
      <c r="D1109">
        <v>3.0999999999999999E-3</v>
      </c>
      <c r="E1109">
        <v>-5.0000000000000001E-3</v>
      </c>
      <c r="F1109">
        <v>-2.9999999999999997E-4</v>
      </c>
    </row>
    <row r="1110" spans="1:6" x14ac:dyDescent="0.3">
      <c r="A1110" s="3">
        <v>43613</v>
      </c>
      <c r="B1110">
        <v>-7.8000000000000005E-3</v>
      </c>
      <c r="C1110">
        <v>2.0999999999999999E-3</v>
      </c>
      <c r="D1110">
        <v>-6.3E-3</v>
      </c>
      <c r="E1110">
        <v>2.0000000000000001E-4</v>
      </c>
      <c r="F1110">
        <v>-2.5999999999999999E-3</v>
      </c>
    </row>
    <row r="1111" spans="1:6" x14ac:dyDescent="0.3">
      <c r="A1111" s="3">
        <v>43614</v>
      </c>
      <c r="B1111">
        <v>-7.0999999999999995E-3</v>
      </c>
      <c r="C1111">
        <v>-2.5000000000000001E-3</v>
      </c>
      <c r="D1111">
        <v>4.1999999999999997E-3</v>
      </c>
      <c r="E1111">
        <v>-1.8E-3</v>
      </c>
      <c r="F1111">
        <v>-1E-4</v>
      </c>
    </row>
    <row r="1112" spans="1:6" x14ac:dyDescent="0.3">
      <c r="A1112" s="3">
        <v>43615</v>
      </c>
      <c r="B1112">
        <v>1.4000000000000002E-3</v>
      </c>
      <c r="C1112">
        <v>-3.9000000000000003E-3</v>
      </c>
      <c r="D1112">
        <v>-7.7000000000000002E-3</v>
      </c>
      <c r="E1112">
        <v>2.7000000000000001E-3</v>
      </c>
      <c r="F1112">
        <v>-4.0000000000000002E-4</v>
      </c>
    </row>
    <row r="1113" spans="1:6" x14ac:dyDescent="0.3">
      <c r="A1113" s="3">
        <v>43616</v>
      </c>
      <c r="B1113">
        <v>-1.37E-2</v>
      </c>
      <c r="C1113">
        <v>-2.3E-3</v>
      </c>
      <c r="D1113">
        <v>-1E-3</v>
      </c>
      <c r="E1113">
        <v>1E-4</v>
      </c>
      <c r="F1113">
        <v>4.0999999999999995E-3</v>
      </c>
    </row>
    <row r="1114" spans="1:6" x14ac:dyDescent="0.3">
      <c r="A1114" s="3">
        <v>43619</v>
      </c>
      <c r="B1114">
        <v>-4.0000000000000001E-3</v>
      </c>
      <c r="C1114">
        <v>5.6999999999999993E-3</v>
      </c>
      <c r="D1114">
        <v>1.6500000000000001E-2</v>
      </c>
      <c r="E1114">
        <v>2.8000000000000004E-3</v>
      </c>
      <c r="F1114">
        <v>1.3899999999999999E-2</v>
      </c>
    </row>
    <row r="1115" spans="1:6" x14ac:dyDescent="0.3">
      <c r="A1115" s="3">
        <v>43620</v>
      </c>
      <c r="B1115">
        <v>2.3300000000000001E-2</v>
      </c>
      <c r="C1115">
        <v>4.8999999999999998E-3</v>
      </c>
      <c r="D1115">
        <v>-2.0000000000000001E-4</v>
      </c>
      <c r="E1115">
        <v>2.8999999999999998E-3</v>
      </c>
      <c r="F1115">
        <v>-4.7999999999999996E-3</v>
      </c>
    </row>
    <row r="1116" spans="1:6" x14ac:dyDescent="0.3">
      <c r="A1116" s="3">
        <v>43621</v>
      </c>
      <c r="B1116">
        <v>6.9999999999999993E-3</v>
      </c>
      <c r="C1116">
        <v>-1.0700000000000001E-2</v>
      </c>
      <c r="D1116">
        <v>-9.7000000000000003E-3</v>
      </c>
      <c r="E1116">
        <v>5.9999999999999995E-4</v>
      </c>
      <c r="F1116">
        <v>-2E-3</v>
      </c>
    </row>
    <row r="1117" spans="1:6" x14ac:dyDescent="0.3">
      <c r="A1117" s="3">
        <v>43622</v>
      </c>
      <c r="B1117">
        <v>5.5000000000000005E-3</v>
      </c>
      <c r="C1117">
        <v>-1.0800000000000001E-2</v>
      </c>
      <c r="D1117">
        <v>1E-4</v>
      </c>
      <c r="E1117">
        <v>5.9999999999999995E-4</v>
      </c>
      <c r="F1117">
        <v>-5.9999999999999995E-4</v>
      </c>
    </row>
    <row r="1118" spans="1:6" x14ac:dyDescent="0.3">
      <c r="A1118" s="3">
        <v>43623</v>
      </c>
      <c r="B1118">
        <v>1.04E-2</v>
      </c>
      <c r="C1118">
        <v>-1.4000000000000002E-3</v>
      </c>
      <c r="D1118">
        <v>-1.2E-2</v>
      </c>
      <c r="E1118">
        <v>3.4999999999999996E-3</v>
      </c>
      <c r="F1118">
        <v>-6.5000000000000006E-3</v>
      </c>
    </row>
    <row r="1119" spans="1:6" x14ac:dyDescent="0.3">
      <c r="A1119" s="3">
        <v>43626</v>
      </c>
      <c r="B1119">
        <v>5.3E-3</v>
      </c>
      <c r="C1119">
        <v>2.0000000000000001E-4</v>
      </c>
      <c r="D1119">
        <v>8.9999999999999998E-4</v>
      </c>
      <c r="E1119">
        <v>4.0000000000000001E-3</v>
      </c>
      <c r="F1119">
        <v>-3.4999999999999996E-3</v>
      </c>
    </row>
    <row r="1120" spans="1:6" x14ac:dyDescent="0.3">
      <c r="A1120" s="3">
        <v>43627</v>
      </c>
      <c r="B1120">
        <v>-1.1999999999999999E-3</v>
      </c>
      <c r="C1120">
        <v>-2E-3</v>
      </c>
      <c r="D1120">
        <v>5.5000000000000005E-3</v>
      </c>
      <c r="E1120">
        <v>4.6999999999999993E-3</v>
      </c>
      <c r="F1120">
        <v>1.8E-3</v>
      </c>
    </row>
    <row r="1121" spans="1:6" x14ac:dyDescent="0.3">
      <c r="A1121" s="3">
        <v>43628</v>
      </c>
      <c r="B1121">
        <v>-2E-3</v>
      </c>
      <c r="C1121">
        <v>2.8999999999999998E-3</v>
      </c>
      <c r="D1121">
        <v>-9.8999999999999991E-3</v>
      </c>
      <c r="E1121">
        <v>5.9999999999999995E-4</v>
      </c>
      <c r="F1121">
        <v>1.1000000000000001E-3</v>
      </c>
    </row>
    <row r="1122" spans="1:6" x14ac:dyDescent="0.3">
      <c r="A1122" s="3">
        <v>43629</v>
      </c>
      <c r="B1122">
        <v>5.1999999999999998E-3</v>
      </c>
      <c r="C1122">
        <v>6.8000000000000005E-3</v>
      </c>
      <c r="D1122">
        <v>-2.9999999999999997E-4</v>
      </c>
      <c r="E1122">
        <v>-1.1000000000000001E-3</v>
      </c>
      <c r="F1122">
        <v>-5.9999999999999995E-4</v>
      </c>
    </row>
    <row r="1123" spans="1:6" x14ac:dyDescent="0.3">
      <c r="A1123" s="3">
        <v>43630</v>
      </c>
      <c r="B1123">
        <v>-2.7000000000000001E-3</v>
      </c>
      <c r="C1123">
        <v>-7.4000000000000003E-3</v>
      </c>
      <c r="D1123">
        <v>3.0999999999999999E-3</v>
      </c>
      <c r="E1123">
        <v>2.3E-3</v>
      </c>
      <c r="F1123">
        <v>1.4000000000000002E-3</v>
      </c>
    </row>
    <row r="1124" spans="1:6" x14ac:dyDescent="0.3">
      <c r="A1124" s="3">
        <v>43633</v>
      </c>
      <c r="B1124">
        <v>1.5E-3</v>
      </c>
      <c r="C1124">
        <v>4.7999999999999996E-3</v>
      </c>
      <c r="D1124">
        <v>-1.1200000000000002E-2</v>
      </c>
      <c r="E1124">
        <v>-6.8000000000000005E-3</v>
      </c>
      <c r="F1124">
        <v>-4.3E-3</v>
      </c>
    </row>
    <row r="1125" spans="1:6" x14ac:dyDescent="0.3">
      <c r="A1125" s="3">
        <v>43634</v>
      </c>
      <c r="B1125">
        <v>1.04E-2</v>
      </c>
      <c r="C1125">
        <v>1.9E-3</v>
      </c>
      <c r="D1125">
        <v>3.3E-3</v>
      </c>
      <c r="E1125">
        <v>-2.5999999999999999E-3</v>
      </c>
      <c r="F1125">
        <v>-1.9E-3</v>
      </c>
    </row>
    <row r="1126" spans="1:6" x14ac:dyDescent="0.3">
      <c r="A1126" s="3">
        <v>43635</v>
      </c>
      <c r="B1126">
        <v>3.2000000000000002E-3</v>
      </c>
      <c r="C1126">
        <v>2.0000000000000001E-4</v>
      </c>
      <c r="D1126">
        <v>-5.8999999999999999E-3</v>
      </c>
      <c r="E1126">
        <v>-2.2000000000000001E-3</v>
      </c>
      <c r="F1126">
        <v>1.6000000000000001E-3</v>
      </c>
    </row>
    <row r="1127" spans="1:6" x14ac:dyDescent="0.3">
      <c r="A1127" s="3">
        <v>43636</v>
      </c>
      <c r="B1127">
        <v>8.8999999999999999E-3</v>
      </c>
      <c r="C1127">
        <v>-4.0999999999999995E-3</v>
      </c>
      <c r="D1127">
        <v>-2.3E-3</v>
      </c>
      <c r="E1127">
        <v>-1.4000000000000002E-3</v>
      </c>
      <c r="F1127">
        <v>-1.1999999999999999E-3</v>
      </c>
    </row>
    <row r="1128" spans="1:6" x14ac:dyDescent="0.3">
      <c r="A1128" s="3">
        <v>43637</v>
      </c>
      <c r="B1128">
        <v>-2.0999999999999999E-3</v>
      </c>
      <c r="C1128">
        <v>-4.5999999999999999E-3</v>
      </c>
      <c r="D1128">
        <v>-2.0000000000000001E-4</v>
      </c>
      <c r="E1128">
        <v>-1.1000000000000001E-3</v>
      </c>
      <c r="F1128">
        <v>1E-4</v>
      </c>
    </row>
    <row r="1129" spans="1:6" x14ac:dyDescent="0.3">
      <c r="A1129" s="3">
        <v>43640</v>
      </c>
      <c r="B1129">
        <v>-3.4000000000000002E-3</v>
      </c>
      <c r="C1129">
        <v>-9.0000000000000011E-3</v>
      </c>
      <c r="D1129">
        <v>8.0000000000000004E-4</v>
      </c>
      <c r="E1129">
        <v>6.3E-3</v>
      </c>
      <c r="F1129">
        <v>-2.0000000000000001E-4</v>
      </c>
    </row>
    <row r="1130" spans="1:6" x14ac:dyDescent="0.3">
      <c r="A1130" s="3">
        <v>43641</v>
      </c>
      <c r="B1130">
        <v>-9.7999999999999997E-3</v>
      </c>
      <c r="C1130">
        <v>4.0000000000000001E-3</v>
      </c>
      <c r="D1130">
        <v>7.0999999999999995E-3</v>
      </c>
      <c r="E1130">
        <v>-1E-3</v>
      </c>
      <c r="F1130">
        <v>5.5000000000000005E-3</v>
      </c>
    </row>
    <row r="1131" spans="1:6" x14ac:dyDescent="0.3">
      <c r="A1131" s="3">
        <v>43642</v>
      </c>
      <c r="B1131">
        <v>-5.9999999999999995E-4</v>
      </c>
      <c r="C1131">
        <v>2.0000000000000001E-4</v>
      </c>
      <c r="D1131">
        <v>2.5000000000000001E-3</v>
      </c>
      <c r="E1131">
        <v>3.7000000000000002E-3</v>
      </c>
      <c r="F1131">
        <v>-3.9000000000000003E-3</v>
      </c>
    </row>
    <row r="1132" spans="1:6" x14ac:dyDescent="0.3">
      <c r="A1132" s="3">
        <v>43643</v>
      </c>
      <c r="B1132">
        <v>6.0000000000000001E-3</v>
      </c>
      <c r="C1132">
        <v>1.43E-2</v>
      </c>
      <c r="D1132">
        <v>-8.9999999999999998E-4</v>
      </c>
      <c r="E1132">
        <v>-3.4000000000000002E-3</v>
      </c>
      <c r="F1132">
        <v>-2.2000000000000001E-3</v>
      </c>
    </row>
    <row r="1133" spans="1:6" x14ac:dyDescent="0.3">
      <c r="A1133" s="3">
        <v>43644</v>
      </c>
      <c r="B1133">
        <v>6.8000000000000005E-3</v>
      </c>
      <c r="C1133">
        <v>7.7000000000000002E-3</v>
      </c>
      <c r="D1133">
        <v>6.0000000000000001E-3</v>
      </c>
      <c r="E1133">
        <v>-4.5999999999999999E-3</v>
      </c>
      <c r="F1133">
        <v>1.1000000000000001E-3</v>
      </c>
    </row>
    <row r="1134" spans="1:6" x14ac:dyDescent="0.3">
      <c r="A1134" s="3">
        <v>43647</v>
      </c>
      <c r="B1134">
        <v>7.4999999999999997E-3</v>
      </c>
      <c r="C1134">
        <v>-5.8999999999999999E-3</v>
      </c>
      <c r="D1134">
        <v>-1.2999999999999999E-3</v>
      </c>
      <c r="E1134">
        <v>-1.2999999999999999E-3</v>
      </c>
      <c r="F1134">
        <v>5.0000000000000001E-4</v>
      </c>
    </row>
    <row r="1135" spans="1:6" x14ac:dyDescent="0.3">
      <c r="A1135" s="3">
        <v>43648</v>
      </c>
      <c r="B1135">
        <v>1.4000000000000002E-3</v>
      </c>
      <c r="C1135">
        <v>-9.5999999999999992E-3</v>
      </c>
      <c r="D1135">
        <v>-8.3999999999999995E-3</v>
      </c>
      <c r="E1135">
        <v>-1E-4</v>
      </c>
      <c r="F1135">
        <v>-2.0000000000000001E-4</v>
      </c>
    </row>
    <row r="1136" spans="1:6" x14ac:dyDescent="0.3">
      <c r="A1136" s="3">
        <v>43649</v>
      </c>
      <c r="B1136">
        <v>7.8000000000000005E-3</v>
      </c>
      <c r="C1136">
        <v>-1.4000000000000002E-3</v>
      </c>
      <c r="D1136">
        <v>-3.3E-3</v>
      </c>
      <c r="E1136">
        <v>-3.4999999999999996E-3</v>
      </c>
      <c r="F1136">
        <v>-5.0000000000000001E-4</v>
      </c>
    </row>
    <row r="1137" spans="1:6" x14ac:dyDescent="0.3">
      <c r="A1137" s="3">
        <v>43651</v>
      </c>
      <c r="B1137">
        <v>-1E-3</v>
      </c>
      <c r="C1137">
        <v>3.4000000000000002E-3</v>
      </c>
      <c r="D1137">
        <v>9.1000000000000004E-3</v>
      </c>
      <c r="E1137">
        <v>1.2999999999999999E-3</v>
      </c>
      <c r="F1137">
        <v>-5.0000000000000001E-4</v>
      </c>
    </row>
    <row r="1138" spans="1:6" x14ac:dyDescent="0.3">
      <c r="A1138" s="3">
        <v>43654</v>
      </c>
      <c r="B1138">
        <v>-5.7999999999999996E-3</v>
      </c>
      <c r="C1138">
        <v>-4.3E-3</v>
      </c>
      <c r="D1138">
        <v>7.000000000000001E-4</v>
      </c>
      <c r="E1138">
        <v>4.0000000000000002E-4</v>
      </c>
      <c r="F1138">
        <v>-2.5000000000000001E-3</v>
      </c>
    </row>
    <row r="1139" spans="1:6" x14ac:dyDescent="0.3">
      <c r="A1139" s="3">
        <v>43655</v>
      </c>
      <c r="B1139">
        <v>1.8E-3</v>
      </c>
      <c r="C1139">
        <v>-2.3999999999999998E-3</v>
      </c>
      <c r="D1139">
        <v>-4.1999999999999997E-3</v>
      </c>
      <c r="E1139">
        <v>-6.5000000000000006E-3</v>
      </c>
      <c r="F1139">
        <v>-1.9E-3</v>
      </c>
    </row>
    <row r="1140" spans="1:6" x14ac:dyDescent="0.3">
      <c r="A1140" s="3">
        <v>43656</v>
      </c>
      <c r="B1140">
        <v>4.0000000000000001E-3</v>
      </c>
      <c r="C1140">
        <v>-2.5000000000000001E-3</v>
      </c>
      <c r="D1140">
        <v>-3.4999999999999996E-3</v>
      </c>
      <c r="E1140">
        <v>1.1000000000000001E-3</v>
      </c>
      <c r="F1140">
        <v>-2.0000000000000001E-4</v>
      </c>
    </row>
    <row r="1141" spans="1:6" x14ac:dyDescent="0.3">
      <c r="A1141" s="3">
        <v>43657</v>
      </c>
      <c r="B1141">
        <v>1.9E-3</v>
      </c>
      <c r="C1141">
        <v>-7.7000000000000002E-3</v>
      </c>
      <c r="D1141">
        <v>2.9999999999999997E-4</v>
      </c>
      <c r="E1141">
        <v>-2.3E-3</v>
      </c>
      <c r="F1141">
        <v>-5.6999999999999993E-3</v>
      </c>
    </row>
    <row r="1142" spans="1:6" x14ac:dyDescent="0.3">
      <c r="A1142" s="3">
        <v>43658</v>
      </c>
      <c r="B1142">
        <v>5.3E-3</v>
      </c>
      <c r="C1142">
        <v>3.2000000000000002E-3</v>
      </c>
      <c r="D1142">
        <v>4.0999999999999995E-3</v>
      </c>
      <c r="E1142">
        <v>6.0000000000000001E-3</v>
      </c>
      <c r="F1142">
        <v>-8.9999999999999998E-4</v>
      </c>
    </row>
    <row r="1143" spans="1:6" x14ac:dyDescent="0.3">
      <c r="A1143" s="3">
        <v>43661</v>
      </c>
      <c r="B1143">
        <v>-4.0000000000000002E-4</v>
      </c>
      <c r="C1143">
        <v>-4.6999999999999993E-3</v>
      </c>
      <c r="D1143">
        <v>-1.0800000000000001E-2</v>
      </c>
      <c r="E1143">
        <v>1.4000000000000002E-3</v>
      </c>
      <c r="F1143">
        <v>2.3999999999999998E-3</v>
      </c>
    </row>
    <row r="1144" spans="1:6" x14ac:dyDescent="0.3">
      <c r="A1144" s="3">
        <v>43662</v>
      </c>
      <c r="B1144">
        <v>-3.2000000000000002E-3</v>
      </c>
      <c r="C1144">
        <v>4.0000000000000001E-3</v>
      </c>
      <c r="D1144">
        <v>1.1000000000000001E-3</v>
      </c>
      <c r="E1144">
        <v>4.5000000000000005E-3</v>
      </c>
      <c r="F1144">
        <v>-2.0000000000000001E-4</v>
      </c>
    </row>
    <row r="1145" spans="1:6" x14ac:dyDescent="0.3">
      <c r="A1145" s="3">
        <v>43663</v>
      </c>
      <c r="B1145">
        <v>-6.4000000000000003E-3</v>
      </c>
      <c r="C1145">
        <v>-2.5000000000000001E-3</v>
      </c>
      <c r="D1145">
        <v>-6.6E-3</v>
      </c>
      <c r="E1145">
        <v>-4.6999999999999993E-3</v>
      </c>
      <c r="F1145">
        <v>-2.3E-3</v>
      </c>
    </row>
    <row r="1146" spans="1:6" x14ac:dyDescent="0.3">
      <c r="A1146" s="3">
        <v>43664</v>
      </c>
      <c r="B1146">
        <v>3.4999999999999996E-3</v>
      </c>
      <c r="C1146">
        <v>-2.7000000000000001E-3</v>
      </c>
      <c r="D1146">
        <v>1E-4</v>
      </c>
      <c r="E1146">
        <v>-3.5999999999999999E-3</v>
      </c>
      <c r="F1146">
        <v>3.4999999999999996E-3</v>
      </c>
    </row>
    <row r="1147" spans="1:6" x14ac:dyDescent="0.3">
      <c r="A1147" s="3">
        <v>43665</v>
      </c>
      <c r="B1147">
        <v>-5.6000000000000008E-3</v>
      </c>
      <c r="C1147">
        <v>3.0000000000000001E-3</v>
      </c>
      <c r="D1147">
        <v>8.6999999999999994E-3</v>
      </c>
      <c r="E1147">
        <v>3.5999999999999999E-3</v>
      </c>
      <c r="F1147">
        <v>8.9999999999999998E-4</v>
      </c>
    </row>
    <row r="1148" spans="1:6" x14ac:dyDescent="0.3">
      <c r="A1148" s="3">
        <v>43668</v>
      </c>
      <c r="B1148">
        <v>2.5000000000000001E-3</v>
      </c>
      <c r="C1148">
        <v>-5.5000000000000005E-3</v>
      </c>
      <c r="D1148">
        <v>-4.8999999999999998E-3</v>
      </c>
      <c r="E1148">
        <v>-1.8E-3</v>
      </c>
      <c r="F1148">
        <v>-1E-4</v>
      </c>
    </row>
    <row r="1149" spans="1:6" x14ac:dyDescent="0.3">
      <c r="A1149" s="3">
        <v>43669</v>
      </c>
      <c r="B1149">
        <v>6.5000000000000006E-3</v>
      </c>
      <c r="C1149">
        <v>-5.9999999999999995E-4</v>
      </c>
      <c r="D1149">
        <v>8.0000000000000002E-3</v>
      </c>
      <c r="E1149">
        <v>6.6E-3</v>
      </c>
      <c r="F1149">
        <v>3.4000000000000002E-3</v>
      </c>
    </row>
    <row r="1150" spans="1:6" x14ac:dyDescent="0.3">
      <c r="A1150" s="3">
        <v>43670</v>
      </c>
      <c r="B1150">
        <v>6.6E-3</v>
      </c>
      <c r="C1150">
        <v>9.1999999999999998E-3</v>
      </c>
      <c r="D1150">
        <v>8.6E-3</v>
      </c>
      <c r="E1150">
        <v>-8.9999999999999998E-4</v>
      </c>
      <c r="F1150">
        <v>-8.9999999999999998E-4</v>
      </c>
    </row>
    <row r="1151" spans="1:6" x14ac:dyDescent="0.3">
      <c r="A1151" s="3">
        <v>43671</v>
      </c>
      <c r="B1151">
        <v>-6.3E-3</v>
      </c>
      <c r="C1151">
        <v>-6.8000000000000005E-3</v>
      </c>
      <c r="D1151">
        <v>-1.5E-3</v>
      </c>
      <c r="E1151">
        <v>1.7000000000000001E-3</v>
      </c>
      <c r="F1151">
        <v>7.000000000000001E-4</v>
      </c>
    </row>
    <row r="1152" spans="1:6" x14ac:dyDescent="0.3">
      <c r="A1152" s="3">
        <v>43672</v>
      </c>
      <c r="B1152">
        <v>8.199999999999999E-3</v>
      </c>
      <c r="C1152">
        <v>3.4000000000000002E-3</v>
      </c>
      <c r="D1152">
        <v>-1.9E-3</v>
      </c>
      <c r="E1152">
        <v>-6.0999999999999995E-3</v>
      </c>
      <c r="F1152">
        <v>-2.5000000000000001E-3</v>
      </c>
    </row>
    <row r="1153" spans="1:6" x14ac:dyDescent="0.3">
      <c r="A1153" s="3">
        <v>43675</v>
      </c>
      <c r="B1153">
        <v>-3.2000000000000002E-3</v>
      </c>
      <c r="C1153">
        <v>-3.4999999999999996E-3</v>
      </c>
      <c r="D1153">
        <v>-4.5999999999999999E-3</v>
      </c>
      <c r="E1153">
        <v>3.0999999999999999E-3</v>
      </c>
      <c r="F1153">
        <v>3.8E-3</v>
      </c>
    </row>
    <row r="1154" spans="1:6" x14ac:dyDescent="0.3">
      <c r="A1154" s="3">
        <v>43676</v>
      </c>
      <c r="B1154">
        <v>-1.7000000000000001E-3</v>
      </c>
      <c r="C1154">
        <v>1.4199999999999999E-2</v>
      </c>
      <c r="D1154">
        <v>8.8999999999999999E-3</v>
      </c>
      <c r="E1154">
        <v>-1.9E-3</v>
      </c>
      <c r="F1154">
        <v>8.9999999999999998E-4</v>
      </c>
    </row>
    <row r="1155" spans="1:6" x14ac:dyDescent="0.3">
      <c r="A1155" s="3">
        <v>43677</v>
      </c>
      <c r="B1155">
        <v>-1.09E-2</v>
      </c>
      <c r="C1155">
        <v>2.5999999999999999E-3</v>
      </c>
      <c r="D1155">
        <v>5.7999999999999996E-3</v>
      </c>
      <c r="E1155">
        <v>1.9E-3</v>
      </c>
      <c r="F1155">
        <v>5.4000000000000003E-3</v>
      </c>
    </row>
    <row r="1156" spans="1:6" x14ac:dyDescent="0.3">
      <c r="A1156" s="3">
        <v>43678</v>
      </c>
      <c r="B1156">
        <v>-1.04E-2</v>
      </c>
      <c r="C1156">
        <v>-7.6E-3</v>
      </c>
      <c r="D1156">
        <v>-1.9299999999999998E-2</v>
      </c>
      <c r="E1156">
        <v>-5.4000000000000003E-3</v>
      </c>
      <c r="F1156">
        <v>-3.0000000000000001E-3</v>
      </c>
    </row>
    <row r="1157" spans="1:6" x14ac:dyDescent="0.3">
      <c r="A1157" s="3">
        <v>43679</v>
      </c>
      <c r="B1157">
        <v>-8.6999999999999994E-3</v>
      </c>
      <c r="C1157">
        <v>-2.5999999999999999E-3</v>
      </c>
      <c r="D1157">
        <v>5.9999999999999995E-4</v>
      </c>
      <c r="E1157">
        <v>1.4000000000000002E-3</v>
      </c>
      <c r="F1157">
        <v>1.9E-3</v>
      </c>
    </row>
    <row r="1158" spans="1:6" x14ac:dyDescent="0.3">
      <c r="A1158" s="3">
        <v>43682</v>
      </c>
      <c r="B1158">
        <v>-3.0699999999999998E-2</v>
      </c>
      <c r="C1158">
        <v>5.9999999999999995E-4</v>
      </c>
      <c r="D1158">
        <v>-5.0000000000000001E-4</v>
      </c>
      <c r="E1158">
        <v>-8.0000000000000004E-4</v>
      </c>
      <c r="F1158">
        <v>2.7000000000000001E-3</v>
      </c>
    </row>
    <row r="1159" spans="1:6" x14ac:dyDescent="0.3">
      <c r="A1159" s="3">
        <v>43683</v>
      </c>
      <c r="B1159">
        <v>1.29E-2</v>
      </c>
      <c r="C1159">
        <v>-5.5000000000000005E-3</v>
      </c>
      <c r="D1159">
        <v>-6.0999999999999995E-3</v>
      </c>
      <c r="E1159">
        <v>-3.0999999999999999E-3</v>
      </c>
      <c r="F1159">
        <v>-2.5000000000000001E-3</v>
      </c>
    </row>
    <row r="1160" spans="1:6" x14ac:dyDescent="0.3">
      <c r="A1160" s="3">
        <v>43684</v>
      </c>
      <c r="B1160">
        <v>7.000000000000001E-4</v>
      </c>
      <c r="C1160">
        <v>-8.9999999999999998E-4</v>
      </c>
      <c r="D1160">
        <v>-9.4999999999999998E-3</v>
      </c>
      <c r="E1160">
        <v>1.9E-3</v>
      </c>
      <c r="F1160">
        <v>-1.8E-3</v>
      </c>
    </row>
    <row r="1161" spans="1:6" x14ac:dyDescent="0.3">
      <c r="A1161" s="3">
        <v>43685</v>
      </c>
      <c r="B1161">
        <v>1.9699999999999999E-2</v>
      </c>
      <c r="C1161">
        <v>-2.9999999999999997E-4</v>
      </c>
      <c r="D1161">
        <v>-2.3E-3</v>
      </c>
      <c r="E1161">
        <v>2.8999999999999998E-3</v>
      </c>
      <c r="F1161">
        <v>-3.0999999999999999E-3</v>
      </c>
    </row>
    <row r="1162" spans="1:6" x14ac:dyDescent="0.3">
      <c r="A1162" s="3">
        <v>43686</v>
      </c>
      <c r="B1162">
        <v>-7.8000000000000005E-3</v>
      </c>
      <c r="C1162">
        <v>-5.0000000000000001E-3</v>
      </c>
      <c r="D1162">
        <v>-2.3E-3</v>
      </c>
      <c r="E1162">
        <v>-4.7999999999999996E-3</v>
      </c>
      <c r="F1162">
        <v>-2.0000000000000001E-4</v>
      </c>
    </row>
    <row r="1163" spans="1:6" x14ac:dyDescent="0.3">
      <c r="A1163" s="3">
        <v>43689</v>
      </c>
      <c r="B1163">
        <v>-1.32E-2</v>
      </c>
      <c r="C1163">
        <v>2.0999999999999999E-3</v>
      </c>
      <c r="D1163">
        <v>-2.8000000000000004E-3</v>
      </c>
      <c r="E1163">
        <v>1.2999999999999999E-3</v>
      </c>
      <c r="F1163">
        <v>2.3999999999999998E-3</v>
      </c>
    </row>
    <row r="1164" spans="1:6" x14ac:dyDescent="0.3">
      <c r="A1164" s="3">
        <v>43690</v>
      </c>
      <c r="B1164">
        <v>1.47E-2</v>
      </c>
      <c r="C1164">
        <v>-3.4999999999999996E-3</v>
      </c>
      <c r="D1164">
        <v>-5.3E-3</v>
      </c>
      <c r="E1164">
        <v>3.4999999999999996E-3</v>
      </c>
      <c r="F1164">
        <v>-4.0000000000000002E-4</v>
      </c>
    </row>
    <row r="1165" spans="1:6" x14ac:dyDescent="0.3">
      <c r="A1165" s="3">
        <v>43691</v>
      </c>
      <c r="B1165">
        <v>-2.9500000000000002E-2</v>
      </c>
      <c r="C1165">
        <v>2.9999999999999997E-4</v>
      </c>
      <c r="D1165">
        <v>-5.1999999999999998E-3</v>
      </c>
      <c r="E1165">
        <v>-3.7000000000000002E-3</v>
      </c>
      <c r="F1165">
        <v>1E-4</v>
      </c>
    </row>
    <row r="1166" spans="1:6" x14ac:dyDescent="0.3">
      <c r="A1166" s="3">
        <v>43692</v>
      </c>
      <c r="B1166">
        <v>1.6000000000000001E-3</v>
      </c>
      <c r="C1166">
        <v>-6.8999999999999999E-3</v>
      </c>
      <c r="D1166">
        <v>-5.5000000000000005E-3</v>
      </c>
      <c r="E1166">
        <v>-8.0000000000000004E-4</v>
      </c>
      <c r="F1166">
        <v>-4.6999999999999993E-3</v>
      </c>
    </row>
    <row r="1167" spans="1:6" x14ac:dyDescent="0.3">
      <c r="A1167" s="3">
        <v>43693</v>
      </c>
      <c r="B1167">
        <v>1.55E-2</v>
      </c>
      <c r="C1167">
        <v>6.3E-3</v>
      </c>
      <c r="D1167">
        <v>6.3E-3</v>
      </c>
      <c r="E1167">
        <v>1.4000000000000002E-3</v>
      </c>
      <c r="F1167">
        <v>-5.0000000000000001E-4</v>
      </c>
    </row>
    <row r="1168" spans="1:6" x14ac:dyDescent="0.3">
      <c r="A1168" s="3">
        <v>43696</v>
      </c>
      <c r="B1168">
        <v>1.1399999999999999E-2</v>
      </c>
      <c r="C1168">
        <v>2.9999999999999997E-4</v>
      </c>
      <c r="D1168">
        <v>2.3999999999999998E-3</v>
      </c>
      <c r="E1168">
        <v>3.7000000000000002E-3</v>
      </c>
      <c r="F1168">
        <v>-1E-4</v>
      </c>
    </row>
    <row r="1169" spans="1:6" x14ac:dyDescent="0.3">
      <c r="A1169" s="3">
        <v>43697</v>
      </c>
      <c r="B1169">
        <v>-7.4999999999999997E-3</v>
      </c>
      <c r="C1169">
        <v>1.9E-3</v>
      </c>
      <c r="D1169">
        <v>-5.1999999999999998E-3</v>
      </c>
      <c r="E1169">
        <v>1.1000000000000001E-3</v>
      </c>
      <c r="F1169">
        <v>-1.8E-3</v>
      </c>
    </row>
    <row r="1170" spans="1:6" x14ac:dyDescent="0.3">
      <c r="A1170" s="3">
        <v>43698</v>
      </c>
      <c r="B1170">
        <v>8.5000000000000006E-3</v>
      </c>
      <c r="C1170">
        <v>-2.9999999999999997E-4</v>
      </c>
      <c r="D1170">
        <v>-3.0000000000000001E-3</v>
      </c>
      <c r="E1170">
        <v>-2.9999999999999997E-4</v>
      </c>
      <c r="F1170">
        <v>-1E-4</v>
      </c>
    </row>
    <row r="1171" spans="1:6" x14ac:dyDescent="0.3">
      <c r="A1171" s="3">
        <v>43699</v>
      </c>
      <c r="B1171">
        <v>-1E-3</v>
      </c>
      <c r="C1171">
        <v>-3.4999999999999996E-3</v>
      </c>
      <c r="D1171">
        <v>4.7999999999999996E-3</v>
      </c>
      <c r="E1171">
        <v>2.2000000000000001E-3</v>
      </c>
      <c r="F1171">
        <v>2.7000000000000001E-3</v>
      </c>
    </row>
    <row r="1172" spans="1:6" x14ac:dyDescent="0.3">
      <c r="A1172" s="3">
        <v>43700</v>
      </c>
      <c r="B1172">
        <v>-2.6600000000000002E-2</v>
      </c>
      <c r="C1172">
        <v>-6.0000000000000001E-3</v>
      </c>
      <c r="D1172">
        <v>-1.8E-3</v>
      </c>
      <c r="E1172">
        <v>-6.3E-3</v>
      </c>
      <c r="F1172">
        <v>-2.3999999999999998E-3</v>
      </c>
    </row>
    <row r="1173" spans="1:6" x14ac:dyDescent="0.3">
      <c r="A1173" s="3">
        <v>43703</v>
      </c>
      <c r="B1173">
        <v>1.0800000000000001E-2</v>
      </c>
      <c r="C1173">
        <v>-4.0000000000000002E-4</v>
      </c>
      <c r="D1173">
        <v>-1.8E-3</v>
      </c>
      <c r="E1173">
        <v>1.9E-3</v>
      </c>
      <c r="F1173">
        <v>-1.5E-3</v>
      </c>
    </row>
    <row r="1174" spans="1:6" x14ac:dyDescent="0.3">
      <c r="A1174" s="3">
        <v>43704</v>
      </c>
      <c r="B1174">
        <v>-4.5999999999999999E-3</v>
      </c>
      <c r="C1174">
        <v>-0.01</v>
      </c>
      <c r="D1174">
        <v>-6.7000000000000002E-3</v>
      </c>
      <c r="E1174">
        <v>2.5000000000000001E-3</v>
      </c>
      <c r="F1174">
        <v>7.000000000000001E-4</v>
      </c>
    </row>
    <row r="1175" spans="1:6" x14ac:dyDescent="0.3">
      <c r="A1175" s="3">
        <v>43705</v>
      </c>
      <c r="B1175">
        <v>6.8000000000000005E-3</v>
      </c>
      <c r="C1175">
        <v>6.1999999999999998E-3</v>
      </c>
      <c r="D1175">
        <v>6.3E-3</v>
      </c>
      <c r="E1175">
        <v>3.4999999999999996E-3</v>
      </c>
      <c r="F1175">
        <v>2.0999999999999999E-3</v>
      </c>
    </row>
    <row r="1176" spans="1:6" x14ac:dyDescent="0.3">
      <c r="A1176" s="3">
        <v>43706</v>
      </c>
      <c r="B1176">
        <v>1.3500000000000002E-2</v>
      </c>
      <c r="C1176">
        <v>3.9000000000000003E-3</v>
      </c>
      <c r="D1176">
        <v>3.4000000000000002E-3</v>
      </c>
      <c r="E1176">
        <v>1.7000000000000001E-3</v>
      </c>
      <c r="F1176">
        <v>-1.8E-3</v>
      </c>
    </row>
    <row r="1177" spans="1:6" x14ac:dyDescent="0.3">
      <c r="A1177" s="3">
        <v>43707</v>
      </c>
      <c r="B1177">
        <v>2.9999999999999997E-4</v>
      </c>
      <c r="C1177">
        <v>-2.3999999999999998E-3</v>
      </c>
      <c r="D1177">
        <v>2.2000000000000001E-3</v>
      </c>
      <c r="E1177">
        <v>1E-3</v>
      </c>
      <c r="F1177">
        <v>1.2999999999999999E-3</v>
      </c>
    </row>
    <row r="1178" spans="1:6" x14ac:dyDescent="0.3">
      <c r="A1178" s="3">
        <v>43711</v>
      </c>
      <c r="B1178">
        <v>-8.6999999999999994E-3</v>
      </c>
      <c r="C1178">
        <v>-9.300000000000001E-3</v>
      </c>
      <c r="D1178">
        <v>8.9999999999999998E-4</v>
      </c>
      <c r="E1178">
        <v>-2E-3</v>
      </c>
      <c r="F1178">
        <v>4.5000000000000005E-3</v>
      </c>
    </row>
    <row r="1179" spans="1:6" x14ac:dyDescent="0.3">
      <c r="A1179" s="3">
        <v>43712</v>
      </c>
      <c r="B1179">
        <v>1.0800000000000001E-2</v>
      </c>
      <c r="C1179">
        <v>-1.6000000000000001E-3</v>
      </c>
      <c r="D1179">
        <v>5.0000000000000001E-3</v>
      </c>
      <c r="E1179">
        <v>2.5000000000000001E-3</v>
      </c>
      <c r="F1179">
        <v>-7.000000000000001E-4</v>
      </c>
    </row>
    <row r="1180" spans="1:6" x14ac:dyDescent="0.3">
      <c r="A1180" s="3">
        <v>43713</v>
      </c>
      <c r="B1180">
        <v>1.4199999999999999E-2</v>
      </c>
      <c r="C1180">
        <v>5.5000000000000005E-3</v>
      </c>
      <c r="D1180">
        <v>7.1999999999999998E-3</v>
      </c>
      <c r="E1180">
        <v>4.3E-3</v>
      </c>
      <c r="F1180">
        <v>0</v>
      </c>
    </row>
    <row r="1181" spans="1:6" x14ac:dyDescent="0.3">
      <c r="A1181" s="3">
        <v>43714</v>
      </c>
      <c r="B1181">
        <v>-2.0000000000000001E-4</v>
      </c>
      <c r="C1181">
        <v>-3.5999999999999999E-3</v>
      </c>
      <c r="D1181">
        <v>4.0000000000000002E-4</v>
      </c>
      <c r="E1181">
        <v>1.5E-3</v>
      </c>
      <c r="F1181">
        <v>4.1999999999999997E-3</v>
      </c>
    </row>
    <row r="1182" spans="1:6" x14ac:dyDescent="0.3">
      <c r="A1182" s="3">
        <v>43717</v>
      </c>
      <c r="B1182">
        <v>8.0000000000000004E-4</v>
      </c>
      <c r="C1182">
        <v>1.3500000000000002E-2</v>
      </c>
      <c r="D1182">
        <v>3.1E-2</v>
      </c>
      <c r="E1182">
        <v>8.6999999999999994E-3</v>
      </c>
      <c r="F1182">
        <v>4.3E-3</v>
      </c>
    </row>
    <row r="1183" spans="1:6" x14ac:dyDescent="0.3">
      <c r="A1183" s="3">
        <v>43718</v>
      </c>
      <c r="B1183">
        <v>1.7000000000000001E-3</v>
      </c>
      <c r="C1183">
        <v>1.41E-2</v>
      </c>
      <c r="D1183">
        <v>1.15E-2</v>
      </c>
      <c r="E1183">
        <v>-2.9999999999999997E-4</v>
      </c>
      <c r="F1183">
        <v>5.8999999999999999E-3</v>
      </c>
    </row>
    <row r="1184" spans="1:6" x14ac:dyDescent="0.3">
      <c r="A1184" s="3">
        <v>43719</v>
      </c>
      <c r="B1184">
        <v>8.8000000000000005E-3</v>
      </c>
      <c r="C1184">
        <v>1.37E-2</v>
      </c>
      <c r="D1184">
        <v>-5.0000000000000001E-4</v>
      </c>
      <c r="E1184">
        <v>-2.3999999999999998E-3</v>
      </c>
      <c r="F1184">
        <v>3.3E-3</v>
      </c>
    </row>
    <row r="1185" spans="1:6" x14ac:dyDescent="0.3">
      <c r="A1185" s="3">
        <v>43720</v>
      </c>
      <c r="B1185">
        <v>2.2000000000000001E-3</v>
      </c>
      <c r="C1185">
        <v>-3.8E-3</v>
      </c>
      <c r="D1185">
        <v>-1.4000000000000002E-3</v>
      </c>
      <c r="E1185">
        <v>-2.0999999999999999E-3</v>
      </c>
      <c r="F1185">
        <v>-1.8E-3</v>
      </c>
    </row>
    <row r="1186" spans="1:6" x14ac:dyDescent="0.3">
      <c r="A1186" s="3">
        <v>43721</v>
      </c>
      <c r="B1186">
        <v>-1E-4</v>
      </c>
      <c r="C1186">
        <v>1.8E-3</v>
      </c>
      <c r="D1186">
        <v>7.4000000000000003E-3</v>
      </c>
      <c r="E1186">
        <v>-2.0000000000000001E-4</v>
      </c>
      <c r="F1186">
        <v>-1.1000000000000001E-3</v>
      </c>
    </row>
    <row r="1187" spans="1:6" x14ac:dyDescent="0.3">
      <c r="A1187" s="3">
        <v>43724</v>
      </c>
      <c r="B1187">
        <v>-2.3E-3</v>
      </c>
      <c r="C1187">
        <v>8.8000000000000005E-3</v>
      </c>
      <c r="D1187">
        <v>5.4000000000000003E-3</v>
      </c>
      <c r="E1187">
        <v>-3.0999999999999999E-3</v>
      </c>
      <c r="F1187">
        <v>5.0000000000000001E-4</v>
      </c>
    </row>
    <row r="1188" spans="1:6" x14ac:dyDescent="0.3">
      <c r="A1188" s="3">
        <v>43725</v>
      </c>
      <c r="B1188">
        <v>1.7000000000000001E-3</v>
      </c>
      <c r="C1188">
        <v>-7.9000000000000008E-3</v>
      </c>
      <c r="D1188">
        <v>-1.21E-2</v>
      </c>
      <c r="E1188">
        <v>-2E-3</v>
      </c>
      <c r="F1188">
        <v>-3.4999999999999996E-3</v>
      </c>
    </row>
    <row r="1189" spans="1:6" x14ac:dyDescent="0.3">
      <c r="A1189" s="3">
        <v>43726</v>
      </c>
      <c r="B1189">
        <v>-5.0000000000000001E-4</v>
      </c>
      <c r="C1189">
        <v>-7.8000000000000005E-3</v>
      </c>
      <c r="D1189">
        <v>5.9999999999999995E-4</v>
      </c>
      <c r="E1189">
        <v>-1.2999999999999999E-3</v>
      </c>
      <c r="F1189">
        <v>4.0000000000000002E-4</v>
      </c>
    </row>
    <row r="1190" spans="1:6" x14ac:dyDescent="0.3">
      <c r="A1190" s="3">
        <v>43727</v>
      </c>
      <c r="B1190">
        <v>-5.0000000000000001E-4</v>
      </c>
      <c r="C1190">
        <v>-4.7999999999999996E-3</v>
      </c>
      <c r="D1190">
        <v>-4.5999999999999999E-3</v>
      </c>
      <c r="E1190">
        <v>4.0000000000000002E-4</v>
      </c>
      <c r="F1190">
        <v>-2.0999999999999999E-3</v>
      </c>
    </row>
    <row r="1191" spans="1:6" x14ac:dyDescent="0.3">
      <c r="A1191" s="3">
        <v>43728</v>
      </c>
      <c r="B1191">
        <v>-4.7999999999999996E-3</v>
      </c>
      <c r="C1191">
        <v>3.0000000000000001E-3</v>
      </c>
      <c r="D1191">
        <v>1.4000000000000002E-3</v>
      </c>
      <c r="E1191">
        <v>-6.0000000000000001E-3</v>
      </c>
      <c r="F1191">
        <v>8.0000000000000004E-4</v>
      </c>
    </row>
    <row r="1192" spans="1:6" x14ac:dyDescent="0.3">
      <c r="A1192" s="3">
        <v>43731</v>
      </c>
      <c r="B1192">
        <v>-2.0000000000000001E-4</v>
      </c>
      <c r="C1192">
        <v>-1.1000000000000001E-3</v>
      </c>
      <c r="D1192">
        <v>5.1999999999999998E-3</v>
      </c>
      <c r="E1192">
        <v>2.5999999999999999E-3</v>
      </c>
      <c r="F1192">
        <v>2.7000000000000001E-3</v>
      </c>
    </row>
    <row r="1193" spans="1:6" x14ac:dyDescent="0.3">
      <c r="A1193" s="3">
        <v>43732</v>
      </c>
      <c r="B1193">
        <v>-1.01E-2</v>
      </c>
      <c r="C1193">
        <v>-7.4999999999999997E-3</v>
      </c>
      <c r="D1193">
        <v>-1E-4</v>
      </c>
      <c r="E1193">
        <v>1.7000000000000001E-3</v>
      </c>
      <c r="F1193">
        <v>4.5000000000000005E-3</v>
      </c>
    </row>
    <row r="1194" spans="1:6" x14ac:dyDescent="0.3">
      <c r="A1194" s="3">
        <v>43733</v>
      </c>
      <c r="B1194">
        <v>6.8999999999999999E-3</v>
      </c>
      <c r="C1194">
        <v>4.0999999999999995E-3</v>
      </c>
      <c r="D1194">
        <v>5.1999999999999998E-3</v>
      </c>
      <c r="E1194">
        <v>4.1999999999999997E-3</v>
      </c>
      <c r="F1194">
        <v>1E-4</v>
      </c>
    </row>
    <row r="1195" spans="1:6" x14ac:dyDescent="0.3">
      <c r="A1195" s="3">
        <v>43734</v>
      </c>
      <c r="B1195">
        <v>-4.0999999999999995E-3</v>
      </c>
      <c r="C1195">
        <v>-9.7999999999999997E-3</v>
      </c>
      <c r="D1195">
        <v>1.1999999999999999E-3</v>
      </c>
      <c r="E1195">
        <v>3.4999999999999996E-3</v>
      </c>
      <c r="F1195">
        <v>2.8999999999999998E-3</v>
      </c>
    </row>
    <row r="1196" spans="1:6" x14ac:dyDescent="0.3">
      <c r="A1196" s="3">
        <v>43735</v>
      </c>
      <c r="B1196">
        <v>-6.1999999999999998E-3</v>
      </c>
      <c r="C1196">
        <v>-1.7000000000000001E-3</v>
      </c>
      <c r="D1196">
        <v>9.0000000000000011E-3</v>
      </c>
      <c r="E1196">
        <v>2.3999999999999998E-3</v>
      </c>
      <c r="F1196">
        <v>5.6000000000000008E-3</v>
      </c>
    </row>
    <row r="1197" spans="1:6" x14ac:dyDescent="0.3">
      <c r="A1197" s="3">
        <v>43738</v>
      </c>
      <c r="B1197">
        <v>5.0000000000000001E-3</v>
      </c>
      <c r="C1197">
        <v>-2.5999999999999999E-3</v>
      </c>
      <c r="D1197">
        <v>-5.0000000000000001E-3</v>
      </c>
      <c r="E1197">
        <v>6.1999999999999998E-3</v>
      </c>
      <c r="F1197">
        <v>-2.0000000000000001E-4</v>
      </c>
    </row>
    <row r="1198" spans="1:6" x14ac:dyDescent="0.3">
      <c r="A1198" s="3">
        <v>43739</v>
      </c>
      <c r="B1198">
        <v>-1.3100000000000001E-2</v>
      </c>
      <c r="C1198">
        <v>-6.6E-3</v>
      </c>
      <c r="D1198">
        <v>-5.6999999999999993E-3</v>
      </c>
      <c r="E1198">
        <v>1E-3</v>
      </c>
      <c r="F1198">
        <v>-1.9E-3</v>
      </c>
    </row>
    <row r="1199" spans="1:6" x14ac:dyDescent="0.3">
      <c r="A1199" s="3">
        <v>43740</v>
      </c>
      <c r="B1199">
        <v>-1.7299999999999999E-2</v>
      </c>
      <c r="C1199">
        <v>7.7000000000000002E-3</v>
      </c>
      <c r="D1199">
        <v>-3.8E-3</v>
      </c>
      <c r="E1199">
        <v>-4.5999999999999999E-3</v>
      </c>
      <c r="F1199">
        <v>-2.5999999999999999E-3</v>
      </c>
    </row>
    <row r="1200" spans="1:6" x14ac:dyDescent="0.3">
      <c r="A1200" s="3">
        <v>43741</v>
      </c>
      <c r="B1200">
        <v>8.0000000000000002E-3</v>
      </c>
      <c r="C1200">
        <v>-3.9000000000000003E-3</v>
      </c>
      <c r="D1200">
        <v>-9.0000000000000011E-3</v>
      </c>
      <c r="E1200">
        <v>-1.9E-3</v>
      </c>
      <c r="F1200">
        <v>-1.8E-3</v>
      </c>
    </row>
    <row r="1201" spans="1:6" x14ac:dyDescent="0.3">
      <c r="A1201" s="3">
        <v>43742</v>
      </c>
      <c r="B1201">
        <v>1.3899999999999999E-2</v>
      </c>
      <c r="C1201">
        <v>-5.1000000000000004E-3</v>
      </c>
      <c r="D1201">
        <v>-5.0000000000000001E-4</v>
      </c>
      <c r="E1201">
        <v>-2.0000000000000001E-4</v>
      </c>
      <c r="F1201">
        <v>4.0000000000000002E-4</v>
      </c>
    </row>
    <row r="1202" spans="1:6" x14ac:dyDescent="0.3">
      <c r="A1202" s="3">
        <v>43745</v>
      </c>
      <c r="B1202">
        <v>-4.0999999999999995E-3</v>
      </c>
      <c r="C1202">
        <v>1.4000000000000002E-3</v>
      </c>
      <c r="D1202">
        <v>-2.0000000000000001E-4</v>
      </c>
      <c r="E1202">
        <v>-5.9999999999999995E-4</v>
      </c>
      <c r="F1202">
        <v>-2.5999999999999999E-3</v>
      </c>
    </row>
    <row r="1203" spans="1:6" x14ac:dyDescent="0.3">
      <c r="A1203" s="3">
        <v>43746</v>
      </c>
      <c r="B1203">
        <v>-1.61E-2</v>
      </c>
      <c r="C1203">
        <v>-1.5E-3</v>
      </c>
      <c r="D1203">
        <v>-1.2999999999999999E-3</v>
      </c>
      <c r="E1203">
        <v>4.1999999999999997E-3</v>
      </c>
      <c r="F1203">
        <v>2.0000000000000001E-4</v>
      </c>
    </row>
    <row r="1204" spans="1:6" x14ac:dyDescent="0.3">
      <c r="A1204" s="3">
        <v>43747</v>
      </c>
      <c r="B1204">
        <v>9.1999999999999998E-3</v>
      </c>
      <c r="C1204">
        <v>-5.7999999999999996E-3</v>
      </c>
      <c r="D1204">
        <v>-8.9999999999999998E-4</v>
      </c>
      <c r="E1204">
        <v>1.2999999999999999E-3</v>
      </c>
      <c r="F1204">
        <v>-1.6000000000000001E-3</v>
      </c>
    </row>
    <row r="1205" spans="1:6" x14ac:dyDescent="0.3">
      <c r="A1205" s="3">
        <v>43748</v>
      </c>
      <c r="B1205">
        <v>5.8999999999999999E-3</v>
      </c>
      <c r="C1205">
        <v>-2.5999999999999999E-3</v>
      </c>
      <c r="D1205">
        <v>2.5999999999999999E-3</v>
      </c>
      <c r="E1205">
        <v>1.1999999999999999E-3</v>
      </c>
      <c r="F1205">
        <v>-8.9999999999999998E-4</v>
      </c>
    </row>
    <row r="1206" spans="1:6" x14ac:dyDescent="0.3">
      <c r="A1206" s="3">
        <v>43749</v>
      </c>
      <c r="B1206">
        <v>1.23E-2</v>
      </c>
      <c r="C1206">
        <v>6.0000000000000001E-3</v>
      </c>
      <c r="D1206">
        <v>1.8E-3</v>
      </c>
      <c r="E1206">
        <v>5.0000000000000001E-3</v>
      </c>
      <c r="F1206">
        <v>3.0000000000000001E-3</v>
      </c>
    </row>
    <row r="1207" spans="1:6" x14ac:dyDescent="0.3">
      <c r="A1207" s="3">
        <v>43752</v>
      </c>
      <c r="B1207">
        <v>-1.8E-3</v>
      </c>
      <c r="C1207">
        <v>-3.4999999999999996E-3</v>
      </c>
      <c r="D1207">
        <v>-5.0000000000000001E-4</v>
      </c>
      <c r="E1207">
        <v>-1.8E-3</v>
      </c>
      <c r="F1207">
        <v>-8.0000000000000004E-4</v>
      </c>
    </row>
    <row r="1208" spans="1:6" x14ac:dyDescent="0.3">
      <c r="A1208" s="3">
        <v>43753</v>
      </c>
      <c r="B1208">
        <v>1.03E-2</v>
      </c>
      <c r="C1208">
        <v>2.5000000000000001E-3</v>
      </c>
      <c r="D1208">
        <v>-2.5000000000000001E-3</v>
      </c>
      <c r="E1208">
        <v>-2.2000000000000001E-3</v>
      </c>
      <c r="F1208">
        <v>-6.8999999999999999E-3</v>
      </c>
    </row>
    <row r="1209" spans="1:6" x14ac:dyDescent="0.3">
      <c r="A1209" s="3">
        <v>43754</v>
      </c>
      <c r="B1209">
        <v>-2.3999999999999998E-3</v>
      </c>
      <c r="C1209">
        <v>4.7999999999999996E-3</v>
      </c>
      <c r="D1209">
        <v>2.3999999999999998E-3</v>
      </c>
      <c r="E1209">
        <v>3.8E-3</v>
      </c>
      <c r="F1209">
        <v>2.5999999999999999E-3</v>
      </c>
    </row>
    <row r="1210" spans="1:6" x14ac:dyDescent="0.3">
      <c r="A1210" s="3">
        <v>43755</v>
      </c>
      <c r="B1210">
        <v>3.7000000000000002E-3</v>
      </c>
      <c r="C1210">
        <v>7.9000000000000008E-3</v>
      </c>
      <c r="D1210">
        <v>-2.8000000000000004E-3</v>
      </c>
      <c r="E1210">
        <v>1E-3</v>
      </c>
      <c r="F1210">
        <v>-4.0000000000000002E-4</v>
      </c>
    </row>
    <row r="1211" spans="1:6" x14ac:dyDescent="0.3">
      <c r="A1211" s="3">
        <v>43756</v>
      </c>
      <c r="B1211">
        <v>-4.8999999999999998E-3</v>
      </c>
      <c r="C1211">
        <v>-1.2999999999999999E-3</v>
      </c>
      <c r="D1211">
        <v>8.5000000000000006E-3</v>
      </c>
      <c r="E1211">
        <v>-8.0000000000000004E-4</v>
      </c>
      <c r="F1211">
        <v>3.8E-3</v>
      </c>
    </row>
    <row r="1212" spans="1:6" x14ac:dyDescent="0.3">
      <c r="A1212" s="3">
        <v>43759</v>
      </c>
      <c r="B1212">
        <v>7.0999999999999995E-3</v>
      </c>
      <c r="C1212">
        <v>3.0000000000000001E-3</v>
      </c>
      <c r="D1212">
        <v>3.5999999999999999E-3</v>
      </c>
      <c r="E1212">
        <v>2.0000000000000001E-4</v>
      </c>
      <c r="F1212">
        <v>2.0000000000000001E-4</v>
      </c>
    </row>
    <row r="1213" spans="1:6" x14ac:dyDescent="0.3">
      <c r="A1213" s="3">
        <v>43760</v>
      </c>
      <c r="B1213">
        <v>-3.4000000000000002E-3</v>
      </c>
      <c r="C1213">
        <v>4.8999999999999998E-3</v>
      </c>
      <c r="D1213">
        <v>8.8000000000000005E-3</v>
      </c>
      <c r="E1213">
        <v>4.0999999999999995E-3</v>
      </c>
      <c r="F1213">
        <v>3.2000000000000002E-3</v>
      </c>
    </row>
    <row r="1214" spans="1:6" x14ac:dyDescent="0.3">
      <c r="A1214" s="3">
        <v>43761</v>
      </c>
      <c r="B1214">
        <v>2.5000000000000001E-3</v>
      </c>
      <c r="C1214">
        <v>-1.1000000000000001E-3</v>
      </c>
      <c r="D1214">
        <v>2.7000000000000001E-3</v>
      </c>
      <c r="E1214">
        <v>-1E-4</v>
      </c>
      <c r="F1214">
        <v>8.0000000000000004E-4</v>
      </c>
    </row>
    <row r="1215" spans="1:6" x14ac:dyDescent="0.3">
      <c r="A1215" s="3">
        <v>43762</v>
      </c>
      <c r="B1215">
        <v>2.5999999999999999E-3</v>
      </c>
      <c r="C1215">
        <v>-5.0000000000000001E-3</v>
      </c>
      <c r="D1215">
        <v>-8.8000000000000005E-3</v>
      </c>
      <c r="E1215">
        <v>-5.0000000000000001E-4</v>
      </c>
      <c r="F1215">
        <v>-6.6E-3</v>
      </c>
    </row>
    <row r="1216" spans="1:6" x14ac:dyDescent="0.3">
      <c r="A1216" s="3">
        <v>43763</v>
      </c>
      <c r="B1216">
        <v>5.0000000000000001E-3</v>
      </c>
      <c r="C1216">
        <v>3.9000000000000003E-3</v>
      </c>
      <c r="D1216">
        <v>1E-3</v>
      </c>
      <c r="E1216">
        <v>3.4000000000000002E-3</v>
      </c>
      <c r="F1216">
        <v>-1E-4</v>
      </c>
    </row>
    <row r="1217" spans="1:6" x14ac:dyDescent="0.3">
      <c r="A1217" s="3">
        <v>43766</v>
      </c>
      <c r="B1217">
        <v>6.1999999999999998E-3</v>
      </c>
      <c r="C1217">
        <v>2.8000000000000004E-3</v>
      </c>
      <c r="D1217">
        <v>-2.5999999999999999E-3</v>
      </c>
      <c r="E1217">
        <v>1E-4</v>
      </c>
      <c r="F1217">
        <v>-5.0000000000000001E-4</v>
      </c>
    </row>
    <row r="1218" spans="1:6" x14ac:dyDescent="0.3">
      <c r="A1218" s="3">
        <v>43767</v>
      </c>
      <c r="B1218">
        <v>-1.2999999999999999E-3</v>
      </c>
      <c r="C1218">
        <v>4.0000000000000001E-3</v>
      </c>
      <c r="D1218">
        <v>5.0000000000000001E-3</v>
      </c>
      <c r="E1218">
        <v>-5.9999999999999995E-4</v>
      </c>
      <c r="F1218">
        <v>1E-3</v>
      </c>
    </row>
    <row r="1219" spans="1:6" x14ac:dyDescent="0.3">
      <c r="A1219" s="3">
        <v>43768</v>
      </c>
      <c r="B1219">
        <v>2.7000000000000001E-3</v>
      </c>
      <c r="C1219">
        <v>-6.3E-3</v>
      </c>
      <c r="D1219">
        <v>-1.18E-2</v>
      </c>
      <c r="E1219">
        <v>-4.6999999999999993E-3</v>
      </c>
      <c r="F1219">
        <v>-1E-4</v>
      </c>
    </row>
    <row r="1220" spans="1:6" x14ac:dyDescent="0.3">
      <c r="A1220" s="3">
        <v>43769</v>
      </c>
      <c r="B1220">
        <v>-3.8E-3</v>
      </c>
      <c r="C1220">
        <v>-3.4000000000000002E-3</v>
      </c>
      <c r="D1220">
        <v>-4.5000000000000005E-3</v>
      </c>
      <c r="E1220">
        <v>-2.8000000000000004E-3</v>
      </c>
      <c r="F1220">
        <v>1.9E-3</v>
      </c>
    </row>
    <row r="1221" spans="1:6" x14ac:dyDescent="0.3">
      <c r="A1221" s="3">
        <v>43770</v>
      </c>
      <c r="B1221">
        <v>1.0800000000000001E-2</v>
      </c>
      <c r="C1221">
        <v>6.5000000000000006E-3</v>
      </c>
      <c r="D1221">
        <v>8.5000000000000006E-3</v>
      </c>
      <c r="E1221">
        <v>-1.6000000000000001E-3</v>
      </c>
      <c r="F1221">
        <v>1.1999999999999999E-3</v>
      </c>
    </row>
    <row r="1222" spans="1:6" x14ac:dyDescent="0.3">
      <c r="A1222" s="3">
        <v>43773</v>
      </c>
      <c r="B1222">
        <v>4.0000000000000001E-3</v>
      </c>
      <c r="C1222">
        <v>3.2000000000000002E-3</v>
      </c>
      <c r="D1222">
        <v>1.38E-2</v>
      </c>
      <c r="E1222">
        <v>6.1999999999999998E-3</v>
      </c>
      <c r="F1222">
        <v>1.1999999999999999E-3</v>
      </c>
    </row>
    <row r="1223" spans="1:6" x14ac:dyDescent="0.3">
      <c r="A1223" s="3">
        <v>43774</v>
      </c>
      <c r="B1223">
        <v>-2.9999999999999997E-4</v>
      </c>
      <c r="C1223">
        <v>3.8E-3</v>
      </c>
      <c r="D1223">
        <v>4.5000000000000005E-3</v>
      </c>
      <c r="E1223">
        <v>0</v>
      </c>
      <c r="F1223">
        <v>-2.0000000000000001E-4</v>
      </c>
    </row>
    <row r="1224" spans="1:6" x14ac:dyDescent="0.3">
      <c r="A1224" s="3">
        <v>43775</v>
      </c>
      <c r="B1224">
        <v>-5.0000000000000001E-4</v>
      </c>
      <c r="C1224">
        <v>-8.0000000000000002E-3</v>
      </c>
      <c r="D1224">
        <v>2E-3</v>
      </c>
      <c r="E1224">
        <v>-1.7000000000000001E-3</v>
      </c>
      <c r="F1224">
        <v>3.0000000000000001E-3</v>
      </c>
    </row>
    <row r="1225" spans="1:6" x14ac:dyDescent="0.3">
      <c r="A1225" s="3">
        <v>43776</v>
      </c>
      <c r="B1225">
        <v>3.8E-3</v>
      </c>
      <c r="C1225">
        <v>0</v>
      </c>
      <c r="D1225">
        <v>5.0000000000000001E-3</v>
      </c>
      <c r="E1225">
        <v>1E-3</v>
      </c>
      <c r="F1225">
        <v>-2.0999999999999999E-3</v>
      </c>
    </row>
    <row r="1226" spans="1:6" x14ac:dyDescent="0.3">
      <c r="A1226" s="3">
        <v>43777</v>
      </c>
      <c r="B1226">
        <v>3.0999999999999999E-3</v>
      </c>
      <c r="C1226">
        <v>-1E-4</v>
      </c>
      <c r="D1226">
        <v>-3.4999999999999996E-3</v>
      </c>
      <c r="E1226">
        <v>-1.1999999999999999E-3</v>
      </c>
      <c r="F1226">
        <v>5.9999999999999995E-4</v>
      </c>
    </row>
    <row r="1227" spans="1:6" x14ac:dyDescent="0.3">
      <c r="A1227" s="3">
        <v>43780</v>
      </c>
      <c r="B1227">
        <v>-1.9E-3</v>
      </c>
      <c r="C1227">
        <v>-7.000000000000001E-4</v>
      </c>
      <c r="D1227">
        <v>-1.9E-3</v>
      </c>
      <c r="E1227">
        <v>-7.000000000000001E-4</v>
      </c>
      <c r="F1227">
        <v>-8.0000000000000004E-4</v>
      </c>
    </row>
    <row r="1228" spans="1:6" x14ac:dyDescent="0.3">
      <c r="A1228" s="3">
        <v>43781</v>
      </c>
      <c r="B1228">
        <v>1.6000000000000001E-3</v>
      </c>
      <c r="C1228">
        <v>-1.8E-3</v>
      </c>
      <c r="D1228">
        <v>-1.9E-3</v>
      </c>
      <c r="E1228">
        <v>-1.7000000000000001E-3</v>
      </c>
      <c r="F1228">
        <v>-2.2000000000000001E-3</v>
      </c>
    </row>
    <row r="1229" spans="1:6" x14ac:dyDescent="0.3">
      <c r="A1229" s="3">
        <v>43782</v>
      </c>
      <c r="B1229">
        <v>1E-4</v>
      </c>
      <c r="C1229">
        <v>-4.0999999999999995E-3</v>
      </c>
      <c r="D1229">
        <v>-8.199999999999999E-3</v>
      </c>
      <c r="E1229">
        <v>-2.8000000000000004E-3</v>
      </c>
      <c r="F1229">
        <v>-2.9999999999999997E-4</v>
      </c>
    </row>
    <row r="1230" spans="1:6" x14ac:dyDescent="0.3">
      <c r="A1230" s="3">
        <v>43783</v>
      </c>
      <c r="B1230">
        <v>7.000000000000001E-4</v>
      </c>
      <c r="C1230">
        <v>-1.4000000000000002E-3</v>
      </c>
      <c r="D1230">
        <v>-2.7000000000000001E-3</v>
      </c>
      <c r="E1230">
        <v>1.2999999999999999E-3</v>
      </c>
      <c r="F1230">
        <v>-3.4999999999999996E-3</v>
      </c>
    </row>
    <row r="1231" spans="1:6" x14ac:dyDescent="0.3">
      <c r="A1231" s="3">
        <v>43784</v>
      </c>
      <c r="B1231">
        <v>7.4000000000000003E-3</v>
      </c>
      <c r="C1231">
        <v>-2.8999999999999998E-3</v>
      </c>
      <c r="D1231">
        <v>-3.4000000000000002E-3</v>
      </c>
      <c r="E1231">
        <v>-2.0000000000000001E-4</v>
      </c>
      <c r="F1231">
        <v>5.0000000000000001E-4</v>
      </c>
    </row>
    <row r="1232" spans="1:6" x14ac:dyDescent="0.3">
      <c r="A1232" s="3">
        <v>43787</v>
      </c>
      <c r="B1232">
        <v>2.0000000000000001E-4</v>
      </c>
      <c r="C1232">
        <v>-3.5999999999999999E-3</v>
      </c>
      <c r="D1232">
        <v>-5.1000000000000004E-3</v>
      </c>
      <c r="E1232">
        <v>-4.0000000000000002E-4</v>
      </c>
      <c r="F1232">
        <v>-3.2000000000000002E-3</v>
      </c>
    </row>
    <row r="1233" spans="1:6" x14ac:dyDescent="0.3">
      <c r="A1233" s="3">
        <v>43788</v>
      </c>
      <c r="B1233">
        <v>2.0000000000000001E-4</v>
      </c>
      <c r="C1233">
        <v>3.4999999999999996E-3</v>
      </c>
      <c r="D1233">
        <v>-9.5999999999999992E-3</v>
      </c>
      <c r="E1233">
        <v>-8.6E-3</v>
      </c>
      <c r="F1233">
        <v>-2.2000000000000001E-3</v>
      </c>
    </row>
    <row r="1234" spans="1:6" x14ac:dyDescent="0.3">
      <c r="A1234" s="3">
        <v>43789</v>
      </c>
      <c r="B1234">
        <v>-3.3E-3</v>
      </c>
      <c r="C1234">
        <v>-1.4000000000000002E-3</v>
      </c>
      <c r="D1234">
        <v>-4.4000000000000003E-3</v>
      </c>
      <c r="E1234">
        <v>-5.6000000000000008E-3</v>
      </c>
      <c r="F1234">
        <v>-2.8999999999999998E-3</v>
      </c>
    </row>
    <row r="1235" spans="1:6" x14ac:dyDescent="0.3">
      <c r="A1235" s="3">
        <v>43790</v>
      </c>
      <c r="B1235">
        <v>-1.4000000000000002E-3</v>
      </c>
      <c r="C1235">
        <v>-3.2000000000000002E-3</v>
      </c>
      <c r="D1235">
        <v>1.2999999999999999E-3</v>
      </c>
      <c r="E1235">
        <v>8.9999999999999998E-4</v>
      </c>
      <c r="F1235">
        <v>-1E-3</v>
      </c>
    </row>
    <row r="1236" spans="1:6" x14ac:dyDescent="0.3">
      <c r="A1236" s="3">
        <v>43791</v>
      </c>
      <c r="B1236">
        <v>2.3999999999999998E-3</v>
      </c>
      <c r="C1236">
        <v>1.5E-3</v>
      </c>
      <c r="D1236">
        <v>2.2000000000000001E-3</v>
      </c>
      <c r="E1236">
        <v>1.8E-3</v>
      </c>
      <c r="F1236">
        <v>5.0000000000000001E-4</v>
      </c>
    </row>
    <row r="1237" spans="1:6" x14ac:dyDescent="0.3">
      <c r="A1237" s="3">
        <v>43794</v>
      </c>
      <c r="B1237">
        <v>9.1999999999999998E-3</v>
      </c>
      <c r="C1237">
        <v>1.2699999999999999E-2</v>
      </c>
      <c r="D1237">
        <v>-3.9000000000000003E-3</v>
      </c>
      <c r="E1237">
        <v>1.1000000000000001E-3</v>
      </c>
      <c r="F1237">
        <v>1E-4</v>
      </c>
    </row>
    <row r="1238" spans="1:6" x14ac:dyDescent="0.3">
      <c r="A1238" s="3">
        <v>43795</v>
      </c>
      <c r="B1238">
        <v>1.9E-3</v>
      </c>
      <c r="C1238">
        <v>-8.9999999999999998E-4</v>
      </c>
      <c r="D1238">
        <v>-9.0000000000000011E-3</v>
      </c>
      <c r="E1238">
        <v>2E-3</v>
      </c>
      <c r="F1238">
        <v>-2.5000000000000001E-3</v>
      </c>
    </row>
    <row r="1239" spans="1:6" x14ac:dyDescent="0.3">
      <c r="A1239" s="3">
        <v>43796</v>
      </c>
      <c r="B1239">
        <v>4.4000000000000003E-3</v>
      </c>
      <c r="C1239">
        <v>2.2000000000000001E-3</v>
      </c>
      <c r="D1239">
        <v>-1E-4</v>
      </c>
      <c r="E1239">
        <v>4.0000000000000002E-4</v>
      </c>
      <c r="F1239">
        <v>-2.0000000000000001E-4</v>
      </c>
    </row>
    <row r="1240" spans="1:6" x14ac:dyDescent="0.3">
      <c r="A1240" s="3">
        <v>43798</v>
      </c>
      <c r="B1240">
        <v>-4.1999999999999997E-3</v>
      </c>
      <c r="C1240">
        <v>-1.1000000000000001E-3</v>
      </c>
      <c r="D1240">
        <v>-3.0999999999999999E-3</v>
      </c>
      <c r="E1240">
        <v>-4.6999999999999993E-3</v>
      </c>
      <c r="F1240">
        <v>0</v>
      </c>
    </row>
    <row r="1241" spans="1:6" x14ac:dyDescent="0.3">
      <c r="A1241" s="3">
        <v>43801</v>
      </c>
      <c r="B1241">
        <v>-8.6999999999999994E-3</v>
      </c>
      <c r="C1241">
        <v>-1.2999999999999999E-3</v>
      </c>
      <c r="D1241">
        <v>4.5999999999999999E-3</v>
      </c>
      <c r="E1241">
        <v>8.9999999999999998E-4</v>
      </c>
      <c r="F1241">
        <v>2E-3</v>
      </c>
    </row>
    <row r="1242" spans="1:6" x14ac:dyDescent="0.3">
      <c r="A1242" s="3">
        <v>43802</v>
      </c>
      <c r="B1242">
        <v>-6.6E-3</v>
      </c>
      <c r="C1242">
        <v>4.1999999999999997E-3</v>
      </c>
      <c r="D1242">
        <v>-8.3000000000000001E-3</v>
      </c>
      <c r="E1242">
        <v>-5.1000000000000004E-3</v>
      </c>
      <c r="F1242">
        <v>-5.5000000000000005E-3</v>
      </c>
    </row>
    <row r="1243" spans="1:6" x14ac:dyDescent="0.3">
      <c r="A1243" s="3">
        <v>43803</v>
      </c>
      <c r="B1243">
        <v>6.0000000000000001E-3</v>
      </c>
      <c r="C1243">
        <v>2.0999999999999999E-3</v>
      </c>
      <c r="D1243">
        <v>2.5000000000000001E-3</v>
      </c>
      <c r="E1243">
        <v>1.6000000000000001E-3</v>
      </c>
      <c r="F1243">
        <v>8.9999999999999998E-4</v>
      </c>
    </row>
    <row r="1244" spans="1:6" x14ac:dyDescent="0.3">
      <c r="A1244" s="3">
        <v>43804</v>
      </c>
      <c r="B1244">
        <v>1.2999999999999999E-3</v>
      </c>
      <c r="C1244">
        <v>-1.4000000000000002E-3</v>
      </c>
      <c r="D1244">
        <v>4.5999999999999999E-3</v>
      </c>
      <c r="E1244">
        <v>2.5999999999999999E-3</v>
      </c>
      <c r="F1244">
        <v>3.4999999999999996E-3</v>
      </c>
    </row>
    <row r="1245" spans="1:6" x14ac:dyDescent="0.3">
      <c r="A1245" s="3">
        <v>43805</v>
      </c>
      <c r="B1245">
        <v>9.1000000000000004E-3</v>
      </c>
      <c r="C1245">
        <v>3.7000000000000002E-3</v>
      </c>
      <c r="D1245">
        <v>3.9000000000000003E-3</v>
      </c>
      <c r="E1245">
        <v>3.3E-3</v>
      </c>
      <c r="F1245">
        <v>2.2000000000000001E-3</v>
      </c>
    </row>
    <row r="1246" spans="1:6" x14ac:dyDescent="0.3">
      <c r="A1246" s="3">
        <v>43808</v>
      </c>
      <c r="B1246">
        <v>-3.3E-3</v>
      </c>
      <c r="C1246">
        <v>3.0999999999999999E-3</v>
      </c>
      <c r="D1246">
        <v>1.1999999999999999E-3</v>
      </c>
      <c r="E1246">
        <v>-1.2999999999999999E-3</v>
      </c>
      <c r="F1246">
        <v>-2.2000000000000001E-3</v>
      </c>
    </row>
    <row r="1247" spans="1:6" x14ac:dyDescent="0.3">
      <c r="A1247" s="3">
        <v>43809</v>
      </c>
      <c r="B1247">
        <v>-8.0000000000000004E-4</v>
      </c>
      <c r="C1247">
        <v>2.7000000000000001E-3</v>
      </c>
      <c r="D1247">
        <v>-7.000000000000001E-4</v>
      </c>
      <c r="E1247">
        <v>-2E-3</v>
      </c>
      <c r="F1247">
        <v>4.0000000000000002E-4</v>
      </c>
    </row>
    <row r="1248" spans="1:6" x14ac:dyDescent="0.3">
      <c r="A1248" s="3">
        <v>43810</v>
      </c>
      <c r="B1248">
        <v>2.8000000000000004E-3</v>
      </c>
      <c r="C1248">
        <v>-8.9999999999999998E-4</v>
      </c>
      <c r="D1248">
        <v>1.1999999999999999E-3</v>
      </c>
      <c r="E1248">
        <v>3.3E-3</v>
      </c>
      <c r="F1248">
        <v>1.6000000000000001E-3</v>
      </c>
    </row>
    <row r="1249" spans="1:6" x14ac:dyDescent="0.3">
      <c r="A1249" s="3">
        <v>43811</v>
      </c>
      <c r="B1249">
        <v>9.0000000000000011E-3</v>
      </c>
      <c r="C1249">
        <v>1.1999999999999999E-3</v>
      </c>
      <c r="D1249">
        <v>1.1599999999999999E-2</v>
      </c>
      <c r="E1249">
        <v>1.2999999999999999E-3</v>
      </c>
      <c r="F1249">
        <v>1.9E-3</v>
      </c>
    </row>
    <row r="1250" spans="1:6" x14ac:dyDescent="0.3">
      <c r="A1250" s="3">
        <v>43812</v>
      </c>
      <c r="B1250">
        <v>-2.9999999999999997E-4</v>
      </c>
      <c r="C1250">
        <v>-4.5000000000000005E-3</v>
      </c>
      <c r="D1250">
        <v>-5.6000000000000008E-3</v>
      </c>
      <c r="E1250">
        <v>-2.7000000000000001E-3</v>
      </c>
      <c r="F1250">
        <v>-2.3999999999999998E-3</v>
      </c>
    </row>
    <row r="1251" spans="1:6" x14ac:dyDescent="0.3">
      <c r="A1251" s="3">
        <v>43815</v>
      </c>
      <c r="B1251">
        <v>7.4000000000000003E-3</v>
      </c>
      <c r="C1251">
        <v>-4.0000000000000002E-4</v>
      </c>
      <c r="D1251">
        <v>-5.0000000000000001E-4</v>
      </c>
      <c r="E1251">
        <v>-4.0000000000000001E-3</v>
      </c>
      <c r="F1251">
        <v>2E-3</v>
      </c>
    </row>
    <row r="1252" spans="1:6" x14ac:dyDescent="0.3">
      <c r="A1252" s="3">
        <v>43816</v>
      </c>
      <c r="B1252">
        <v>1E-3</v>
      </c>
      <c r="C1252">
        <v>4.7999999999999996E-3</v>
      </c>
      <c r="D1252">
        <v>6.8000000000000005E-3</v>
      </c>
      <c r="E1252">
        <v>1.1999999999999999E-3</v>
      </c>
      <c r="F1252">
        <v>-2.9999999999999997E-4</v>
      </c>
    </row>
    <row r="1253" spans="1:6" x14ac:dyDescent="0.3">
      <c r="A1253" s="3">
        <v>43817</v>
      </c>
      <c r="B1253">
        <v>-5.0000000000000001E-4</v>
      </c>
      <c r="C1253">
        <v>2.8999999999999998E-3</v>
      </c>
      <c r="D1253">
        <v>8.9999999999999998E-4</v>
      </c>
      <c r="E1253">
        <v>2.8000000000000004E-3</v>
      </c>
      <c r="F1253">
        <v>0</v>
      </c>
    </row>
    <row r="1254" spans="1:6" x14ac:dyDescent="0.3">
      <c r="A1254" s="3">
        <v>43818</v>
      </c>
      <c r="B1254">
        <v>4.3E-3</v>
      </c>
      <c r="C1254">
        <v>-1.4000000000000002E-3</v>
      </c>
      <c r="D1254">
        <v>-4.1999999999999997E-3</v>
      </c>
      <c r="E1254">
        <v>-2.3999999999999998E-3</v>
      </c>
      <c r="F1254">
        <v>-4.0000000000000002E-4</v>
      </c>
    </row>
    <row r="1255" spans="1:6" x14ac:dyDescent="0.3">
      <c r="A1255" s="3">
        <v>43819</v>
      </c>
      <c r="B1255">
        <v>4.7999999999999996E-3</v>
      </c>
      <c r="C1255">
        <v>-2.7000000000000001E-3</v>
      </c>
      <c r="D1255">
        <v>-3.2000000000000002E-3</v>
      </c>
      <c r="E1255">
        <v>1E-4</v>
      </c>
      <c r="F1255">
        <v>-7.000000000000001E-4</v>
      </c>
    </row>
    <row r="1256" spans="1:6" x14ac:dyDescent="0.3">
      <c r="A1256" s="3">
        <v>43822</v>
      </c>
      <c r="B1256">
        <v>1E-3</v>
      </c>
      <c r="C1256">
        <v>1.6000000000000001E-3</v>
      </c>
      <c r="D1256">
        <v>-3.2000000000000002E-3</v>
      </c>
      <c r="E1256">
        <v>-1.2999999999999999E-3</v>
      </c>
      <c r="F1256">
        <v>3.3E-3</v>
      </c>
    </row>
    <row r="1257" spans="1:6" x14ac:dyDescent="0.3">
      <c r="A1257" s="3">
        <v>43823</v>
      </c>
      <c r="B1257">
        <v>1E-4</v>
      </c>
      <c r="C1257">
        <v>3.7000000000000002E-3</v>
      </c>
      <c r="D1257">
        <v>0</v>
      </c>
      <c r="E1257">
        <v>-2.8000000000000004E-3</v>
      </c>
      <c r="F1257">
        <v>4.0000000000000002E-4</v>
      </c>
    </row>
    <row r="1258" spans="1:6" x14ac:dyDescent="0.3">
      <c r="A1258" s="3">
        <v>43825</v>
      </c>
      <c r="B1258">
        <v>4.7999999999999996E-3</v>
      </c>
      <c r="C1258">
        <v>-5.6000000000000008E-3</v>
      </c>
      <c r="D1258">
        <v>1E-4</v>
      </c>
      <c r="E1258">
        <v>2.5000000000000001E-3</v>
      </c>
      <c r="F1258">
        <v>-1.8E-3</v>
      </c>
    </row>
    <row r="1259" spans="1:6" x14ac:dyDescent="0.3">
      <c r="A1259" s="3">
        <v>43826</v>
      </c>
      <c r="B1259">
        <v>-1E-3</v>
      </c>
      <c r="C1259">
        <v>-5.5000000000000005E-3</v>
      </c>
      <c r="D1259">
        <v>-8.9999999999999998E-4</v>
      </c>
      <c r="E1259">
        <v>2.5000000000000001E-3</v>
      </c>
      <c r="F1259">
        <v>1.1000000000000001E-3</v>
      </c>
    </row>
    <row r="1260" spans="1:6" x14ac:dyDescent="0.3">
      <c r="A1260" s="3">
        <v>43829</v>
      </c>
      <c r="B1260">
        <v>-5.6999999999999993E-3</v>
      </c>
      <c r="C1260">
        <v>2.8000000000000004E-3</v>
      </c>
      <c r="D1260">
        <v>5.5000000000000005E-3</v>
      </c>
      <c r="E1260">
        <v>1.1000000000000001E-3</v>
      </c>
      <c r="F1260">
        <v>3.8E-3</v>
      </c>
    </row>
    <row r="1261" spans="1:6" x14ac:dyDescent="0.3">
      <c r="A1261" s="3">
        <v>43830</v>
      </c>
      <c r="B1261">
        <v>2.8000000000000004E-3</v>
      </c>
      <c r="C1261">
        <v>1E-4</v>
      </c>
      <c r="D1261">
        <v>1.1999999999999999E-3</v>
      </c>
      <c r="E1261">
        <v>-1.1999999999999999E-3</v>
      </c>
      <c r="F1261">
        <v>2.3E-3</v>
      </c>
    </row>
    <row r="1262" spans="1:6" x14ac:dyDescent="0.3">
      <c r="A1262" s="3">
        <v>43832</v>
      </c>
      <c r="B1262">
        <v>8.6E-3</v>
      </c>
      <c r="C1262">
        <v>-9.7000000000000003E-3</v>
      </c>
      <c r="D1262">
        <v>-3.2000000000000002E-3</v>
      </c>
      <c r="E1262">
        <v>2.3999999999999998E-3</v>
      </c>
      <c r="F1262">
        <v>-2.2000000000000001E-3</v>
      </c>
    </row>
    <row r="1263" spans="1:6" x14ac:dyDescent="0.3">
      <c r="A1263" s="3">
        <v>43833</v>
      </c>
      <c r="B1263">
        <v>-6.7000000000000002E-3</v>
      </c>
      <c r="C1263">
        <v>3.0000000000000001E-3</v>
      </c>
      <c r="D1263">
        <v>0</v>
      </c>
      <c r="E1263">
        <v>-1.4000000000000002E-3</v>
      </c>
      <c r="F1263">
        <v>-1.1000000000000001E-3</v>
      </c>
    </row>
    <row r="1264" spans="1:6" x14ac:dyDescent="0.3">
      <c r="A1264" s="3">
        <v>43836</v>
      </c>
      <c r="B1264">
        <v>3.5999999999999999E-3</v>
      </c>
      <c r="C1264">
        <v>-2.0999999999999999E-3</v>
      </c>
      <c r="D1264">
        <v>-5.4000000000000003E-3</v>
      </c>
      <c r="E1264">
        <v>-1.7000000000000001E-3</v>
      </c>
      <c r="F1264">
        <v>-2.5999999999999999E-3</v>
      </c>
    </row>
    <row r="1265" spans="1:6" x14ac:dyDescent="0.3">
      <c r="A1265" s="3">
        <v>43837</v>
      </c>
      <c r="B1265">
        <v>-1.9E-3</v>
      </c>
      <c r="C1265">
        <v>-2.9999999999999997E-4</v>
      </c>
      <c r="D1265">
        <v>-2.5000000000000001E-3</v>
      </c>
      <c r="E1265">
        <v>-1.2999999999999999E-3</v>
      </c>
      <c r="F1265">
        <v>-2.5000000000000001E-3</v>
      </c>
    </row>
    <row r="1266" spans="1:6" x14ac:dyDescent="0.3">
      <c r="A1266" s="3">
        <v>43838</v>
      </c>
      <c r="B1266">
        <v>4.6999999999999993E-3</v>
      </c>
      <c r="C1266">
        <v>-1.7000000000000001E-3</v>
      </c>
      <c r="D1266">
        <v>-6.5000000000000006E-3</v>
      </c>
      <c r="E1266">
        <v>-1.9E-3</v>
      </c>
      <c r="F1266">
        <v>-1.7000000000000001E-3</v>
      </c>
    </row>
    <row r="1267" spans="1:6" x14ac:dyDescent="0.3">
      <c r="A1267" s="3">
        <v>43839</v>
      </c>
      <c r="B1267">
        <v>6.5000000000000006E-3</v>
      </c>
      <c r="C1267">
        <v>-7.0999999999999995E-3</v>
      </c>
      <c r="D1267">
        <v>-4.8999999999999998E-3</v>
      </c>
      <c r="E1267">
        <v>-1.4000000000000002E-3</v>
      </c>
      <c r="F1267">
        <v>4.0000000000000002E-4</v>
      </c>
    </row>
    <row r="1268" spans="1:6" x14ac:dyDescent="0.3">
      <c r="A1268" s="3">
        <v>43840</v>
      </c>
      <c r="B1268">
        <v>-3.4000000000000002E-3</v>
      </c>
      <c r="C1268">
        <v>-2.5999999999999999E-3</v>
      </c>
      <c r="D1268">
        <v>-3.5999999999999999E-3</v>
      </c>
      <c r="E1268">
        <v>4.0000000000000002E-4</v>
      </c>
      <c r="F1268">
        <v>-8.0000000000000004E-4</v>
      </c>
    </row>
    <row r="1269" spans="1:6" x14ac:dyDescent="0.3">
      <c r="A1269" s="3">
        <v>43843</v>
      </c>
      <c r="B1269">
        <v>7.3000000000000001E-3</v>
      </c>
      <c r="C1269">
        <v>-1E-3</v>
      </c>
      <c r="D1269">
        <v>-8.9999999999999998E-4</v>
      </c>
      <c r="E1269">
        <v>3.4999999999999996E-3</v>
      </c>
      <c r="F1269">
        <v>2.7000000000000001E-3</v>
      </c>
    </row>
    <row r="1270" spans="1:6" x14ac:dyDescent="0.3">
      <c r="A1270" s="3">
        <v>43844</v>
      </c>
      <c r="B1270">
        <v>-5.9999999999999995E-4</v>
      </c>
      <c r="C1270">
        <v>4.6999999999999993E-3</v>
      </c>
      <c r="D1270">
        <v>-1.6000000000000001E-3</v>
      </c>
      <c r="E1270">
        <v>-3.2000000000000002E-3</v>
      </c>
      <c r="F1270">
        <v>-5.9999999999999995E-4</v>
      </c>
    </row>
    <row r="1271" spans="1:6" x14ac:dyDescent="0.3">
      <c r="A1271" s="3">
        <v>43845</v>
      </c>
      <c r="B1271">
        <v>1.6000000000000001E-3</v>
      </c>
      <c r="C1271">
        <v>2.7000000000000001E-3</v>
      </c>
      <c r="D1271">
        <v>-8.0000000000000002E-3</v>
      </c>
      <c r="E1271">
        <v>-8.0000000000000004E-4</v>
      </c>
      <c r="F1271">
        <v>-1.8E-3</v>
      </c>
    </row>
    <row r="1272" spans="1:6" x14ac:dyDescent="0.3">
      <c r="A1272" s="3">
        <v>43846</v>
      </c>
      <c r="B1272">
        <v>8.8000000000000005E-3</v>
      </c>
      <c r="C1272">
        <v>5.1999999999999998E-3</v>
      </c>
      <c r="D1272">
        <v>-1E-3</v>
      </c>
      <c r="E1272">
        <v>4.0000000000000002E-4</v>
      </c>
      <c r="F1272">
        <v>-1.1000000000000001E-3</v>
      </c>
    </row>
    <row r="1273" spans="1:6" x14ac:dyDescent="0.3">
      <c r="A1273" s="3">
        <v>43847</v>
      </c>
      <c r="B1273">
        <v>2.8000000000000004E-3</v>
      </c>
      <c r="C1273">
        <v>-6.3E-3</v>
      </c>
      <c r="D1273">
        <v>-1.1999999999999999E-3</v>
      </c>
      <c r="E1273">
        <v>2.2000000000000001E-3</v>
      </c>
      <c r="F1273">
        <v>-1E-4</v>
      </c>
    </row>
    <row r="1274" spans="1:6" x14ac:dyDescent="0.3">
      <c r="A1274" s="3">
        <v>43851</v>
      </c>
      <c r="B1274">
        <v>-3.2000000000000002E-3</v>
      </c>
      <c r="C1274">
        <v>-6.7000000000000002E-3</v>
      </c>
      <c r="D1274">
        <v>-6.1999999999999998E-3</v>
      </c>
      <c r="E1274">
        <v>-1.1999999999999999E-3</v>
      </c>
      <c r="F1274">
        <v>-2.5000000000000001E-3</v>
      </c>
    </row>
    <row r="1275" spans="1:6" x14ac:dyDescent="0.3">
      <c r="A1275" s="3">
        <v>43852</v>
      </c>
      <c r="B1275">
        <v>8.0000000000000004E-4</v>
      </c>
      <c r="C1275">
        <v>-2.3999999999999998E-3</v>
      </c>
      <c r="D1275">
        <v>1E-4</v>
      </c>
      <c r="E1275">
        <v>-2.5999999999999999E-3</v>
      </c>
      <c r="F1275">
        <v>1E-4</v>
      </c>
    </row>
    <row r="1276" spans="1:6" x14ac:dyDescent="0.3">
      <c r="A1276" s="3">
        <v>43853</v>
      </c>
      <c r="B1276">
        <v>8.0000000000000004E-4</v>
      </c>
      <c r="C1276">
        <v>-5.9999999999999995E-4</v>
      </c>
      <c r="D1276">
        <v>-1.2999999999999999E-3</v>
      </c>
      <c r="E1276">
        <v>2.8000000000000004E-3</v>
      </c>
      <c r="F1276">
        <v>-7.000000000000001E-4</v>
      </c>
    </row>
    <row r="1277" spans="1:6" x14ac:dyDescent="0.3">
      <c r="A1277" s="3">
        <v>43854</v>
      </c>
      <c r="B1277">
        <v>-9.7000000000000003E-3</v>
      </c>
      <c r="C1277">
        <v>-5.0000000000000001E-3</v>
      </c>
      <c r="D1277">
        <v>-2.8999999999999998E-3</v>
      </c>
      <c r="E1277">
        <v>1.6000000000000001E-3</v>
      </c>
      <c r="F1277">
        <v>-4.0000000000000002E-4</v>
      </c>
    </row>
    <row r="1278" spans="1:6" x14ac:dyDescent="0.3">
      <c r="A1278" s="3">
        <v>43857</v>
      </c>
      <c r="B1278">
        <v>-1.5600000000000001E-2</v>
      </c>
      <c r="C1278">
        <v>2.5999999999999999E-3</v>
      </c>
      <c r="D1278">
        <v>-4.1999999999999997E-3</v>
      </c>
      <c r="E1278">
        <v>-5.4000000000000003E-3</v>
      </c>
      <c r="F1278">
        <v>2.9999999999999997E-4</v>
      </c>
    </row>
    <row r="1279" spans="1:6" x14ac:dyDescent="0.3">
      <c r="A1279" s="3">
        <v>43858</v>
      </c>
      <c r="B1279">
        <v>1.0200000000000001E-2</v>
      </c>
      <c r="C1279">
        <v>-1.2999999999999999E-3</v>
      </c>
      <c r="D1279">
        <v>-4.0999999999999995E-3</v>
      </c>
      <c r="E1279">
        <v>1.7000000000000001E-3</v>
      </c>
      <c r="F1279">
        <v>-5.0000000000000001E-4</v>
      </c>
    </row>
    <row r="1280" spans="1:6" x14ac:dyDescent="0.3">
      <c r="A1280" s="3">
        <v>43859</v>
      </c>
      <c r="B1280">
        <v>-1E-3</v>
      </c>
      <c r="C1280">
        <v>-4.1999999999999997E-3</v>
      </c>
      <c r="D1280">
        <v>-9.8999999999999991E-3</v>
      </c>
      <c r="E1280">
        <v>2.5999999999999999E-3</v>
      </c>
      <c r="F1280">
        <v>8.0000000000000004E-4</v>
      </c>
    </row>
    <row r="1281" spans="1:6" x14ac:dyDescent="0.3">
      <c r="A1281" s="3">
        <v>43860</v>
      </c>
      <c r="B1281">
        <v>3.4000000000000002E-3</v>
      </c>
      <c r="C1281">
        <v>-6.4000000000000003E-3</v>
      </c>
      <c r="D1281">
        <v>6.8000000000000005E-3</v>
      </c>
      <c r="E1281">
        <v>-4.5000000000000005E-3</v>
      </c>
      <c r="F1281">
        <v>-2.5000000000000001E-3</v>
      </c>
    </row>
    <row r="1282" spans="1:6" x14ac:dyDescent="0.3">
      <c r="A1282" s="3">
        <v>43861</v>
      </c>
      <c r="B1282">
        <v>-1.7399999999999999E-2</v>
      </c>
      <c r="C1282">
        <v>-5.0000000000000001E-3</v>
      </c>
      <c r="D1282">
        <v>-3.4999999999999996E-3</v>
      </c>
      <c r="E1282">
        <v>-4.4000000000000003E-3</v>
      </c>
      <c r="F1282">
        <v>-6.6E-3</v>
      </c>
    </row>
    <row r="1283" spans="1:6" x14ac:dyDescent="0.3">
      <c r="A1283" s="3">
        <v>43864</v>
      </c>
      <c r="B1283">
        <v>8.3999999999999995E-3</v>
      </c>
      <c r="C1283">
        <v>3.5999999999999999E-3</v>
      </c>
      <c r="D1283">
        <v>-6.8000000000000005E-3</v>
      </c>
      <c r="E1283">
        <v>-6.7000000000000002E-3</v>
      </c>
      <c r="F1283">
        <v>-4.1999999999999997E-3</v>
      </c>
    </row>
    <row r="1284" spans="1:6" x14ac:dyDescent="0.3">
      <c r="A1284" s="3">
        <v>43865</v>
      </c>
      <c r="B1284">
        <v>1.5700000000000002E-2</v>
      </c>
      <c r="C1284">
        <v>-1.4000000000000002E-3</v>
      </c>
      <c r="D1284">
        <v>-7.0999999999999995E-3</v>
      </c>
      <c r="E1284">
        <v>3.8E-3</v>
      </c>
      <c r="F1284">
        <v>-1.7000000000000001E-3</v>
      </c>
    </row>
    <row r="1285" spans="1:6" x14ac:dyDescent="0.3">
      <c r="A1285" s="3">
        <v>43866</v>
      </c>
      <c r="B1285">
        <v>9.7000000000000003E-3</v>
      </c>
      <c r="C1285">
        <v>7.4000000000000003E-3</v>
      </c>
      <c r="D1285">
        <v>1.49E-2</v>
      </c>
      <c r="E1285">
        <v>9.4999999999999998E-3</v>
      </c>
      <c r="F1285">
        <v>6.7000000000000002E-3</v>
      </c>
    </row>
    <row r="1286" spans="1:6" x14ac:dyDescent="0.3">
      <c r="A1286" s="3">
        <v>43867</v>
      </c>
      <c r="B1286">
        <v>2.7000000000000001E-3</v>
      </c>
      <c r="C1286">
        <v>-5.8999999999999999E-3</v>
      </c>
      <c r="D1286">
        <v>-8.1000000000000013E-3</v>
      </c>
      <c r="E1286">
        <v>-2.9999999999999997E-4</v>
      </c>
      <c r="F1286">
        <v>-4.0000000000000001E-3</v>
      </c>
    </row>
    <row r="1287" spans="1:6" x14ac:dyDescent="0.3">
      <c r="A1287" s="3">
        <v>43868</v>
      </c>
      <c r="B1287">
        <v>-5.5000000000000005E-3</v>
      </c>
      <c r="C1287">
        <v>-8.3999999999999995E-3</v>
      </c>
      <c r="D1287">
        <v>-4.0000000000000002E-4</v>
      </c>
      <c r="E1287">
        <v>-2.3E-3</v>
      </c>
      <c r="F1287">
        <v>-5.6999999999999993E-3</v>
      </c>
    </row>
    <row r="1288" spans="1:6" x14ac:dyDescent="0.3">
      <c r="A1288" s="3">
        <v>43871</v>
      </c>
      <c r="B1288">
        <v>7.3000000000000001E-3</v>
      </c>
      <c r="C1288">
        <v>-1.7000000000000001E-3</v>
      </c>
      <c r="D1288">
        <v>-8.8999999999999999E-3</v>
      </c>
      <c r="E1288">
        <v>-1.1999999999999999E-3</v>
      </c>
      <c r="F1288">
        <v>-5.1000000000000004E-3</v>
      </c>
    </row>
    <row r="1289" spans="1:6" x14ac:dyDescent="0.3">
      <c r="A1289" s="3">
        <v>43872</v>
      </c>
      <c r="B1289">
        <v>2.8000000000000004E-3</v>
      </c>
      <c r="C1289">
        <v>3.4000000000000002E-3</v>
      </c>
      <c r="D1289">
        <v>1.0500000000000001E-2</v>
      </c>
      <c r="E1289">
        <v>2.3999999999999998E-3</v>
      </c>
      <c r="F1289">
        <v>3.3E-3</v>
      </c>
    </row>
    <row r="1290" spans="1:6" x14ac:dyDescent="0.3">
      <c r="A1290" s="3">
        <v>43873</v>
      </c>
      <c r="B1290">
        <v>6.6E-3</v>
      </c>
      <c r="C1290">
        <v>1.5E-3</v>
      </c>
      <c r="D1290">
        <v>-3.4000000000000002E-3</v>
      </c>
      <c r="E1290">
        <v>2.0999999999999999E-3</v>
      </c>
      <c r="F1290">
        <v>5.9999999999999995E-4</v>
      </c>
    </row>
    <row r="1291" spans="1:6" x14ac:dyDescent="0.3">
      <c r="A1291" s="3">
        <v>43874</v>
      </c>
      <c r="B1291">
        <v>-8.9999999999999998E-4</v>
      </c>
      <c r="C1291">
        <v>1.6000000000000001E-3</v>
      </c>
      <c r="D1291">
        <v>-2.0000000000000001E-4</v>
      </c>
      <c r="E1291">
        <v>-1.1999999999999999E-3</v>
      </c>
      <c r="F1291">
        <v>-4.0000000000000001E-3</v>
      </c>
    </row>
    <row r="1292" spans="1:6" x14ac:dyDescent="0.3">
      <c r="A1292" s="3">
        <v>43875</v>
      </c>
      <c r="B1292">
        <v>1.5E-3</v>
      </c>
      <c r="C1292">
        <v>-5.6000000000000008E-3</v>
      </c>
      <c r="D1292">
        <v>-6.6E-3</v>
      </c>
      <c r="E1292">
        <v>-2.3E-3</v>
      </c>
      <c r="F1292">
        <v>-3.0999999999999999E-3</v>
      </c>
    </row>
    <row r="1293" spans="1:6" x14ac:dyDescent="0.3">
      <c r="A1293" s="3">
        <v>43879</v>
      </c>
      <c r="B1293">
        <v>-1.9E-3</v>
      </c>
      <c r="C1293">
        <v>-1E-4</v>
      </c>
      <c r="D1293">
        <v>-6.4000000000000003E-3</v>
      </c>
      <c r="E1293">
        <v>-4.1999999999999997E-3</v>
      </c>
      <c r="F1293">
        <v>-6.7000000000000002E-3</v>
      </c>
    </row>
    <row r="1294" spans="1:6" x14ac:dyDescent="0.3">
      <c r="A1294" s="3">
        <v>43880</v>
      </c>
      <c r="B1294">
        <v>6.0000000000000001E-3</v>
      </c>
      <c r="C1294">
        <v>1.8E-3</v>
      </c>
      <c r="D1294">
        <v>2.0000000000000001E-4</v>
      </c>
      <c r="E1294">
        <v>1.8E-3</v>
      </c>
      <c r="F1294">
        <v>-2.3999999999999998E-3</v>
      </c>
    </row>
    <row r="1295" spans="1:6" x14ac:dyDescent="0.3">
      <c r="A1295" s="3">
        <v>43881</v>
      </c>
      <c r="B1295">
        <v>-3.4999999999999996E-3</v>
      </c>
      <c r="C1295">
        <v>6.3E-3</v>
      </c>
      <c r="D1295">
        <v>6.6E-3</v>
      </c>
      <c r="E1295">
        <v>1.6000000000000001E-3</v>
      </c>
      <c r="F1295">
        <v>-5.0000000000000001E-4</v>
      </c>
    </row>
    <row r="1296" spans="1:6" x14ac:dyDescent="0.3">
      <c r="A1296" s="3">
        <v>43882</v>
      </c>
      <c r="B1296">
        <v>-1.1200000000000002E-2</v>
      </c>
      <c r="C1296">
        <v>-7.000000000000001E-4</v>
      </c>
      <c r="D1296">
        <v>2.9999999999999997E-4</v>
      </c>
      <c r="E1296">
        <v>-2.3E-3</v>
      </c>
      <c r="F1296">
        <v>3.9000000000000003E-3</v>
      </c>
    </row>
    <row r="1297" spans="1:6" x14ac:dyDescent="0.3">
      <c r="A1297" s="3">
        <v>43885</v>
      </c>
      <c r="B1297">
        <v>-3.39E-2</v>
      </c>
      <c r="C1297">
        <v>1.5E-3</v>
      </c>
      <c r="D1297">
        <v>0</v>
      </c>
      <c r="E1297">
        <v>-3.4999999999999996E-3</v>
      </c>
      <c r="F1297">
        <v>2.2000000000000001E-3</v>
      </c>
    </row>
    <row r="1298" spans="1:6" x14ac:dyDescent="0.3">
      <c r="A1298" s="3">
        <v>43886</v>
      </c>
      <c r="B1298">
        <v>-3.0899999999999997E-2</v>
      </c>
      <c r="C1298">
        <v>-3.4999999999999996E-3</v>
      </c>
      <c r="D1298">
        <v>-6.7000000000000002E-3</v>
      </c>
      <c r="E1298">
        <v>-6.3E-3</v>
      </c>
      <c r="F1298">
        <v>-5.0000000000000001E-4</v>
      </c>
    </row>
    <row r="1299" spans="1:6" x14ac:dyDescent="0.3">
      <c r="A1299" s="3">
        <v>43887</v>
      </c>
      <c r="B1299">
        <v>-5.1999999999999998E-3</v>
      </c>
      <c r="C1299">
        <v>-7.4000000000000003E-3</v>
      </c>
      <c r="D1299">
        <v>-1.1899999999999999E-2</v>
      </c>
      <c r="E1299">
        <v>-4.6999999999999993E-3</v>
      </c>
      <c r="F1299">
        <v>-1.8E-3</v>
      </c>
    </row>
    <row r="1300" spans="1:6" x14ac:dyDescent="0.3">
      <c r="A1300" s="3">
        <v>43888</v>
      </c>
      <c r="B1300">
        <v>-4.2199999999999994E-2</v>
      </c>
      <c r="C1300">
        <v>7.0999999999999995E-3</v>
      </c>
      <c r="D1300">
        <v>5.0000000000000001E-4</v>
      </c>
      <c r="E1300">
        <v>-4.0999999999999995E-3</v>
      </c>
      <c r="F1300">
        <v>0</v>
      </c>
    </row>
    <row r="1301" spans="1:6" x14ac:dyDescent="0.3">
      <c r="A1301" s="3">
        <v>43889</v>
      </c>
      <c r="B1301">
        <v>-7.8000000000000005E-3</v>
      </c>
      <c r="C1301">
        <v>8.9999999999999998E-4</v>
      </c>
      <c r="D1301">
        <v>-7.9000000000000008E-3</v>
      </c>
      <c r="E1301">
        <v>2.5999999999999999E-3</v>
      </c>
      <c r="F1301">
        <v>-5.0000000000000001E-3</v>
      </c>
    </row>
    <row r="1302" spans="1:6" x14ac:dyDescent="0.3">
      <c r="A1302" s="3">
        <v>43892</v>
      </c>
      <c r="B1302">
        <v>4.3099999999999999E-2</v>
      </c>
      <c r="C1302">
        <v>-1.9099999999999999E-2</v>
      </c>
      <c r="D1302">
        <v>-4.3E-3</v>
      </c>
      <c r="E1302">
        <v>-5.3E-3</v>
      </c>
      <c r="F1302">
        <v>4.0999999999999995E-3</v>
      </c>
    </row>
    <row r="1303" spans="1:6" x14ac:dyDescent="0.3">
      <c r="A1303" s="3">
        <v>43893</v>
      </c>
      <c r="B1303">
        <v>-2.7900000000000001E-2</v>
      </c>
      <c r="C1303">
        <v>6.7000000000000002E-3</v>
      </c>
      <c r="D1303">
        <v>-6.1999999999999998E-3</v>
      </c>
      <c r="E1303">
        <v>-4.5999999999999999E-3</v>
      </c>
      <c r="F1303">
        <v>3.3E-3</v>
      </c>
    </row>
    <row r="1304" spans="1:6" x14ac:dyDescent="0.3">
      <c r="A1304" s="3">
        <v>43894</v>
      </c>
      <c r="B1304">
        <v>4.0300000000000002E-2</v>
      </c>
      <c r="C1304">
        <v>-1.23E-2</v>
      </c>
      <c r="D1304">
        <v>-1.1699999999999999E-2</v>
      </c>
      <c r="E1304">
        <v>7.000000000000001E-4</v>
      </c>
      <c r="F1304">
        <v>2.8000000000000004E-3</v>
      </c>
    </row>
    <row r="1305" spans="1:6" x14ac:dyDescent="0.3">
      <c r="A1305" s="3">
        <v>43895</v>
      </c>
      <c r="B1305">
        <v>-3.3799999999999997E-2</v>
      </c>
      <c r="C1305">
        <v>-1.5E-3</v>
      </c>
      <c r="D1305">
        <v>-1.37E-2</v>
      </c>
      <c r="E1305">
        <v>-8.8000000000000005E-3</v>
      </c>
      <c r="F1305">
        <v>5.9999999999999995E-4</v>
      </c>
    </row>
    <row r="1306" spans="1:6" x14ac:dyDescent="0.3">
      <c r="A1306" s="3">
        <v>43896</v>
      </c>
      <c r="B1306">
        <v>-1.78E-2</v>
      </c>
      <c r="C1306">
        <v>-2.0999999999999999E-3</v>
      </c>
      <c r="D1306">
        <v>-1.47E-2</v>
      </c>
      <c r="E1306">
        <v>6.8999999999999999E-3</v>
      </c>
      <c r="F1306">
        <v>3.4999999999999996E-3</v>
      </c>
    </row>
    <row r="1307" spans="1:6" x14ac:dyDescent="0.3">
      <c r="A1307" s="3">
        <v>43899</v>
      </c>
      <c r="B1307">
        <v>-7.7899999999999997E-2</v>
      </c>
      <c r="C1307">
        <v>-1.3300000000000001E-2</v>
      </c>
      <c r="D1307">
        <v>-4.8099999999999997E-2</v>
      </c>
      <c r="E1307">
        <v>1E-3</v>
      </c>
      <c r="F1307">
        <v>4.6999999999999993E-3</v>
      </c>
    </row>
    <row r="1308" spans="1:6" x14ac:dyDescent="0.3">
      <c r="A1308" s="3">
        <v>43900</v>
      </c>
      <c r="B1308">
        <v>4.7400000000000005E-2</v>
      </c>
      <c r="C1308">
        <v>-2.3900000000000001E-2</v>
      </c>
      <c r="D1308">
        <v>7.9000000000000008E-3</v>
      </c>
      <c r="E1308">
        <v>5.1999999999999998E-3</v>
      </c>
      <c r="F1308">
        <v>5.9999999999999995E-4</v>
      </c>
    </row>
    <row r="1309" spans="1:6" x14ac:dyDescent="0.3">
      <c r="A1309" s="3">
        <v>43901</v>
      </c>
      <c r="B1309">
        <v>-5.0499999999999996E-2</v>
      </c>
      <c r="C1309">
        <v>-1.0500000000000001E-2</v>
      </c>
      <c r="D1309">
        <v>-8.3000000000000001E-3</v>
      </c>
      <c r="E1309">
        <v>4.0000000000000002E-4</v>
      </c>
      <c r="F1309">
        <v>1E-3</v>
      </c>
    </row>
    <row r="1310" spans="1:6" x14ac:dyDescent="0.3">
      <c r="A1310" s="3">
        <v>43902</v>
      </c>
      <c r="B1310">
        <v>-9.6300000000000011E-2</v>
      </c>
      <c r="C1310">
        <v>-1.0800000000000001E-2</v>
      </c>
      <c r="D1310">
        <v>-1.1699999999999999E-2</v>
      </c>
      <c r="E1310">
        <v>-3.3E-3</v>
      </c>
      <c r="F1310">
        <v>-1.5E-3</v>
      </c>
    </row>
    <row r="1311" spans="1:6" x14ac:dyDescent="0.3">
      <c r="A1311" s="3">
        <v>43903</v>
      </c>
      <c r="B1311">
        <v>8.9600000000000013E-2</v>
      </c>
      <c r="C1311">
        <v>-2.06E-2</v>
      </c>
      <c r="D1311">
        <v>3.0899999999999997E-2</v>
      </c>
      <c r="E1311">
        <v>1.2E-2</v>
      </c>
      <c r="F1311">
        <v>3.7000000000000002E-3</v>
      </c>
    </row>
    <row r="1312" spans="1:6" x14ac:dyDescent="0.3">
      <c r="A1312" s="3">
        <v>43906</v>
      </c>
      <c r="B1312">
        <v>-0.12</v>
      </c>
      <c r="C1312">
        <v>-8.3000000000000001E-3</v>
      </c>
      <c r="D1312">
        <v>-7.4000000000000003E-3</v>
      </c>
      <c r="E1312">
        <v>4.8999999999999998E-3</v>
      </c>
      <c r="F1312">
        <v>1.38E-2</v>
      </c>
    </row>
    <row r="1313" spans="1:6" x14ac:dyDescent="0.3">
      <c r="A1313" s="3">
        <v>43907</v>
      </c>
      <c r="B1313">
        <v>5.8700000000000002E-2</v>
      </c>
      <c r="C1313">
        <v>4.4000000000000003E-3</v>
      </c>
      <c r="D1313">
        <v>-7.0999999999999995E-3</v>
      </c>
      <c r="E1313">
        <v>-5.4000000000000003E-3</v>
      </c>
      <c r="F1313">
        <v>-2.0999999999999999E-3</v>
      </c>
    </row>
    <row r="1314" spans="1:6" x14ac:dyDescent="0.3">
      <c r="A1314" s="3">
        <v>43908</v>
      </c>
      <c r="B1314">
        <v>-5.5599999999999997E-2</v>
      </c>
      <c r="C1314">
        <v>-4.5700000000000005E-2</v>
      </c>
      <c r="D1314">
        <v>-4.6600000000000003E-2</v>
      </c>
      <c r="E1314">
        <v>1.1999999999999999E-3</v>
      </c>
      <c r="F1314">
        <v>5.9999999999999995E-4</v>
      </c>
    </row>
    <row r="1315" spans="1:6" x14ac:dyDescent="0.3">
      <c r="A1315" s="3">
        <v>43909</v>
      </c>
      <c r="B1315">
        <v>1.3100000000000001E-2</v>
      </c>
      <c r="C1315">
        <v>5.74E-2</v>
      </c>
      <c r="D1315">
        <v>7.6E-3</v>
      </c>
      <c r="E1315">
        <v>-1.3899999999999999E-2</v>
      </c>
      <c r="F1315">
        <v>-1.7000000000000001E-2</v>
      </c>
    </row>
    <row r="1316" spans="1:6" x14ac:dyDescent="0.3">
      <c r="A1316" s="3">
        <v>43910</v>
      </c>
      <c r="B1316">
        <v>-4.1500000000000002E-2</v>
      </c>
      <c r="C1316">
        <v>2.2000000000000001E-3</v>
      </c>
      <c r="D1316">
        <v>-9.0000000000000011E-3</v>
      </c>
      <c r="E1316">
        <v>-9.7000000000000003E-3</v>
      </c>
      <c r="F1316">
        <v>-1.1299999999999999E-2</v>
      </c>
    </row>
    <row r="1317" spans="1:6" x14ac:dyDescent="0.3">
      <c r="A1317" s="3">
        <v>43913</v>
      </c>
      <c r="B1317">
        <v>-2.5499999999999998E-2</v>
      </c>
      <c r="C1317">
        <v>1.7100000000000001E-2</v>
      </c>
      <c r="D1317">
        <v>-3.4000000000000002E-2</v>
      </c>
      <c r="E1317">
        <v>3.0999999999999999E-3</v>
      </c>
      <c r="F1317">
        <v>-1.0500000000000001E-2</v>
      </c>
    </row>
    <row r="1318" spans="1:6" x14ac:dyDescent="0.3">
      <c r="A1318" s="3">
        <v>43914</v>
      </c>
      <c r="B1318">
        <v>9.3399999999999997E-2</v>
      </c>
      <c r="C1318">
        <v>-2.8000000000000004E-3</v>
      </c>
      <c r="D1318">
        <v>2.4300000000000002E-2</v>
      </c>
      <c r="E1318">
        <v>4.7999999999999996E-3</v>
      </c>
      <c r="F1318">
        <v>1.6000000000000001E-3</v>
      </c>
    </row>
    <row r="1319" spans="1:6" x14ac:dyDescent="0.3">
      <c r="A1319" s="3">
        <v>43915</v>
      </c>
      <c r="B1319">
        <v>1.18E-2</v>
      </c>
      <c r="C1319">
        <v>-1.8E-3</v>
      </c>
      <c r="D1319">
        <v>1.8700000000000001E-2</v>
      </c>
      <c r="E1319">
        <v>-8.0000000000000004E-4</v>
      </c>
      <c r="F1319">
        <v>2.3999999999999998E-3</v>
      </c>
    </row>
    <row r="1320" spans="1:6" x14ac:dyDescent="0.3">
      <c r="A1320" s="3">
        <v>43916</v>
      </c>
      <c r="B1320">
        <v>6.0199999999999997E-2</v>
      </c>
      <c r="C1320">
        <v>-5.1999999999999998E-3</v>
      </c>
      <c r="D1320">
        <v>1.1699999999999999E-2</v>
      </c>
      <c r="E1320">
        <v>-6.0999999999999995E-3</v>
      </c>
      <c r="F1320">
        <v>-2.9999999999999997E-4</v>
      </c>
    </row>
    <row r="1321" spans="1:6" x14ac:dyDescent="0.3">
      <c r="A1321" s="3">
        <v>43917</v>
      </c>
      <c r="B1321">
        <v>-3.4799999999999998E-2</v>
      </c>
      <c r="C1321">
        <v>-1.11E-2</v>
      </c>
      <c r="D1321">
        <v>-7.4999999999999997E-3</v>
      </c>
      <c r="E1321">
        <v>-1.1200000000000002E-2</v>
      </c>
      <c r="F1321">
        <v>7.8000000000000005E-3</v>
      </c>
    </row>
    <row r="1322" spans="1:6" x14ac:dyDescent="0.3">
      <c r="A1322" s="3">
        <v>43920</v>
      </c>
      <c r="B1322">
        <v>3.1600000000000003E-2</v>
      </c>
      <c r="C1322">
        <v>-7.8000000000000005E-3</v>
      </c>
      <c r="D1322">
        <v>-2.12E-2</v>
      </c>
      <c r="E1322">
        <v>-2.5000000000000001E-3</v>
      </c>
      <c r="F1322">
        <v>-1.2999999999999999E-3</v>
      </c>
    </row>
    <row r="1323" spans="1:6" x14ac:dyDescent="0.3">
      <c r="A1323" s="3">
        <v>43921</v>
      </c>
      <c r="B1323">
        <v>-1.44E-2</v>
      </c>
      <c r="C1323">
        <v>1.52E-2</v>
      </c>
      <c r="D1323">
        <v>-4.3E-3</v>
      </c>
      <c r="E1323">
        <v>4.0999999999999995E-3</v>
      </c>
      <c r="F1323">
        <v>-5.0000000000000001E-4</v>
      </c>
    </row>
    <row r="1324" spans="1:6" x14ac:dyDescent="0.3">
      <c r="A1324" s="3">
        <v>43922</v>
      </c>
      <c r="B1324">
        <v>-4.5100000000000001E-2</v>
      </c>
      <c r="C1324">
        <v>-0.02</v>
      </c>
      <c r="D1324">
        <v>-1.46E-2</v>
      </c>
      <c r="E1324">
        <v>2.3E-3</v>
      </c>
      <c r="F1324">
        <v>2.3999999999999998E-3</v>
      </c>
    </row>
    <row r="1325" spans="1:6" x14ac:dyDescent="0.3">
      <c r="A1325" s="3">
        <v>43923</v>
      </c>
      <c r="B1325">
        <v>2.1000000000000001E-2</v>
      </c>
      <c r="C1325">
        <v>-9.7999999999999997E-3</v>
      </c>
      <c r="D1325">
        <v>-2.5000000000000001E-3</v>
      </c>
      <c r="E1325">
        <v>-2.7000000000000001E-3</v>
      </c>
      <c r="F1325">
        <v>8.1000000000000013E-3</v>
      </c>
    </row>
    <row r="1326" spans="1:6" x14ac:dyDescent="0.3">
      <c r="A1326" s="3">
        <v>43924</v>
      </c>
      <c r="B1326">
        <v>-1.6399999999999998E-2</v>
      </c>
      <c r="C1326">
        <v>-1.37E-2</v>
      </c>
      <c r="D1326">
        <v>-1.18E-2</v>
      </c>
      <c r="E1326">
        <v>-2.3999999999999998E-3</v>
      </c>
      <c r="F1326">
        <v>3.4999999999999996E-3</v>
      </c>
    </row>
    <row r="1327" spans="1:6" x14ac:dyDescent="0.3">
      <c r="A1327" s="3">
        <v>43927</v>
      </c>
      <c r="B1327">
        <v>7.0599999999999996E-2</v>
      </c>
      <c r="C1327">
        <v>1.1599999999999999E-2</v>
      </c>
      <c r="D1327">
        <v>3.4000000000000002E-3</v>
      </c>
      <c r="E1327">
        <v>1.3000000000000001E-2</v>
      </c>
      <c r="F1327">
        <v>-7.9000000000000008E-3</v>
      </c>
    </row>
    <row r="1328" spans="1:6" x14ac:dyDescent="0.3">
      <c r="A1328" s="3">
        <v>43928</v>
      </c>
      <c r="B1328">
        <v>-1.1000000000000001E-3</v>
      </c>
      <c r="C1328">
        <v>1.1999999999999999E-3</v>
      </c>
      <c r="D1328">
        <v>2.0799999999999999E-2</v>
      </c>
      <c r="E1328">
        <v>8.8999999999999999E-3</v>
      </c>
      <c r="F1328">
        <v>-3.4000000000000002E-3</v>
      </c>
    </row>
    <row r="1329" spans="1:6" x14ac:dyDescent="0.3">
      <c r="A1329" s="3">
        <v>43929</v>
      </c>
      <c r="B1329">
        <v>3.4000000000000002E-2</v>
      </c>
      <c r="C1329">
        <v>8.5000000000000006E-3</v>
      </c>
      <c r="D1329">
        <v>1.3000000000000001E-2</v>
      </c>
      <c r="E1329">
        <v>4.5999999999999999E-3</v>
      </c>
      <c r="F1329">
        <v>-8.9999999999999998E-4</v>
      </c>
    </row>
    <row r="1330" spans="1:6" x14ac:dyDescent="0.3">
      <c r="A1330" s="3">
        <v>43930</v>
      </c>
      <c r="B1330">
        <v>1.5900000000000001E-2</v>
      </c>
      <c r="C1330">
        <v>2.4399999999999998E-2</v>
      </c>
      <c r="D1330">
        <v>3.1600000000000003E-2</v>
      </c>
      <c r="E1330">
        <v>-8.8000000000000005E-3</v>
      </c>
      <c r="F1330">
        <v>-7.000000000000001E-4</v>
      </c>
    </row>
    <row r="1331" spans="1:6" x14ac:dyDescent="0.3">
      <c r="A1331" s="3">
        <v>43934</v>
      </c>
      <c r="B1331">
        <v>-9.1999999999999998E-3</v>
      </c>
      <c r="C1331">
        <v>-1.4499999999999999E-2</v>
      </c>
      <c r="D1331">
        <v>-2.41E-2</v>
      </c>
      <c r="E1331">
        <v>-4.8999999999999998E-3</v>
      </c>
      <c r="F1331">
        <v>4.0000000000000002E-4</v>
      </c>
    </row>
    <row r="1332" spans="1:6" x14ac:dyDescent="0.3">
      <c r="A1332" s="3">
        <v>43935</v>
      </c>
      <c r="B1332">
        <v>3.0200000000000001E-2</v>
      </c>
      <c r="C1332">
        <v>-7.1999999999999998E-3</v>
      </c>
      <c r="D1332">
        <v>-3.1200000000000002E-2</v>
      </c>
      <c r="E1332">
        <v>2.5000000000000001E-3</v>
      </c>
      <c r="F1332">
        <v>-3.3E-3</v>
      </c>
    </row>
    <row r="1333" spans="1:6" x14ac:dyDescent="0.3">
      <c r="A1333" s="3">
        <v>43936</v>
      </c>
      <c r="B1333">
        <v>-2.1499999999999998E-2</v>
      </c>
      <c r="C1333">
        <v>-1.95E-2</v>
      </c>
      <c r="D1333">
        <v>-2.5499999999999998E-2</v>
      </c>
      <c r="E1333">
        <v>-4.0000000000000001E-3</v>
      </c>
      <c r="F1333">
        <v>-2.0999999999999999E-3</v>
      </c>
    </row>
    <row r="1334" spans="1:6" x14ac:dyDescent="0.3">
      <c r="A1334" s="3">
        <v>43937</v>
      </c>
      <c r="B1334">
        <v>6.1999999999999998E-3</v>
      </c>
      <c r="C1334">
        <v>-8.0000000000000002E-3</v>
      </c>
      <c r="D1334">
        <v>-2.98E-2</v>
      </c>
      <c r="E1334">
        <v>-2.8999999999999998E-3</v>
      </c>
      <c r="F1334">
        <v>-3.0000000000000001E-3</v>
      </c>
    </row>
    <row r="1335" spans="1:6" x14ac:dyDescent="0.3">
      <c r="A1335" s="3">
        <v>43938</v>
      </c>
      <c r="B1335">
        <v>2.7200000000000002E-2</v>
      </c>
      <c r="C1335">
        <v>1.5100000000000001E-2</v>
      </c>
      <c r="D1335">
        <v>2.75E-2</v>
      </c>
      <c r="E1335">
        <v>-1.6000000000000001E-3</v>
      </c>
      <c r="F1335">
        <v>-1E-4</v>
      </c>
    </row>
    <row r="1336" spans="1:6" x14ac:dyDescent="0.3">
      <c r="A1336" s="3">
        <v>43941</v>
      </c>
      <c r="B1336">
        <v>-1.5600000000000001E-2</v>
      </c>
      <c r="C1336">
        <v>3.9000000000000003E-3</v>
      </c>
      <c r="D1336">
        <v>-9.1000000000000004E-3</v>
      </c>
      <c r="E1336">
        <v>-1.7500000000000002E-2</v>
      </c>
      <c r="F1336">
        <v>-3.8E-3</v>
      </c>
    </row>
    <row r="1337" spans="1:6" x14ac:dyDescent="0.3">
      <c r="A1337" s="3">
        <v>43942</v>
      </c>
      <c r="B1337">
        <v>-3.0800000000000001E-2</v>
      </c>
      <c r="C1337">
        <v>9.300000000000001E-3</v>
      </c>
      <c r="D1337">
        <v>1.4000000000000002E-3</v>
      </c>
      <c r="E1337">
        <v>2.5999999999999999E-3</v>
      </c>
      <c r="F1337">
        <v>4.0999999999999995E-3</v>
      </c>
    </row>
    <row r="1338" spans="1:6" x14ac:dyDescent="0.3">
      <c r="A1338" s="3">
        <v>43943</v>
      </c>
      <c r="B1338">
        <v>2.3099999999999999E-2</v>
      </c>
      <c r="C1338">
        <v>-8.8000000000000005E-3</v>
      </c>
      <c r="D1338">
        <v>-1.6200000000000003E-2</v>
      </c>
      <c r="E1338">
        <v>1.1000000000000001E-3</v>
      </c>
      <c r="F1338">
        <v>4.0000000000000002E-4</v>
      </c>
    </row>
    <row r="1339" spans="1:6" x14ac:dyDescent="0.3">
      <c r="A1339" s="3">
        <v>43944</v>
      </c>
      <c r="B1339">
        <v>1.2999999999999999E-3</v>
      </c>
      <c r="C1339">
        <v>1.26E-2</v>
      </c>
      <c r="D1339">
        <v>5.6999999999999993E-3</v>
      </c>
      <c r="E1339">
        <v>5.1999999999999998E-3</v>
      </c>
      <c r="F1339">
        <v>-2.3999999999999998E-3</v>
      </c>
    </row>
    <row r="1340" spans="1:6" x14ac:dyDescent="0.3">
      <c r="A1340" s="3">
        <v>43945</v>
      </c>
      <c r="B1340">
        <v>1.44E-2</v>
      </c>
      <c r="C1340">
        <v>2.3999999999999998E-3</v>
      </c>
      <c r="D1340">
        <v>-7.000000000000001E-4</v>
      </c>
      <c r="E1340">
        <v>-1.9E-3</v>
      </c>
      <c r="F1340">
        <v>1.5E-3</v>
      </c>
    </row>
    <row r="1341" spans="1:6" x14ac:dyDescent="0.3">
      <c r="A1341" s="3">
        <v>43948</v>
      </c>
      <c r="B1341">
        <v>1.7299999999999999E-2</v>
      </c>
      <c r="C1341">
        <v>2.1499999999999998E-2</v>
      </c>
      <c r="D1341">
        <v>2.7200000000000002E-2</v>
      </c>
      <c r="E1341">
        <v>-1.2999999999999999E-3</v>
      </c>
      <c r="F1341">
        <v>1.4000000000000002E-3</v>
      </c>
    </row>
    <row r="1342" spans="1:6" x14ac:dyDescent="0.3">
      <c r="A1342" s="3">
        <v>43949</v>
      </c>
      <c r="B1342">
        <v>-4.5000000000000005E-3</v>
      </c>
      <c r="C1342">
        <v>1.7299999999999999E-2</v>
      </c>
      <c r="D1342">
        <v>2.8199999999999999E-2</v>
      </c>
      <c r="E1342">
        <v>1.34E-2</v>
      </c>
      <c r="F1342">
        <v>7.3000000000000001E-3</v>
      </c>
    </row>
    <row r="1343" spans="1:6" x14ac:dyDescent="0.3">
      <c r="A1343" s="3">
        <v>43950</v>
      </c>
      <c r="B1343">
        <v>2.92E-2</v>
      </c>
      <c r="C1343">
        <v>2.3099999999999999E-2</v>
      </c>
      <c r="D1343">
        <v>2.0499999999999997E-2</v>
      </c>
      <c r="E1343">
        <v>1.23E-2</v>
      </c>
      <c r="F1343">
        <v>-8.6999999999999994E-3</v>
      </c>
    </row>
    <row r="1344" spans="1:6" x14ac:dyDescent="0.3">
      <c r="A1344" s="3">
        <v>43951</v>
      </c>
      <c r="B1344">
        <v>-1.18E-2</v>
      </c>
      <c r="C1344">
        <v>-2.0499999999999997E-2</v>
      </c>
      <c r="D1344">
        <v>-1.6899999999999998E-2</v>
      </c>
      <c r="E1344">
        <v>6.4000000000000003E-3</v>
      </c>
      <c r="F1344">
        <v>-5.0000000000000001E-4</v>
      </c>
    </row>
    <row r="1345" spans="1:6" x14ac:dyDescent="0.3">
      <c r="A1345" s="3">
        <v>43952</v>
      </c>
      <c r="B1345">
        <v>-2.9100000000000001E-2</v>
      </c>
      <c r="C1345">
        <v>-9.0000000000000011E-3</v>
      </c>
      <c r="D1345">
        <v>-9.7999999999999997E-3</v>
      </c>
      <c r="E1345">
        <v>-3.5999999999999999E-3</v>
      </c>
      <c r="F1345">
        <v>3.5999999999999999E-3</v>
      </c>
    </row>
    <row r="1346" spans="1:6" x14ac:dyDescent="0.3">
      <c r="A1346" s="3">
        <v>43955</v>
      </c>
      <c r="B1346">
        <v>5.3E-3</v>
      </c>
      <c r="C1346">
        <v>-1.4000000000000002E-3</v>
      </c>
      <c r="D1346">
        <v>-1.24E-2</v>
      </c>
      <c r="E1346">
        <v>-7.4999999999999997E-3</v>
      </c>
      <c r="F1346">
        <v>-4.4000000000000003E-3</v>
      </c>
    </row>
    <row r="1347" spans="1:6" x14ac:dyDescent="0.3">
      <c r="A1347" s="3">
        <v>43956</v>
      </c>
      <c r="B1347">
        <v>9.4999999999999998E-3</v>
      </c>
      <c r="C1347">
        <v>-2.8000000000000004E-3</v>
      </c>
      <c r="D1347">
        <v>-2.0099999999999996E-2</v>
      </c>
      <c r="E1347">
        <v>-4.7999999999999996E-3</v>
      </c>
      <c r="F1347">
        <v>-5.1000000000000004E-3</v>
      </c>
    </row>
    <row r="1348" spans="1:6" x14ac:dyDescent="0.3">
      <c r="A1348" s="3">
        <v>43957</v>
      </c>
      <c r="B1348">
        <v>-5.1999999999999998E-3</v>
      </c>
      <c r="C1348">
        <v>1E-3</v>
      </c>
      <c r="D1348">
        <v>-2.69E-2</v>
      </c>
      <c r="E1348">
        <v>2.2000000000000001E-3</v>
      </c>
      <c r="F1348">
        <v>-5.6999999999999993E-3</v>
      </c>
    </row>
    <row r="1349" spans="1:6" x14ac:dyDescent="0.3">
      <c r="A1349" s="3">
        <v>43958</v>
      </c>
      <c r="B1349">
        <v>1.3300000000000001E-2</v>
      </c>
      <c r="C1349">
        <v>1.5E-3</v>
      </c>
      <c r="D1349">
        <v>4.0000000000000001E-3</v>
      </c>
      <c r="E1349">
        <v>-1E-3</v>
      </c>
      <c r="F1349">
        <v>-6.0999999999999995E-3</v>
      </c>
    </row>
    <row r="1350" spans="1:6" x14ac:dyDescent="0.3">
      <c r="A1350" s="3">
        <v>43959</v>
      </c>
      <c r="B1350">
        <v>1.9E-2</v>
      </c>
      <c r="C1350">
        <v>1.9E-2</v>
      </c>
      <c r="D1350">
        <v>2.4399999999999998E-2</v>
      </c>
      <c r="E1350">
        <v>8.3000000000000001E-3</v>
      </c>
      <c r="F1350">
        <v>4.0999999999999995E-3</v>
      </c>
    </row>
    <row r="1351" spans="1:6" x14ac:dyDescent="0.3">
      <c r="A1351" s="3">
        <v>43962</v>
      </c>
      <c r="B1351">
        <v>7.000000000000001E-4</v>
      </c>
      <c r="C1351">
        <v>-2.2000000000000001E-3</v>
      </c>
      <c r="D1351">
        <v>-3.7699999999999997E-2</v>
      </c>
      <c r="E1351">
        <v>-8.3999999999999995E-3</v>
      </c>
      <c r="F1351">
        <v>-4.0000000000000002E-4</v>
      </c>
    </row>
    <row r="1352" spans="1:6" x14ac:dyDescent="0.3">
      <c r="A1352" s="3">
        <v>43963</v>
      </c>
      <c r="B1352">
        <v>-2.06E-2</v>
      </c>
      <c r="C1352">
        <v>-1.1299999999999999E-2</v>
      </c>
      <c r="D1352">
        <v>-1.3300000000000001E-2</v>
      </c>
      <c r="E1352">
        <v>-6.4000000000000003E-3</v>
      </c>
      <c r="F1352">
        <v>-2.0000000000000001E-4</v>
      </c>
    </row>
    <row r="1353" spans="1:6" x14ac:dyDescent="0.3">
      <c r="A1353" s="3">
        <v>43964</v>
      </c>
      <c r="B1353">
        <v>-1.89E-2</v>
      </c>
      <c r="C1353">
        <v>-1.43E-2</v>
      </c>
      <c r="D1353">
        <v>-2.1400000000000002E-2</v>
      </c>
      <c r="E1353">
        <v>-7.000000000000001E-4</v>
      </c>
      <c r="F1353">
        <v>-2.7000000000000001E-3</v>
      </c>
    </row>
    <row r="1354" spans="1:6" x14ac:dyDescent="0.3">
      <c r="A1354" s="3">
        <v>43965</v>
      </c>
      <c r="B1354">
        <v>1.1399999999999999E-2</v>
      </c>
      <c r="C1354">
        <v>-1.0800000000000001E-2</v>
      </c>
      <c r="D1354">
        <v>9.1999999999999998E-3</v>
      </c>
      <c r="E1354">
        <v>6.0999999999999995E-3</v>
      </c>
      <c r="F1354">
        <v>1.7000000000000001E-3</v>
      </c>
    </row>
    <row r="1355" spans="1:6" x14ac:dyDescent="0.3">
      <c r="A1355" s="3">
        <v>43966</v>
      </c>
      <c r="B1355">
        <v>5.6999999999999993E-3</v>
      </c>
      <c r="C1355">
        <v>1.34E-2</v>
      </c>
      <c r="D1355">
        <v>-1.1699999999999999E-2</v>
      </c>
      <c r="E1355">
        <v>0</v>
      </c>
      <c r="F1355">
        <v>-7.7000000000000002E-3</v>
      </c>
    </row>
    <row r="1356" spans="1:6" x14ac:dyDescent="0.3">
      <c r="A1356" s="3">
        <v>43969</v>
      </c>
      <c r="B1356">
        <v>3.2400000000000005E-2</v>
      </c>
      <c r="C1356">
        <v>2.6600000000000002E-2</v>
      </c>
      <c r="D1356">
        <v>4.5899999999999996E-2</v>
      </c>
      <c r="E1356">
        <v>1.67E-2</v>
      </c>
      <c r="F1356">
        <v>3.0999999999999999E-3</v>
      </c>
    </row>
    <row r="1357" spans="1:6" x14ac:dyDescent="0.3">
      <c r="A1357" s="3">
        <v>43970</v>
      </c>
      <c r="B1357">
        <v>-1.01E-2</v>
      </c>
      <c r="C1357">
        <v>-7.4999999999999997E-3</v>
      </c>
      <c r="D1357">
        <v>-1.4499999999999999E-2</v>
      </c>
      <c r="E1357">
        <v>5.1999999999999998E-3</v>
      </c>
      <c r="F1357">
        <v>-5.8999999999999999E-3</v>
      </c>
    </row>
    <row r="1358" spans="1:6" x14ac:dyDescent="0.3">
      <c r="A1358" s="3">
        <v>43971</v>
      </c>
      <c r="B1358">
        <v>1.8000000000000002E-2</v>
      </c>
      <c r="C1358">
        <v>1.2199999999999999E-2</v>
      </c>
      <c r="D1358">
        <v>1.32E-2</v>
      </c>
      <c r="E1358">
        <v>-2.5999999999999999E-3</v>
      </c>
      <c r="F1358">
        <v>-2.5999999999999999E-3</v>
      </c>
    </row>
    <row r="1359" spans="1:6" x14ac:dyDescent="0.3">
      <c r="A1359" s="3">
        <v>43972</v>
      </c>
      <c r="B1359">
        <v>-6.9999999999999993E-3</v>
      </c>
      <c r="C1359">
        <v>7.4999999999999997E-3</v>
      </c>
      <c r="D1359">
        <v>4.1999999999999997E-3</v>
      </c>
      <c r="E1359">
        <v>1.4000000000000002E-3</v>
      </c>
      <c r="F1359">
        <v>2.9999999999999997E-4</v>
      </c>
    </row>
    <row r="1360" spans="1:6" x14ac:dyDescent="0.3">
      <c r="A1360" s="3">
        <v>43973</v>
      </c>
      <c r="B1360">
        <v>2.7000000000000001E-3</v>
      </c>
      <c r="C1360">
        <v>2.5000000000000001E-3</v>
      </c>
      <c r="D1360">
        <v>-8.5000000000000006E-3</v>
      </c>
      <c r="E1360">
        <v>-5.5000000000000005E-3</v>
      </c>
      <c r="F1360">
        <v>-3.4000000000000002E-3</v>
      </c>
    </row>
    <row r="1361" spans="1:6" x14ac:dyDescent="0.3">
      <c r="A1361" s="3">
        <v>43977</v>
      </c>
      <c r="B1361">
        <v>1.23E-2</v>
      </c>
      <c r="C1361">
        <v>1.24E-2</v>
      </c>
      <c r="D1361">
        <v>4.5599999999999995E-2</v>
      </c>
      <c r="E1361">
        <v>1.03E-2</v>
      </c>
      <c r="F1361">
        <v>5.7999999999999996E-3</v>
      </c>
    </row>
    <row r="1362" spans="1:6" x14ac:dyDescent="0.3">
      <c r="A1362" s="3">
        <v>43978</v>
      </c>
      <c r="B1362">
        <v>1.54E-2</v>
      </c>
      <c r="C1362">
        <v>1.4199999999999999E-2</v>
      </c>
      <c r="D1362">
        <v>3.6400000000000002E-2</v>
      </c>
      <c r="E1362">
        <v>7.7000000000000002E-3</v>
      </c>
      <c r="F1362">
        <v>3.5999999999999999E-3</v>
      </c>
    </row>
    <row r="1363" spans="1:6" x14ac:dyDescent="0.3">
      <c r="A1363" s="3">
        <v>43979</v>
      </c>
      <c r="B1363">
        <v>-4.0999999999999995E-3</v>
      </c>
      <c r="C1363">
        <v>-2.0799999999999999E-2</v>
      </c>
      <c r="D1363">
        <v>-2.4399999999999998E-2</v>
      </c>
      <c r="E1363">
        <v>-2.3999999999999998E-3</v>
      </c>
      <c r="F1363">
        <v>1E-3</v>
      </c>
    </row>
    <row r="1364" spans="1:6" x14ac:dyDescent="0.3">
      <c r="A1364" s="3">
        <v>43980</v>
      </c>
      <c r="B1364">
        <v>6.0000000000000001E-3</v>
      </c>
      <c r="C1364">
        <v>-7.9000000000000008E-3</v>
      </c>
      <c r="D1364">
        <v>-1.9599999999999999E-2</v>
      </c>
      <c r="E1364">
        <v>-3.2000000000000002E-3</v>
      </c>
      <c r="F1364">
        <v>-3.8E-3</v>
      </c>
    </row>
    <row r="1365" spans="1:6" x14ac:dyDescent="0.3">
      <c r="A1365" s="3">
        <v>43983</v>
      </c>
      <c r="B1365">
        <v>5.1999999999999998E-3</v>
      </c>
      <c r="C1365">
        <v>2.5999999999999999E-3</v>
      </c>
      <c r="D1365">
        <v>4.4000000000000003E-3</v>
      </c>
      <c r="E1365">
        <v>-1E-4</v>
      </c>
      <c r="F1365">
        <v>-1.2999999999999999E-3</v>
      </c>
    </row>
    <row r="1366" spans="1:6" x14ac:dyDescent="0.3">
      <c r="A1366" s="3">
        <v>43984</v>
      </c>
      <c r="B1366">
        <v>8.1000000000000013E-3</v>
      </c>
      <c r="C1366">
        <v>5.9999999999999995E-4</v>
      </c>
      <c r="D1366">
        <v>5.4000000000000003E-3</v>
      </c>
      <c r="E1366">
        <v>1.4000000000000002E-3</v>
      </c>
      <c r="F1366">
        <v>2.5999999999999999E-3</v>
      </c>
    </row>
    <row r="1367" spans="1:6" x14ac:dyDescent="0.3">
      <c r="A1367" s="3">
        <v>43985</v>
      </c>
      <c r="B1367">
        <v>1.4199999999999999E-2</v>
      </c>
      <c r="C1367">
        <v>7.7000000000000002E-3</v>
      </c>
      <c r="D1367">
        <v>2.6699999999999998E-2</v>
      </c>
      <c r="E1367">
        <v>7.3000000000000001E-3</v>
      </c>
      <c r="F1367">
        <v>1.6000000000000001E-3</v>
      </c>
    </row>
    <row r="1368" spans="1:6" x14ac:dyDescent="0.3">
      <c r="A1368" s="3">
        <v>43986</v>
      </c>
      <c r="B1368">
        <v>-3.4000000000000002E-3</v>
      </c>
      <c r="C1368">
        <v>5.1000000000000004E-3</v>
      </c>
      <c r="D1368">
        <v>2.8799999999999999E-2</v>
      </c>
      <c r="E1368">
        <v>9.8999999999999991E-3</v>
      </c>
      <c r="F1368">
        <v>6.3E-3</v>
      </c>
    </row>
    <row r="1369" spans="1:6" x14ac:dyDescent="0.3">
      <c r="A1369" s="3">
        <v>43987</v>
      </c>
      <c r="B1369">
        <v>2.5000000000000001E-2</v>
      </c>
      <c r="C1369">
        <v>1.0800000000000001E-2</v>
      </c>
      <c r="D1369">
        <v>2.7900000000000001E-2</v>
      </c>
      <c r="E1369">
        <v>7.1999999999999998E-3</v>
      </c>
      <c r="F1369">
        <v>4.0000000000000002E-4</v>
      </c>
    </row>
    <row r="1370" spans="1:6" x14ac:dyDescent="0.3">
      <c r="A1370" s="3">
        <v>43990</v>
      </c>
      <c r="B1370">
        <v>1.3899999999999999E-2</v>
      </c>
      <c r="C1370">
        <v>6.8000000000000005E-3</v>
      </c>
      <c r="D1370">
        <v>2.1000000000000001E-2</v>
      </c>
      <c r="E1370">
        <v>-4.6999999999999993E-3</v>
      </c>
      <c r="F1370">
        <v>5.6000000000000008E-3</v>
      </c>
    </row>
    <row r="1371" spans="1:6" x14ac:dyDescent="0.3">
      <c r="A1371" s="3">
        <v>43991</v>
      </c>
      <c r="B1371">
        <v>-8.5000000000000006E-3</v>
      </c>
      <c r="C1371">
        <v>-7.9000000000000008E-3</v>
      </c>
      <c r="D1371">
        <v>-1.95E-2</v>
      </c>
      <c r="E1371">
        <v>-4.0000000000000002E-4</v>
      </c>
      <c r="F1371">
        <v>-4.5999999999999999E-3</v>
      </c>
    </row>
    <row r="1372" spans="1:6" x14ac:dyDescent="0.3">
      <c r="A1372" s="3">
        <v>43992</v>
      </c>
      <c r="B1372">
        <v>-5.6000000000000008E-3</v>
      </c>
      <c r="C1372">
        <v>-1.8000000000000002E-2</v>
      </c>
      <c r="D1372">
        <v>-4.0899999999999999E-2</v>
      </c>
      <c r="E1372">
        <v>-3.0999999999999999E-3</v>
      </c>
      <c r="F1372">
        <v>-5.0000000000000001E-3</v>
      </c>
    </row>
    <row r="1373" spans="1:6" x14ac:dyDescent="0.3">
      <c r="A1373" s="3">
        <v>43993</v>
      </c>
      <c r="B1373">
        <v>-5.91E-2</v>
      </c>
      <c r="C1373">
        <v>-1.47E-2</v>
      </c>
      <c r="D1373">
        <v>-3.0499999999999999E-2</v>
      </c>
      <c r="E1373">
        <v>-2.0999999999999999E-3</v>
      </c>
      <c r="F1373">
        <v>-2.2000000000000001E-3</v>
      </c>
    </row>
    <row r="1374" spans="1:6" x14ac:dyDescent="0.3">
      <c r="A1374" s="3">
        <v>43994</v>
      </c>
      <c r="B1374">
        <v>1.29E-2</v>
      </c>
      <c r="C1374">
        <v>8.0000000000000002E-3</v>
      </c>
      <c r="D1374">
        <v>1.84E-2</v>
      </c>
      <c r="E1374">
        <v>1.4000000000000002E-3</v>
      </c>
      <c r="F1374">
        <v>8.9999999999999998E-4</v>
      </c>
    </row>
    <row r="1375" spans="1:6" x14ac:dyDescent="0.3">
      <c r="A1375" s="3">
        <v>43997</v>
      </c>
      <c r="B1375">
        <v>1.1000000000000001E-2</v>
      </c>
      <c r="C1375">
        <v>1.43E-2</v>
      </c>
      <c r="D1375">
        <v>-3.5999999999999999E-3</v>
      </c>
      <c r="E1375">
        <v>-7.7000000000000002E-3</v>
      </c>
      <c r="F1375">
        <v>-2.3E-3</v>
      </c>
    </row>
    <row r="1376" spans="1:6" x14ac:dyDescent="0.3">
      <c r="A1376" s="3">
        <v>43998</v>
      </c>
      <c r="B1376">
        <v>1.8600000000000002E-2</v>
      </c>
      <c r="C1376">
        <v>6.0999999999999995E-3</v>
      </c>
      <c r="D1376">
        <v>4.6999999999999993E-3</v>
      </c>
      <c r="E1376">
        <v>6.4000000000000003E-3</v>
      </c>
      <c r="F1376">
        <v>1.1999999999999999E-3</v>
      </c>
    </row>
    <row r="1377" spans="1:6" x14ac:dyDescent="0.3">
      <c r="A1377" s="3">
        <v>43999</v>
      </c>
      <c r="B1377">
        <v>-4.0000000000000001E-3</v>
      </c>
      <c r="C1377">
        <v>-1.32E-2</v>
      </c>
      <c r="D1377">
        <v>-1.9900000000000001E-2</v>
      </c>
      <c r="E1377">
        <v>-5.4000000000000003E-3</v>
      </c>
      <c r="F1377">
        <v>-2.3E-3</v>
      </c>
    </row>
    <row r="1378" spans="1:6" x14ac:dyDescent="0.3">
      <c r="A1378" s="3">
        <v>44000</v>
      </c>
      <c r="B1378">
        <v>1.9E-3</v>
      </c>
      <c r="C1378">
        <v>1E-4</v>
      </c>
      <c r="D1378">
        <v>-5.3E-3</v>
      </c>
      <c r="E1378">
        <v>-4.0000000000000001E-3</v>
      </c>
      <c r="F1378">
        <v>-2.5999999999999999E-3</v>
      </c>
    </row>
    <row r="1379" spans="1:6" x14ac:dyDescent="0.3">
      <c r="A1379" s="3">
        <v>44001</v>
      </c>
      <c r="B1379">
        <v>-4.5000000000000005E-3</v>
      </c>
      <c r="C1379">
        <v>-1.2999999999999999E-3</v>
      </c>
      <c r="D1379">
        <v>-6.5000000000000006E-3</v>
      </c>
      <c r="E1379">
        <v>-7.1999999999999998E-3</v>
      </c>
      <c r="F1379">
        <v>-1.9E-3</v>
      </c>
    </row>
    <row r="1380" spans="1:6" x14ac:dyDescent="0.3">
      <c r="A1380" s="3">
        <v>44004</v>
      </c>
      <c r="B1380">
        <v>7.0999999999999995E-3</v>
      </c>
      <c r="C1380">
        <v>4.5999999999999999E-3</v>
      </c>
      <c r="D1380">
        <v>-1.3300000000000001E-2</v>
      </c>
      <c r="E1380">
        <v>-3.8E-3</v>
      </c>
      <c r="F1380">
        <v>-5.1000000000000004E-3</v>
      </c>
    </row>
    <row r="1381" spans="1:6" x14ac:dyDescent="0.3">
      <c r="A1381" s="3">
        <v>44005</v>
      </c>
      <c r="B1381">
        <v>4.1999999999999997E-3</v>
      </c>
      <c r="C1381">
        <v>2.2000000000000001E-3</v>
      </c>
      <c r="D1381">
        <v>-6.0000000000000001E-3</v>
      </c>
      <c r="E1381">
        <v>5.7999999999999996E-3</v>
      </c>
      <c r="F1381">
        <v>-8.9999999999999998E-4</v>
      </c>
    </row>
    <row r="1382" spans="1:6" x14ac:dyDescent="0.3">
      <c r="A1382" s="3">
        <v>44006</v>
      </c>
      <c r="B1382">
        <v>-2.6099999999999998E-2</v>
      </c>
      <c r="C1382">
        <v>-6.9999999999999993E-3</v>
      </c>
      <c r="D1382">
        <v>-1.3600000000000001E-2</v>
      </c>
      <c r="E1382">
        <v>-8.0000000000000004E-4</v>
      </c>
      <c r="F1382">
        <v>2.5999999999999999E-3</v>
      </c>
    </row>
    <row r="1383" spans="1:6" x14ac:dyDescent="0.3">
      <c r="A1383" s="3">
        <v>44007</v>
      </c>
      <c r="B1383">
        <v>1.1200000000000002E-2</v>
      </c>
      <c r="C1383">
        <v>3.3E-3</v>
      </c>
      <c r="D1383">
        <v>5.3E-3</v>
      </c>
      <c r="E1383">
        <v>-8.0000000000000002E-3</v>
      </c>
      <c r="F1383">
        <v>1.5E-3</v>
      </c>
    </row>
    <row r="1384" spans="1:6" x14ac:dyDescent="0.3">
      <c r="A1384" s="3">
        <v>44008</v>
      </c>
      <c r="B1384">
        <v>-2.4399999999999998E-2</v>
      </c>
      <c r="C1384">
        <v>-2E-3</v>
      </c>
      <c r="D1384">
        <v>-1.3999999999999999E-2</v>
      </c>
      <c r="E1384">
        <v>0</v>
      </c>
      <c r="F1384">
        <v>6.3E-3</v>
      </c>
    </row>
    <row r="1385" spans="1:6" x14ac:dyDescent="0.3">
      <c r="A1385" s="3">
        <v>44011</v>
      </c>
      <c r="B1385">
        <v>1.5100000000000001E-2</v>
      </c>
      <c r="C1385">
        <v>1.4800000000000001E-2</v>
      </c>
      <c r="D1385">
        <v>1.83E-2</v>
      </c>
      <c r="E1385">
        <v>1.47E-2</v>
      </c>
      <c r="F1385">
        <v>3.5999999999999999E-3</v>
      </c>
    </row>
    <row r="1386" spans="1:6" x14ac:dyDescent="0.3">
      <c r="A1386" s="3">
        <v>44012</v>
      </c>
      <c r="B1386">
        <v>1.5800000000000002E-2</v>
      </c>
      <c r="C1386">
        <v>0</v>
      </c>
      <c r="D1386">
        <v>1E-4</v>
      </c>
      <c r="E1386">
        <v>-4.0000000000000001E-3</v>
      </c>
      <c r="F1386">
        <v>-3.0000000000000001E-3</v>
      </c>
    </row>
    <row r="1387" spans="1:6" x14ac:dyDescent="0.3">
      <c r="A1387" s="3">
        <v>44013</v>
      </c>
      <c r="B1387">
        <v>4.0999999999999995E-3</v>
      </c>
      <c r="C1387">
        <v>-1.6899999999999998E-2</v>
      </c>
      <c r="D1387">
        <v>-2.5499999999999998E-2</v>
      </c>
      <c r="E1387">
        <v>-4.0999999999999995E-3</v>
      </c>
      <c r="F1387">
        <v>-1.2199999999999999E-2</v>
      </c>
    </row>
    <row r="1388" spans="1:6" x14ac:dyDescent="0.3">
      <c r="A1388" s="3">
        <v>44014</v>
      </c>
      <c r="B1388">
        <v>5.0000000000000001E-3</v>
      </c>
      <c r="C1388">
        <v>1E-4</v>
      </c>
      <c r="D1388">
        <v>-1.1999999999999999E-3</v>
      </c>
      <c r="E1388">
        <v>3.8E-3</v>
      </c>
      <c r="F1388">
        <v>1.7000000000000001E-3</v>
      </c>
    </row>
    <row r="1389" spans="1:6" x14ac:dyDescent="0.3">
      <c r="A1389" s="3">
        <v>44018</v>
      </c>
      <c r="B1389">
        <v>1.6500000000000001E-2</v>
      </c>
      <c r="C1389">
        <v>-6.7000000000000002E-3</v>
      </c>
      <c r="D1389">
        <v>3.7000000000000002E-3</v>
      </c>
      <c r="E1389">
        <v>2.8000000000000004E-3</v>
      </c>
      <c r="F1389">
        <v>2.9999999999999997E-4</v>
      </c>
    </row>
    <row r="1390" spans="1:6" x14ac:dyDescent="0.3">
      <c r="A1390" s="3">
        <v>44019</v>
      </c>
      <c r="B1390">
        <v>-1.03E-2</v>
      </c>
      <c r="C1390">
        <v>-9.7999999999999997E-3</v>
      </c>
      <c r="D1390">
        <v>-1.5100000000000001E-2</v>
      </c>
      <c r="E1390">
        <v>-1.1000000000000001E-2</v>
      </c>
      <c r="F1390">
        <v>-8.0000000000000004E-4</v>
      </c>
    </row>
    <row r="1391" spans="1:6" x14ac:dyDescent="0.3">
      <c r="A1391" s="3">
        <v>44020</v>
      </c>
      <c r="B1391">
        <v>9.1000000000000004E-3</v>
      </c>
      <c r="C1391">
        <v>8.9999999999999998E-4</v>
      </c>
      <c r="D1391">
        <v>-4.8999999999999998E-3</v>
      </c>
      <c r="E1391">
        <v>-4.4000000000000003E-3</v>
      </c>
      <c r="F1391">
        <v>-2.8999999999999998E-3</v>
      </c>
    </row>
    <row r="1392" spans="1:6" x14ac:dyDescent="0.3">
      <c r="A1392" s="3">
        <v>44021</v>
      </c>
      <c r="B1392">
        <v>-5.3E-3</v>
      </c>
      <c r="C1392">
        <v>-1.5600000000000001E-2</v>
      </c>
      <c r="D1392">
        <v>-2.6200000000000001E-2</v>
      </c>
      <c r="E1392">
        <v>-3.3E-3</v>
      </c>
      <c r="F1392">
        <v>-5.7999999999999996E-3</v>
      </c>
    </row>
    <row r="1393" spans="1:6" x14ac:dyDescent="0.3">
      <c r="A1393" s="3">
        <v>44022</v>
      </c>
      <c r="B1393">
        <v>1.11E-2</v>
      </c>
      <c r="C1393">
        <v>6.4000000000000003E-3</v>
      </c>
      <c r="D1393">
        <v>3.0800000000000001E-2</v>
      </c>
      <c r="E1393">
        <v>8.5000000000000006E-3</v>
      </c>
      <c r="F1393">
        <v>2.0999999999999999E-3</v>
      </c>
    </row>
    <row r="1394" spans="1:6" x14ac:dyDescent="0.3">
      <c r="A1394" s="3">
        <v>44025</v>
      </c>
      <c r="B1394">
        <v>-1.2E-2</v>
      </c>
      <c r="C1394">
        <v>-2.8000000000000004E-3</v>
      </c>
      <c r="D1394">
        <v>2.0499999999999997E-2</v>
      </c>
      <c r="E1394">
        <v>1.09E-2</v>
      </c>
      <c r="F1394">
        <v>1.11E-2</v>
      </c>
    </row>
    <row r="1395" spans="1:6" x14ac:dyDescent="0.3">
      <c r="A1395" s="3">
        <v>44026</v>
      </c>
      <c r="B1395">
        <v>1.3500000000000002E-2</v>
      </c>
      <c r="C1395">
        <v>3.8E-3</v>
      </c>
      <c r="D1395">
        <v>-3.0000000000000001E-3</v>
      </c>
      <c r="E1395">
        <v>-1E-4</v>
      </c>
      <c r="F1395">
        <v>5.1000000000000004E-3</v>
      </c>
    </row>
    <row r="1396" spans="1:6" x14ac:dyDescent="0.3">
      <c r="A1396" s="3">
        <v>44027</v>
      </c>
      <c r="B1396">
        <v>1.1399999999999999E-2</v>
      </c>
      <c r="C1396">
        <v>2.69E-2</v>
      </c>
      <c r="D1396">
        <v>1.26E-2</v>
      </c>
      <c r="E1396">
        <v>2.3E-3</v>
      </c>
      <c r="F1396">
        <v>1.2999999999999999E-3</v>
      </c>
    </row>
    <row r="1397" spans="1:6" x14ac:dyDescent="0.3">
      <c r="A1397" s="3">
        <v>44028</v>
      </c>
      <c r="B1397">
        <v>-3.7000000000000002E-3</v>
      </c>
      <c r="C1397">
        <v>-1.7000000000000001E-3</v>
      </c>
      <c r="D1397">
        <v>8.3000000000000001E-3</v>
      </c>
      <c r="E1397">
        <v>2.5999999999999999E-3</v>
      </c>
      <c r="F1397">
        <v>3.3E-3</v>
      </c>
    </row>
    <row r="1398" spans="1:6" x14ac:dyDescent="0.3">
      <c r="A1398" s="3">
        <v>44029</v>
      </c>
      <c r="B1398">
        <v>3.0000000000000001E-3</v>
      </c>
      <c r="C1398">
        <v>-1.5E-3</v>
      </c>
      <c r="D1398">
        <v>-1.4199999999999999E-2</v>
      </c>
      <c r="E1398">
        <v>-1.09E-2</v>
      </c>
      <c r="F1398">
        <v>2.0000000000000001E-4</v>
      </c>
    </row>
    <row r="1399" spans="1:6" x14ac:dyDescent="0.3">
      <c r="A1399" s="3">
        <v>44032</v>
      </c>
      <c r="B1399">
        <v>1.01E-2</v>
      </c>
      <c r="C1399">
        <v>-1.09E-2</v>
      </c>
      <c r="D1399">
        <v>-2.4E-2</v>
      </c>
      <c r="E1399">
        <v>-8.6E-3</v>
      </c>
      <c r="F1399">
        <v>-1.2500000000000001E-2</v>
      </c>
    </row>
    <row r="1400" spans="1:6" x14ac:dyDescent="0.3">
      <c r="A1400" s="3">
        <v>44033</v>
      </c>
      <c r="B1400">
        <v>1.6000000000000001E-3</v>
      </c>
      <c r="C1400">
        <v>1.44E-2</v>
      </c>
      <c r="D1400">
        <v>3.2300000000000002E-2</v>
      </c>
      <c r="E1400">
        <v>5.1999999999999998E-3</v>
      </c>
      <c r="F1400">
        <v>8.8000000000000005E-3</v>
      </c>
    </row>
    <row r="1401" spans="1:6" x14ac:dyDescent="0.3">
      <c r="A1401" s="3">
        <v>44034</v>
      </c>
      <c r="B1401">
        <v>4.8999999999999998E-3</v>
      </c>
      <c r="C1401">
        <v>-6.3E-3</v>
      </c>
      <c r="D1401">
        <v>-3.5999999999999999E-3</v>
      </c>
      <c r="E1401">
        <v>4.8999999999999998E-3</v>
      </c>
      <c r="F1401">
        <v>0</v>
      </c>
    </row>
    <row r="1402" spans="1:6" x14ac:dyDescent="0.3">
      <c r="A1402" s="3">
        <v>44035</v>
      </c>
      <c r="B1402">
        <v>-1.2E-2</v>
      </c>
      <c r="C1402">
        <v>1.21E-2</v>
      </c>
      <c r="D1402">
        <v>1.9400000000000001E-2</v>
      </c>
      <c r="E1402">
        <v>-2E-3</v>
      </c>
      <c r="F1402">
        <v>1.1999999999999999E-3</v>
      </c>
    </row>
    <row r="1403" spans="1:6" x14ac:dyDescent="0.3">
      <c r="A1403" s="3">
        <v>44036</v>
      </c>
      <c r="B1403">
        <v>-7.4999999999999997E-3</v>
      </c>
      <c r="C1403">
        <v>-8.0000000000000002E-3</v>
      </c>
      <c r="D1403">
        <v>4.3E-3</v>
      </c>
      <c r="E1403">
        <v>3.0000000000000001E-3</v>
      </c>
      <c r="F1403">
        <v>2.0000000000000001E-4</v>
      </c>
    </row>
    <row r="1404" spans="1:6" x14ac:dyDescent="0.3">
      <c r="A1404" s="3">
        <v>44039</v>
      </c>
      <c r="B1404">
        <v>8.8000000000000005E-3</v>
      </c>
      <c r="C1404">
        <v>2.8999999999999998E-3</v>
      </c>
      <c r="D1404">
        <v>-0.02</v>
      </c>
      <c r="E1404">
        <v>-2.3999999999999998E-3</v>
      </c>
      <c r="F1404">
        <v>8.0000000000000004E-4</v>
      </c>
    </row>
    <row r="1405" spans="1:6" x14ac:dyDescent="0.3">
      <c r="A1405" s="3">
        <v>44040</v>
      </c>
      <c r="B1405">
        <v>-8.1000000000000013E-3</v>
      </c>
      <c r="C1405">
        <v>-4.5999999999999999E-3</v>
      </c>
      <c r="D1405">
        <v>9.8999999999999991E-3</v>
      </c>
      <c r="E1405">
        <v>2.8000000000000004E-3</v>
      </c>
      <c r="F1405">
        <v>7.000000000000001E-4</v>
      </c>
    </row>
    <row r="1406" spans="1:6" x14ac:dyDescent="0.3">
      <c r="A1406" s="3">
        <v>44041</v>
      </c>
      <c r="B1406">
        <v>1.3500000000000002E-2</v>
      </c>
      <c r="C1406">
        <v>6.6E-3</v>
      </c>
      <c r="D1406">
        <v>8.6999999999999994E-3</v>
      </c>
      <c r="E1406">
        <v>2.3E-3</v>
      </c>
      <c r="F1406">
        <v>1.6000000000000001E-3</v>
      </c>
    </row>
    <row r="1407" spans="1:6" x14ac:dyDescent="0.3">
      <c r="A1407" s="3">
        <v>44042</v>
      </c>
      <c r="B1407">
        <v>-2.8999999999999998E-3</v>
      </c>
      <c r="C1407">
        <v>1E-4</v>
      </c>
      <c r="D1407">
        <v>-1.8600000000000002E-2</v>
      </c>
      <c r="E1407">
        <v>-5.1000000000000004E-3</v>
      </c>
      <c r="F1407">
        <v>-1.5E-3</v>
      </c>
    </row>
    <row r="1408" spans="1:6" x14ac:dyDescent="0.3">
      <c r="A1408" s="3">
        <v>44043</v>
      </c>
      <c r="B1408">
        <v>6.0999999999999995E-3</v>
      </c>
      <c r="C1408">
        <v>-1.8100000000000002E-2</v>
      </c>
      <c r="D1408">
        <v>-6.7000000000000002E-3</v>
      </c>
      <c r="E1408">
        <v>7.4000000000000003E-3</v>
      </c>
      <c r="F1408">
        <v>6.8999999999999999E-3</v>
      </c>
    </row>
    <row r="1409" spans="1:6" x14ac:dyDescent="0.3">
      <c r="A1409" s="3">
        <v>44046</v>
      </c>
      <c r="B1409">
        <v>9.7999999999999997E-3</v>
      </c>
      <c r="C1409">
        <v>1.0700000000000001E-2</v>
      </c>
      <c r="D1409">
        <v>-8.3000000000000001E-3</v>
      </c>
      <c r="E1409">
        <v>-2.5000000000000001E-3</v>
      </c>
      <c r="F1409">
        <v>3.9000000000000003E-3</v>
      </c>
    </row>
    <row r="1410" spans="1:6" x14ac:dyDescent="0.3">
      <c r="A1410" s="3">
        <v>44047</v>
      </c>
      <c r="B1410">
        <v>3.7000000000000002E-3</v>
      </c>
      <c r="C1410">
        <v>4.1999999999999997E-3</v>
      </c>
      <c r="D1410">
        <v>5.9999999999999995E-4</v>
      </c>
      <c r="E1410">
        <v>1.4000000000000002E-3</v>
      </c>
      <c r="F1410">
        <v>1.1999999999999999E-3</v>
      </c>
    </row>
    <row r="1411" spans="1:6" x14ac:dyDescent="0.3">
      <c r="A1411" s="3">
        <v>44048</v>
      </c>
      <c r="B1411">
        <v>7.8000000000000005E-3</v>
      </c>
      <c r="C1411">
        <v>1.2199999999999999E-2</v>
      </c>
      <c r="D1411">
        <v>8.3999999999999995E-3</v>
      </c>
      <c r="E1411">
        <v>1.6000000000000001E-3</v>
      </c>
      <c r="F1411">
        <v>-1.1000000000000001E-3</v>
      </c>
    </row>
    <row r="1412" spans="1:6" x14ac:dyDescent="0.3">
      <c r="A1412" s="3">
        <v>44049</v>
      </c>
      <c r="B1412">
        <v>5.3E-3</v>
      </c>
      <c r="C1412">
        <v>-5.8999999999999999E-3</v>
      </c>
      <c r="D1412">
        <v>-8.1000000000000013E-3</v>
      </c>
      <c r="E1412">
        <v>6.0000000000000001E-3</v>
      </c>
      <c r="F1412">
        <v>5.9999999999999995E-4</v>
      </c>
    </row>
    <row r="1413" spans="1:6" x14ac:dyDescent="0.3">
      <c r="A1413" s="3">
        <v>44050</v>
      </c>
      <c r="B1413">
        <v>2.0000000000000001E-4</v>
      </c>
      <c r="C1413">
        <v>1.55E-2</v>
      </c>
      <c r="D1413">
        <v>2.3700000000000002E-2</v>
      </c>
      <c r="E1413">
        <v>5.1999999999999998E-3</v>
      </c>
      <c r="F1413">
        <v>1.2999999999999999E-3</v>
      </c>
    </row>
    <row r="1414" spans="1:6" x14ac:dyDescent="0.3">
      <c r="A1414" s="3">
        <v>44053</v>
      </c>
      <c r="B1414">
        <v>2.3999999999999998E-3</v>
      </c>
      <c r="C1414">
        <v>1.3100000000000001E-2</v>
      </c>
      <c r="D1414">
        <v>1.7500000000000002E-2</v>
      </c>
      <c r="E1414">
        <v>8.3999999999999995E-3</v>
      </c>
      <c r="F1414">
        <v>1.32E-2</v>
      </c>
    </row>
    <row r="1415" spans="1:6" x14ac:dyDescent="0.3">
      <c r="A1415" s="3">
        <v>44054</v>
      </c>
      <c r="B1415">
        <v>-8.3000000000000001E-3</v>
      </c>
      <c r="C1415">
        <v>2.0999999999999999E-3</v>
      </c>
      <c r="D1415">
        <v>1.6299999999999999E-2</v>
      </c>
      <c r="E1415">
        <v>8.8000000000000005E-3</v>
      </c>
      <c r="F1415">
        <v>2.9999999999999997E-4</v>
      </c>
    </row>
    <row r="1416" spans="1:6" x14ac:dyDescent="0.3">
      <c r="A1416" s="3">
        <v>44055</v>
      </c>
      <c r="B1416">
        <v>1.3999999999999999E-2</v>
      </c>
      <c r="C1416">
        <v>-8.3999999999999995E-3</v>
      </c>
      <c r="D1416">
        <v>-1.3300000000000001E-2</v>
      </c>
      <c r="E1416">
        <v>9.1000000000000004E-3</v>
      </c>
      <c r="F1416">
        <v>-1.5E-3</v>
      </c>
    </row>
    <row r="1417" spans="1:6" x14ac:dyDescent="0.3">
      <c r="A1417" s="3">
        <v>44056</v>
      </c>
      <c r="B1417">
        <v>-1E-4</v>
      </c>
      <c r="C1417">
        <v>-1.2999999999999999E-3</v>
      </c>
      <c r="D1417">
        <v>-1.32E-2</v>
      </c>
      <c r="E1417">
        <v>-6.3E-3</v>
      </c>
      <c r="F1417">
        <v>-5.1000000000000004E-3</v>
      </c>
    </row>
    <row r="1418" spans="1:6" x14ac:dyDescent="0.3">
      <c r="A1418" s="3">
        <v>44057</v>
      </c>
      <c r="B1418">
        <v>-4.0000000000000002E-4</v>
      </c>
      <c r="C1418">
        <v>5.9999999999999995E-4</v>
      </c>
      <c r="D1418">
        <v>1.0700000000000001E-2</v>
      </c>
      <c r="E1418">
        <v>4.1999999999999997E-3</v>
      </c>
      <c r="F1418">
        <v>2E-3</v>
      </c>
    </row>
    <row r="1419" spans="1:6" x14ac:dyDescent="0.3">
      <c r="A1419" s="3">
        <v>44060</v>
      </c>
      <c r="B1419">
        <v>4.5000000000000005E-3</v>
      </c>
      <c r="C1419">
        <v>4.0000000000000002E-4</v>
      </c>
      <c r="D1419">
        <v>-1.9400000000000001E-2</v>
      </c>
      <c r="E1419">
        <v>-7.9000000000000008E-3</v>
      </c>
      <c r="F1419">
        <v>-4.8999999999999998E-3</v>
      </c>
    </row>
    <row r="1420" spans="1:6" x14ac:dyDescent="0.3">
      <c r="A1420" s="3">
        <v>44061</v>
      </c>
      <c r="B1420">
        <v>2.2000000000000001E-3</v>
      </c>
      <c r="C1420">
        <v>-1.32E-2</v>
      </c>
      <c r="D1420">
        <v>-1.4199999999999999E-2</v>
      </c>
      <c r="E1420">
        <v>2.0000000000000001E-4</v>
      </c>
      <c r="F1420">
        <v>-5.4000000000000003E-3</v>
      </c>
    </row>
    <row r="1421" spans="1:6" x14ac:dyDescent="0.3">
      <c r="A1421" s="3">
        <v>44062</v>
      </c>
      <c r="B1421">
        <v>-3.8E-3</v>
      </c>
      <c r="C1421">
        <v>4.6999999999999993E-3</v>
      </c>
      <c r="D1421">
        <v>8.9999999999999998E-4</v>
      </c>
      <c r="E1421">
        <v>-2.9999999999999997E-4</v>
      </c>
      <c r="F1421">
        <v>-1E-3</v>
      </c>
    </row>
    <row r="1422" spans="1:6" x14ac:dyDescent="0.3">
      <c r="A1422" s="3">
        <v>44063</v>
      </c>
      <c r="B1422">
        <v>3.0999999999999999E-3</v>
      </c>
      <c r="C1422">
        <v>-9.4999999999999998E-3</v>
      </c>
      <c r="D1422">
        <v>-1.55E-2</v>
      </c>
      <c r="E1422">
        <v>8.9999999999999998E-4</v>
      </c>
      <c r="F1422">
        <v>-4.6999999999999993E-3</v>
      </c>
    </row>
    <row r="1423" spans="1:6" x14ac:dyDescent="0.3">
      <c r="A1423" s="3">
        <v>44064</v>
      </c>
      <c r="B1423">
        <v>2.5000000000000001E-3</v>
      </c>
      <c r="C1423">
        <v>-1.2500000000000001E-2</v>
      </c>
      <c r="D1423">
        <v>-4.3E-3</v>
      </c>
      <c r="E1423">
        <v>6.0999999999999995E-3</v>
      </c>
      <c r="F1423">
        <v>7.0999999999999995E-3</v>
      </c>
    </row>
    <row r="1424" spans="1:6" x14ac:dyDescent="0.3">
      <c r="A1424" s="3">
        <v>44067</v>
      </c>
      <c r="B1424">
        <v>9.1999999999999998E-3</v>
      </c>
      <c r="C1424">
        <v>2.3E-3</v>
      </c>
      <c r="D1424">
        <v>2.5699999999999997E-2</v>
      </c>
      <c r="E1424">
        <v>1.09E-2</v>
      </c>
      <c r="F1424">
        <v>5.6000000000000008E-3</v>
      </c>
    </row>
    <row r="1425" spans="1:6" x14ac:dyDescent="0.3">
      <c r="A1425" s="3">
        <v>44068</v>
      </c>
      <c r="B1425">
        <v>3.5999999999999999E-3</v>
      </c>
      <c r="C1425">
        <v>-2.0000000000000001E-4</v>
      </c>
      <c r="D1425">
        <v>-6.3E-3</v>
      </c>
      <c r="E1425">
        <v>-4.4000000000000003E-3</v>
      </c>
      <c r="F1425">
        <v>-6.8999999999999999E-3</v>
      </c>
    </row>
    <row r="1426" spans="1:6" x14ac:dyDescent="0.3">
      <c r="A1426" s="3">
        <v>44069</v>
      </c>
      <c r="B1426">
        <v>0.01</v>
      </c>
      <c r="C1426">
        <v>-1.7100000000000001E-2</v>
      </c>
      <c r="D1426">
        <v>-1.7600000000000001E-2</v>
      </c>
      <c r="E1426">
        <v>-1.5E-3</v>
      </c>
      <c r="F1426">
        <v>-8.8000000000000005E-3</v>
      </c>
    </row>
    <row r="1427" spans="1:6" x14ac:dyDescent="0.3">
      <c r="A1427" s="3">
        <v>44070</v>
      </c>
      <c r="B1427">
        <v>1.8E-3</v>
      </c>
      <c r="C1427">
        <v>0</v>
      </c>
      <c r="D1427">
        <v>9.8999999999999991E-3</v>
      </c>
      <c r="E1427">
        <v>6.0999999999999995E-3</v>
      </c>
      <c r="F1427">
        <v>-4.8999999999999998E-3</v>
      </c>
    </row>
    <row r="1428" spans="1:6" x14ac:dyDescent="0.3">
      <c r="A1428" s="3">
        <v>44071</v>
      </c>
      <c r="B1428">
        <v>6.9999999999999993E-3</v>
      </c>
      <c r="C1428">
        <v>4.0000000000000001E-3</v>
      </c>
      <c r="D1428">
        <v>-2.3999999999999998E-3</v>
      </c>
      <c r="E1428">
        <v>1.8E-3</v>
      </c>
      <c r="F1428">
        <v>-8.0000000000000004E-4</v>
      </c>
    </row>
    <row r="1429" spans="1:6" x14ac:dyDescent="0.3">
      <c r="A1429" s="3">
        <v>44074</v>
      </c>
      <c r="B1429">
        <v>-4.0000000000000002E-4</v>
      </c>
      <c r="C1429">
        <v>-9.5999999999999992E-3</v>
      </c>
      <c r="D1429">
        <v>-1.7500000000000002E-2</v>
      </c>
      <c r="E1429">
        <v>-6.9999999999999993E-3</v>
      </c>
      <c r="F1429">
        <v>-1.1999999999999999E-3</v>
      </c>
    </row>
    <row r="1430" spans="1:6" x14ac:dyDescent="0.3">
      <c r="A1430" s="3">
        <v>44075</v>
      </c>
      <c r="B1430">
        <v>9.1999999999999998E-3</v>
      </c>
      <c r="C1430">
        <v>2.0999999999999999E-3</v>
      </c>
      <c r="D1430">
        <v>-3.4000000000000002E-3</v>
      </c>
      <c r="E1430">
        <v>5.7999999999999996E-3</v>
      </c>
      <c r="F1430">
        <v>1.1000000000000001E-3</v>
      </c>
    </row>
    <row r="1431" spans="1:6" x14ac:dyDescent="0.3">
      <c r="A1431" s="3">
        <v>44076</v>
      </c>
      <c r="B1431">
        <v>1.2699999999999999E-2</v>
      </c>
      <c r="C1431">
        <v>-2.5999999999999999E-3</v>
      </c>
      <c r="D1431">
        <v>-4.5000000000000005E-3</v>
      </c>
      <c r="E1431">
        <v>7.4999999999999997E-3</v>
      </c>
      <c r="F1431">
        <v>-4.0999999999999995E-3</v>
      </c>
    </row>
    <row r="1432" spans="1:6" x14ac:dyDescent="0.3">
      <c r="A1432" s="3">
        <v>44077</v>
      </c>
      <c r="B1432">
        <v>-3.7000000000000005E-2</v>
      </c>
      <c r="C1432">
        <v>4.1999999999999997E-3</v>
      </c>
      <c r="D1432">
        <v>2.5899999999999999E-2</v>
      </c>
      <c r="E1432">
        <v>-8.9999999999999998E-4</v>
      </c>
      <c r="F1432">
        <v>-1.1999999999999999E-3</v>
      </c>
    </row>
    <row r="1433" spans="1:6" x14ac:dyDescent="0.3">
      <c r="A1433" s="3">
        <v>44078</v>
      </c>
      <c r="B1433">
        <v>-8.6999999999999994E-3</v>
      </c>
      <c r="C1433">
        <v>3.3E-3</v>
      </c>
      <c r="D1433">
        <v>2.1099999999999997E-2</v>
      </c>
      <c r="E1433">
        <v>8.1000000000000013E-3</v>
      </c>
      <c r="F1433">
        <v>9.1000000000000004E-3</v>
      </c>
    </row>
    <row r="1434" spans="1:6" x14ac:dyDescent="0.3">
      <c r="A1434" s="3">
        <v>44082</v>
      </c>
      <c r="B1434">
        <v>-2.9100000000000001E-2</v>
      </c>
      <c r="C1434">
        <v>8.8000000000000005E-3</v>
      </c>
      <c r="D1434">
        <v>-2.3E-3</v>
      </c>
      <c r="E1434">
        <v>-6.8000000000000005E-3</v>
      </c>
      <c r="F1434">
        <v>-5.7999999999999996E-3</v>
      </c>
    </row>
    <row r="1435" spans="1:6" x14ac:dyDescent="0.3">
      <c r="A1435" s="3">
        <v>44083</v>
      </c>
      <c r="B1435">
        <v>2.07E-2</v>
      </c>
      <c r="C1435">
        <v>-6.0999999999999995E-3</v>
      </c>
      <c r="D1435">
        <v>-1.9900000000000001E-2</v>
      </c>
      <c r="E1435">
        <v>-1.5E-3</v>
      </c>
      <c r="F1435">
        <v>-2.0999999999999999E-3</v>
      </c>
    </row>
    <row r="1436" spans="1:6" x14ac:dyDescent="0.3">
      <c r="A1436" s="3">
        <v>44084</v>
      </c>
      <c r="B1436">
        <v>-1.6399999999999998E-2</v>
      </c>
      <c r="C1436">
        <v>3.8E-3</v>
      </c>
      <c r="D1436">
        <v>-7.000000000000001E-4</v>
      </c>
      <c r="E1436">
        <v>-3.5999999999999999E-3</v>
      </c>
      <c r="F1436">
        <v>-3.5999999999999999E-3</v>
      </c>
    </row>
    <row r="1437" spans="1:6" x14ac:dyDescent="0.3">
      <c r="A1437" s="3">
        <v>44085</v>
      </c>
      <c r="B1437">
        <v>-5.9999999999999995E-4</v>
      </c>
      <c r="C1437">
        <v>-6.0999999999999995E-3</v>
      </c>
      <c r="D1437">
        <v>9.0000000000000011E-3</v>
      </c>
      <c r="E1437">
        <v>2.3E-3</v>
      </c>
      <c r="F1437">
        <v>4.6999999999999993E-3</v>
      </c>
    </row>
    <row r="1438" spans="1:6" x14ac:dyDescent="0.3">
      <c r="A1438" s="3">
        <v>44088</v>
      </c>
      <c r="B1438">
        <v>1.5900000000000001E-2</v>
      </c>
      <c r="C1438">
        <v>1.01E-2</v>
      </c>
      <c r="D1438">
        <v>-7.6E-3</v>
      </c>
      <c r="E1438">
        <v>-8.0000000000000002E-3</v>
      </c>
      <c r="F1438">
        <v>1E-4</v>
      </c>
    </row>
    <row r="1439" spans="1:6" x14ac:dyDescent="0.3">
      <c r="A1439" s="3">
        <v>44089</v>
      </c>
      <c r="B1439">
        <v>5.6999999999999993E-3</v>
      </c>
      <c r="C1439">
        <v>-6.6E-3</v>
      </c>
      <c r="D1439">
        <v>-1.44E-2</v>
      </c>
      <c r="E1439">
        <v>1.1000000000000001E-3</v>
      </c>
      <c r="F1439">
        <v>-3.5999999999999999E-3</v>
      </c>
    </row>
    <row r="1440" spans="1:6" x14ac:dyDescent="0.3">
      <c r="A1440" s="3">
        <v>44090</v>
      </c>
      <c r="B1440">
        <v>-3.9000000000000003E-3</v>
      </c>
      <c r="C1440">
        <v>1.18E-2</v>
      </c>
      <c r="D1440">
        <v>1.3600000000000001E-2</v>
      </c>
      <c r="E1440">
        <v>-9.4999999999999998E-3</v>
      </c>
      <c r="F1440">
        <v>3.0000000000000001E-3</v>
      </c>
    </row>
    <row r="1441" spans="1:6" x14ac:dyDescent="0.3">
      <c r="A1441" s="3">
        <v>44091</v>
      </c>
      <c r="B1441">
        <v>-8.5000000000000006E-3</v>
      </c>
      <c r="C1441">
        <v>4.7999999999999996E-3</v>
      </c>
      <c r="D1441">
        <v>2.0999999999999999E-3</v>
      </c>
      <c r="E1441">
        <v>5.9999999999999995E-4</v>
      </c>
      <c r="F1441">
        <v>6.3E-3</v>
      </c>
    </row>
    <row r="1442" spans="1:6" x14ac:dyDescent="0.3">
      <c r="A1442" s="3">
        <v>44092</v>
      </c>
      <c r="B1442">
        <v>-8.8000000000000005E-3</v>
      </c>
      <c r="C1442">
        <v>7.4999999999999997E-3</v>
      </c>
      <c r="D1442">
        <v>-1.9E-3</v>
      </c>
      <c r="E1442">
        <v>-1.1200000000000002E-2</v>
      </c>
      <c r="F1442">
        <v>-4.5999999999999999E-3</v>
      </c>
    </row>
    <row r="1443" spans="1:6" x14ac:dyDescent="0.3">
      <c r="A1443" s="3">
        <v>44095</v>
      </c>
      <c r="B1443">
        <v>-1.0800000000000001E-2</v>
      </c>
      <c r="C1443">
        <v>-2.6099999999999998E-2</v>
      </c>
      <c r="D1443">
        <v>-1.9199999999999998E-2</v>
      </c>
      <c r="E1443">
        <v>-5.1999999999999998E-3</v>
      </c>
      <c r="F1443">
        <v>-3.3E-3</v>
      </c>
    </row>
    <row r="1444" spans="1:6" x14ac:dyDescent="0.3">
      <c r="A1444" s="3">
        <v>44096</v>
      </c>
      <c r="B1444">
        <v>1.0200000000000001E-2</v>
      </c>
      <c r="C1444">
        <v>-4.5999999999999999E-3</v>
      </c>
      <c r="D1444">
        <v>-1.6500000000000001E-2</v>
      </c>
      <c r="E1444">
        <v>5.7999999999999996E-3</v>
      </c>
      <c r="F1444">
        <v>-5.1000000000000004E-3</v>
      </c>
    </row>
    <row r="1445" spans="1:6" x14ac:dyDescent="0.3">
      <c r="A1445" s="3">
        <v>44097</v>
      </c>
      <c r="B1445">
        <v>-2.4799999999999999E-2</v>
      </c>
      <c r="C1445">
        <v>-6.3E-3</v>
      </c>
      <c r="D1445">
        <v>1.7000000000000001E-3</v>
      </c>
      <c r="E1445">
        <v>1.8E-3</v>
      </c>
      <c r="F1445">
        <v>-2E-3</v>
      </c>
    </row>
    <row r="1446" spans="1:6" x14ac:dyDescent="0.3">
      <c r="A1446" s="3">
        <v>44098</v>
      </c>
      <c r="B1446">
        <v>2.5000000000000001E-3</v>
      </c>
      <c r="C1446">
        <v>-1.9E-3</v>
      </c>
      <c r="D1446">
        <v>3.4000000000000002E-3</v>
      </c>
      <c r="E1446">
        <v>5.1000000000000004E-3</v>
      </c>
      <c r="F1446">
        <v>1E-3</v>
      </c>
    </row>
    <row r="1447" spans="1:6" x14ac:dyDescent="0.3">
      <c r="A1447" s="3">
        <v>44099</v>
      </c>
      <c r="B1447">
        <v>1.72E-2</v>
      </c>
      <c r="C1447">
        <v>-1.6000000000000001E-3</v>
      </c>
      <c r="D1447">
        <v>-1.3600000000000001E-2</v>
      </c>
      <c r="E1447">
        <v>-5.1000000000000004E-3</v>
      </c>
      <c r="F1447">
        <v>-6.6E-3</v>
      </c>
    </row>
    <row r="1448" spans="1:6" x14ac:dyDescent="0.3">
      <c r="A1448" s="3">
        <v>44102</v>
      </c>
      <c r="B1448">
        <v>1.66E-2</v>
      </c>
      <c r="C1448">
        <v>8.6999999999999994E-3</v>
      </c>
      <c r="D1448">
        <v>1.0200000000000001E-2</v>
      </c>
      <c r="E1448">
        <v>4.0000000000000001E-3</v>
      </c>
      <c r="F1448">
        <v>1.7000000000000001E-3</v>
      </c>
    </row>
    <row r="1449" spans="1:6" x14ac:dyDescent="0.3">
      <c r="A1449" s="3">
        <v>44103</v>
      </c>
      <c r="B1449">
        <v>-4.1999999999999997E-3</v>
      </c>
      <c r="C1449">
        <v>4.0999999999999995E-3</v>
      </c>
      <c r="D1449">
        <v>-1.3000000000000001E-2</v>
      </c>
      <c r="E1449">
        <v>-8.0000000000000002E-3</v>
      </c>
      <c r="F1449">
        <v>-5.8999999999999999E-3</v>
      </c>
    </row>
    <row r="1450" spans="1:6" x14ac:dyDescent="0.3">
      <c r="A1450" s="3">
        <v>44104</v>
      </c>
      <c r="B1450">
        <v>7.9000000000000008E-3</v>
      </c>
      <c r="C1450">
        <v>-6.7000000000000002E-3</v>
      </c>
      <c r="D1450">
        <v>1.7000000000000001E-3</v>
      </c>
      <c r="E1450">
        <v>3.3E-3</v>
      </c>
      <c r="F1450">
        <v>1.1999999999999999E-3</v>
      </c>
    </row>
    <row r="1451" spans="1:6" x14ac:dyDescent="0.3">
      <c r="A1451" s="3">
        <v>44105</v>
      </c>
      <c r="B1451">
        <v>7.9000000000000008E-3</v>
      </c>
      <c r="C1451">
        <v>8.1000000000000013E-3</v>
      </c>
      <c r="D1451">
        <v>-5.6999999999999993E-3</v>
      </c>
      <c r="E1451">
        <v>-2.9999999999999997E-4</v>
      </c>
      <c r="F1451">
        <v>-5.8999999999999999E-3</v>
      </c>
    </row>
    <row r="1452" spans="1:6" x14ac:dyDescent="0.3">
      <c r="A1452" s="3">
        <v>44106</v>
      </c>
      <c r="B1452">
        <v>-9.5999999999999992E-3</v>
      </c>
      <c r="C1452">
        <v>1.7000000000000001E-2</v>
      </c>
      <c r="D1452">
        <v>2.4700000000000003E-2</v>
      </c>
      <c r="E1452">
        <v>5.7999999999999996E-3</v>
      </c>
      <c r="F1452">
        <v>3.5999999999999999E-3</v>
      </c>
    </row>
    <row r="1453" spans="1:6" x14ac:dyDescent="0.3">
      <c r="A1453" s="3">
        <v>44109</v>
      </c>
      <c r="B1453">
        <v>1.9299999999999998E-2</v>
      </c>
      <c r="C1453">
        <v>8.6E-3</v>
      </c>
      <c r="D1453">
        <v>-8.9999999999999998E-4</v>
      </c>
      <c r="E1453">
        <v>-4.6999999999999993E-3</v>
      </c>
      <c r="F1453">
        <v>1.1999999999999999E-3</v>
      </c>
    </row>
    <row r="1454" spans="1:6" x14ac:dyDescent="0.3">
      <c r="A1454" s="3">
        <v>44110</v>
      </c>
      <c r="B1454">
        <v>-1.2800000000000001E-2</v>
      </c>
      <c r="C1454">
        <v>8.5000000000000006E-3</v>
      </c>
      <c r="D1454">
        <v>2.2000000000000001E-3</v>
      </c>
      <c r="E1454">
        <v>-5.3E-3</v>
      </c>
      <c r="F1454">
        <v>-7.000000000000001E-4</v>
      </c>
    </row>
    <row r="1455" spans="1:6" x14ac:dyDescent="0.3">
      <c r="A1455" s="3">
        <v>44111</v>
      </c>
      <c r="B1455">
        <v>1.84E-2</v>
      </c>
      <c r="C1455">
        <v>4.4000000000000003E-3</v>
      </c>
      <c r="D1455">
        <v>2.2000000000000001E-3</v>
      </c>
      <c r="E1455">
        <v>-2.7000000000000001E-3</v>
      </c>
      <c r="F1455">
        <v>1.4000000000000002E-3</v>
      </c>
    </row>
    <row r="1456" spans="1:6" x14ac:dyDescent="0.3">
      <c r="A1456" s="3">
        <v>44112</v>
      </c>
      <c r="B1456">
        <v>8.0000000000000002E-3</v>
      </c>
      <c r="C1456">
        <v>2.8999999999999998E-3</v>
      </c>
      <c r="D1456">
        <v>1.0200000000000001E-2</v>
      </c>
      <c r="E1456">
        <v>2.0999999999999999E-3</v>
      </c>
      <c r="F1456">
        <v>2.8000000000000004E-3</v>
      </c>
    </row>
    <row r="1457" spans="1:6" x14ac:dyDescent="0.3">
      <c r="A1457" s="3">
        <v>44113</v>
      </c>
      <c r="B1457">
        <v>9.300000000000001E-3</v>
      </c>
      <c r="C1457">
        <v>-3.2000000000000002E-3</v>
      </c>
      <c r="D1457">
        <v>-1.44E-2</v>
      </c>
      <c r="E1457">
        <v>-1.7000000000000001E-3</v>
      </c>
      <c r="F1457">
        <v>-3.0999999999999999E-3</v>
      </c>
    </row>
    <row r="1458" spans="1:6" x14ac:dyDescent="0.3">
      <c r="A1458" s="3">
        <v>44116</v>
      </c>
      <c r="B1458">
        <v>1.5300000000000001E-2</v>
      </c>
      <c r="C1458">
        <v>-9.8999999999999991E-3</v>
      </c>
      <c r="D1458">
        <v>-1.2999999999999999E-3</v>
      </c>
      <c r="E1458">
        <v>7.6E-3</v>
      </c>
      <c r="F1458">
        <v>3.2000000000000002E-3</v>
      </c>
    </row>
    <row r="1459" spans="1:6" x14ac:dyDescent="0.3">
      <c r="A1459" s="3">
        <v>44117</v>
      </c>
      <c r="B1459">
        <v>-4.0999999999999995E-3</v>
      </c>
      <c r="C1459">
        <v>-1.6000000000000001E-3</v>
      </c>
      <c r="D1459">
        <v>-1.7100000000000001E-2</v>
      </c>
      <c r="E1459">
        <v>-8.6E-3</v>
      </c>
      <c r="F1459">
        <v>-9.7999999999999997E-3</v>
      </c>
    </row>
    <row r="1460" spans="1:6" x14ac:dyDescent="0.3">
      <c r="A1460" s="3">
        <v>44118</v>
      </c>
      <c r="B1460">
        <v>-6.5000000000000006E-3</v>
      </c>
      <c r="C1460">
        <v>1E-4</v>
      </c>
      <c r="D1460">
        <v>4.0000000000000002E-4</v>
      </c>
      <c r="E1460">
        <v>3.3E-3</v>
      </c>
      <c r="F1460">
        <v>6.7000000000000002E-3</v>
      </c>
    </row>
    <row r="1461" spans="1:6" x14ac:dyDescent="0.3">
      <c r="A1461" s="3">
        <v>44119</v>
      </c>
      <c r="B1461">
        <v>-8.0000000000000004E-4</v>
      </c>
      <c r="C1461">
        <v>1.1699999999999999E-2</v>
      </c>
      <c r="D1461">
        <v>1.1299999999999999E-2</v>
      </c>
      <c r="E1461">
        <v>1.5E-3</v>
      </c>
      <c r="F1461">
        <v>1.8E-3</v>
      </c>
    </row>
    <row r="1462" spans="1:6" x14ac:dyDescent="0.3">
      <c r="A1462" s="3">
        <v>44120</v>
      </c>
      <c r="B1462">
        <v>-5.9999999999999995E-4</v>
      </c>
      <c r="C1462">
        <v>-1.5E-3</v>
      </c>
      <c r="D1462">
        <v>5.0000000000000001E-4</v>
      </c>
      <c r="E1462">
        <v>-5.0000000000000001E-4</v>
      </c>
      <c r="F1462">
        <v>-1.2999999999999999E-3</v>
      </c>
    </row>
    <row r="1463" spans="1:6" x14ac:dyDescent="0.3">
      <c r="A1463" s="3">
        <v>44123</v>
      </c>
      <c r="B1463">
        <v>-1.5300000000000001E-2</v>
      </c>
      <c r="C1463">
        <v>3.5999999999999999E-3</v>
      </c>
      <c r="D1463">
        <v>3.0000000000000001E-3</v>
      </c>
      <c r="E1463">
        <v>-3.3E-3</v>
      </c>
      <c r="F1463">
        <v>-2.5000000000000001E-3</v>
      </c>
    </row>
    <row r="1464" spans="1:6" x14ac:dyDescent="0.3">
      <c r="A1464" s="3">
        <v>44124</v>
      </c>
      <c r="B1464">
        <v>3.4000000000000002E-3</v>
      </c>
      <c r="C1464">
        <v>-8.9999999999999998E-4</v>
      </c>
      <c r="D1464">
        <v>1.29E-2</v>
      </c>
      <c r="E1464">
        <v>5.6000000000000008E-3</v>
      </c>
      <c r="F1464">
        <v>2.0999999999999999E-3</v>
      </c>
    </row>
    <row r="1465" spans="1:6" x14ac:dyDescent="0.3">
      <c r="A1465" s="3">
        <v>44125</v>
      </c>
      <c r="B1465">
        <v>-3.5999999999999999E-3</v>
      </c>
      <c r="C1465">
        <v>-4.6999999999999993E-3</v>
      </c>
      <c r="D1465">
        <v>3.5999999999999999E-3</v>
      </c>
      <c r="E1465">
        <v>5.1000000000000004E-3</v>
      </c>
      <c r="F1465">
        <v>-2.0000000000000001E-4</v>
      </c>
    </row>
    <row r="1466" spans="1:6" x14ac:dyDescent="0.3">
      <c r="A1466" s="3">
        <v>44126</v>
      </c>
      <c r="B1466">
        <v>6.7000000000000002E-3</v>
      </c>
      <c r="C1466">
        <v>9.300000000000001E-3</v>
      </c>
      <c r="D1466">
        <v>1.06E-2</v>
      </c>
      <c r="E1466">
        <v>-5.4000000000000003E-3</v>
      </c>
      <c r="F1466">
        <v>-2.9999999999999997E-4</v>
      </c>
    </row>
    <row r="1467" spans="1:6" x14ac:dyDescent="0.3">
      <c r="A1467" s="3">
        <v>44127</v>
      </c>
      <c r="B1467">
        <v>3.8E-3</v>
      </c>
      <c r="C1467">
        <v>3.8E-3</v>
      </c>
      <c r="D1467">
        <v>5.0000000000000001E-4</v>
      </c>
      <c r="E1467">
        <v>-1.6000000000000001E-3</v>
      </c>
      <c r="F1467">
        <v>-3.5999999999999999E-3</v>
      </c>
    </row>
    <row r="1468" spans="1:6" x14ac:dyDescent="0.3">
      <c r="A1468" s="3">
        <v>44130</v>
      </c>
      <c r="B1468">
        <v>-1.8500000000000003E-2</v>
      </c>
      <c r="C1468">
        <v>-4.7999999999999996E-3</v>
      </c>
      <c r="D1468">
        <v>-4.0000000000000001E-3</v>
      </c>
      <c r="E1468">
        <v>-1.5E-3</v>
      </c>
      <c r="F1468">
        <v>-2.9999999999999997E-4</v>
      </c>
    </row>
    <row r="1469" spans="1:6" x14ac:dyDescent="0.3">
      <c r="A1469" s="3">
        <v>44131</v>
      </c>
      <c r="B1469">
        <v>-2.3E-3</v>
      </c>
      <c r="C1469">
        <v>-6.0999999999999995E-3</v>
      </c>
      <c r="D1469">
        <v>-2.3599999999999999E-2</v>
      </c>
      <c r="E1469">
        <v>-3.7000000000000002E-3</v>
      </c>
      <c r="F1469">
        <v>-7.4000000000000003E-3</v>
      </c>
    </row>
    <row r="1470" spans="1:6" x14ac:dyDescent="0.3">
      <c r="A1470" s="3">
        <v>44132</v>
      </c>
      <c r="B1470">
        <v>-3.4099999999999998E-2</v>
      </c>
      <c r="C1470">
        <v>1.9E-3</v>
      </c>
      <c r="D1470">
        <v>5.8999999999999999E-3</v>
      </c>
      <c r="E1470">
        <v>-5.1999999999999998E-3</v>
      </c>
      <c r="F1470">
        <v>-2.9999999999999997E-4</v>
      </c>
    </row>
    <row r="1471" spans="1:6" x14ac:dyDescent="0.3">
      <c r="A1471" s="3">
        <v>44133</v>
      </c>
      <c r="B1471">
        <v>1.1299999999999999E-2</v>
      </c>
      <c r="C1471">
        <v>1.5E-3</v>
      </c>
      <c r="D1471">
        <v>2.3999999999999998E-3</v>
      </c>
      <c r="E1471">
        <v>2.7000000000000001E-3</v>
      </c>
      <c r="F1471">
        <v>6.0999999999999995E-3</v>
      </c>
    </row>
    <row r="1472" spans="1:6" x14ac:dyDescent="0.3">
      <c r="A1472" s="3">
        <v>44134</v>
      </c>
      <c r="B1472">
        <v>-1.4499999999999999E-2</v>
      </c>
      <c r="C1472">
        <v>-2.2000000000000001E-3</v>
      </c>
      <c r="D1472">
        <v>1.8700000000000001E-2</v>
      </c>
      <c r="E1472">
        <v>2.3E-3</v>
      </c>
      <c r="F1472">
        <v>-5.9999999999999995E-4</v>
      </c>
    </row>
    <row r="1473" spans="1:6" x14ac:dyDescent="0.3">
      <c r="A1473" s="3">
        <v>44137</v>
      </c>
      <c r="B1473">
        <v>1.1699999999999999E-2</v>
      </c>
      <c r="C1473">
        <v>8.199999999999999E-3</v>
      </c>
      <c r="D1473">
        <v>1.01E-2</v>
      </c>
      <c r="E1473">
        <v>4.3E-3</v>
      </c>
      <c r="F1473">
        <v>4.0999999999999995E-3</v>
      </c>
    </row>
    <row r="1474" spans="1:6" x14ac:dyDescent="0.3">
      <c r="A1474" s="3">
        <v>44138</v>
      </c>
      <c r="B1474">
        <v>1.9299999999999998E-2</v>
      </c>
      <c r="C1474">
        <v>9.7000000000000003E-3</v>
      </c>
      <c r="D1474">
        <v>-2E-3</v>
      </c>
      <c r="E1474">
        <v>-1.8E-3</v>
      </c>
      <c r="F1474">
        <v>1E-4</v>
      </c>
    </row>
    <row r="1475" spans="1:6" x14ac:dyDescent="0.3">
      <c r="A1475" s="3">
        <v>44139</v>
      </c>
      <c r="B1475">
        <v>2.2499999999999999E-2</v>
      </c>
      <c r="C1475">
        <v>-2.52E-2</v>
      </c>
      <c r="D1475">
        <v>-4.9500000000000002E-2</v>
      </c>
      <c r="E1475">
        <v>-6.8999999999999999E-3</v>
      </c>
      <c r="F1475">
        <v>-1.7500000000000002E-2</v>
      </c>
    </row>
    <row r="1476" spans="1:6" x14ac:dyDescent="0.3">
      <c r="A1476" s="3">
        <v>44140</v>
      </c>
      <c r="B1476">
        <v>2.1299999999999999E-2</v>
      </c>
      <c r="C1476">
        <v>1.04E-2</v>
      </c>
      <c r="D1476">
        <v>5.1000000000000004E-3</v>
      </c>
      <c r="E1476">
        <v>3.4999999999999996E-3</v>
      </c>
      <c r="F1476">
        <v>5.5000000000000005E-3</v>
      </c>
    </row>
    <row r="1477" spans="1:6" x14ac:dyDescent="0.3">
      <c r="A1477" s="3">
        <v>44141</v>
      </c>
      <c r="B1477">
        <v>1E-4</v>
      </c>
      <c r="C1477">
        <v>-1.0800000000000001E-2</v>
      </c>
      <c r="D1477">
        <v>-9.1999999999999998E-3</v>
      </c>
      <c r="E1477">
        <v>-2.0999999999999999E-3</v>
      </c>
      <c r="F1477">
        <v>-1E-3</v>
      </c>
    </row>
    <row r="1478" spans="1:6" x14ac:dyDescent="0.3">
      <c r="A1478" s="3">
        <v>44144</v>
      </c>
      <c r="B1478">
        <v>8.6999999999999994E-3</v>
      </c>
      <c r="C1478">
        <v>2.7900000000000001E-2</v>
      </c>
      <c r="D1478">
        <v>6.7500000000000004E-2</v>
      </c>
      <c r="E1478">
        <v>7.9000000000000008E-3</v>
      </c>
      <c r="F1478">
        <v>8.8999999999999999E-3</v>
      </c>
    </row>
    <row r="1479" spans="1:6" x14ac:dyDescent="0.3">
      <c r="A1479" s="3">
        <v>44145</v>
      </c>
      <c r="B1479">
        <v>-1.7000000000000001E-3</v>
      </c>
      <c r="C1479">
        <v>2.0400000000000001E-2</v>
      </c>
      <c r="D1479">
        <v>2.1899999999999999E-2</v>
      </c>
      <c r="E1479">
        <v>3.0999999999999999E-3</v>
      </c>
      <c r="F1479">
        <v>1.3000000000000001E-2</v>
      </c>
    </row>
    <row r="1480" spans="1:6" x14ac:dyDescent="0.3">
      <c r="A1480" s="3">
        <v>44146</v>
      </c>
      <c r="B1480">
        <v>8.8000000000000005E-3</v>
      </c>
      <c r="C1480">
        <v>-1.0800000000000001E-2</v>
      </c>
      <c r="D1480">
        <v>-1.77E-2</v>
      </c>
      <c r="E1480">
        <v>-6.5000000000000006E-3</v>
      </c>
      <c r="F1480">
        <v>-2.0999999999999999E-3</v>
      </c>
    </row>
    <row r="1481" spans="1:6" x14ac:dyDescent="0.3">
      <c r="A1481" s="3">
        <v>44147</v>
      </c>
      <c r="B1481">
        <v>-9.3999999999999986E-3</v>
      </c>
      <c r="C1481">
        <v>-5.5000000000000005E-3</v>
      </c>
      <c r="D1481">
        <v>-1.1899999999999999E-2</v>
      </c>
      <c r="E1481">
        <v>-6.6E-3</v>
      </c>
      <c r="F1481">
        <v>-2.3999999999999998E-3</v>
      </c>
    </row>
    <row r="1482" spans="1:6" x14ac:dyDescent="0.3">
      <c r="A1482" s="3">
        <v>44148</v>
      </c>
      <c r="B1482">
        <v>1.3100000000000001E-2</v>
      </c>
      <c r="C1482">
        <v>9.0000000000000011E-3</v>
      </c>
      <c r="D1482">
        <v>1.1299999999999999E-2</v>
      </c>
      <c r="E1482">
        <v>5.7999999999999996E-3</v>
      </c>
      <c r="F1482">
        <v>4.4000000000000003E-3</v>
      </c>
    </row>
    <row r="1483" spans="1:6" x14ac:dyDescent="0.3">
      <c r="A1483" s="3">
        <v>44151</v>
      </c>
      <c r="B1483">
        <v>1.2199999999999999E-2</v>
      </c>
      <c r="C1483">
        <v>1.24E-2</v>
      </c>
      <c r="D1483">
        <v>1.9599999999999999E-2</v>
      </c>
      <c r="E1483">
        <v>6.8999999999999999E-3</v>
      </c>
      <c r="F1483">
        <v>8.6999999999999994E-3</v>
      </c>
    </row>
    <row r="1484" spans="1:6" x14ac:dyDescent="0.3">
      <c r="A1484" s="3">
        <v>44152</v>
      </c>
      <c r="B1484">
        <v>-1.9E-3</v>
      </c>
      <c r="C1484">
        <v>6.0999999999999995E-3</v>
      </c>
      <c r="D1484">
        <v>0</v>
      </c>
      <c r="E1484">
        <v>-4.0999999999999995E-3</v>
      </c>
      <c r="F1484">
        <v>-4.0000000000000001E-3</v>
      </c>
    </row>
    <row r="1485" spans="1:6" x14ac:dyDescent="0.3">
      <c r="A1485" s="3">
        <v>44153</v>
      </c>
      <c r="B1485">
        <v>-9.300000000000001E-3</v>
      </c>
      <c r="C1485">
        <v>-2.9999999999999997E-4</v>
      </c>
      <c r="D1485">
        <v>0</v>
      </c>
      <c r="E1485">
        <v>7.000000000000001E-4</v>
      </c>
      <c r="F1485">
        <v>-4.0000000000000001E-3</v>
      </c>
    </row>
    <row r="1486" spans="1:6" x14ac:dyDescent="0.3">
      <c r="A1486" s="3">
        <v>44154</v>
      </c>
      <c r="B1486">
        <v>5.8999999999999999E-3</v>
      </c>
      <c r="C1486">
        <v>2.8999999999999998E-3</v>
      </c>
      <c r="D1486">
        <v>-7.4000000000000003E-3</v>
      </c>
      <c r="E1486">
        <v>-6.4000000000000003E-3</v>
      </c>
      <c r="F1486">
        <v>-2E-3</v>
      </c>
    </row>
    <row r="1487" spans="1:6" x14ac:dyDescent="0.3">
      <c r="A1487" s="3">
        <v>44155</v>
      </c>
      <c r="B1487">
        <v>-5.1000000000000004E-3</v>
      </c>
      <c r="C1487">
        <v>6.0000000000000001E-3</v>
      </c>
      <c r="D1487">
        <v>-6.0999999999999995E-3</v>
      </c>
      <c r="E1487">
        <v>-7.3000000000000001E-3</v>
      </c>
      <c r="F1487">
        <v>-1.1000000000000001E-3</v>
      </c>
    </row>
    <row r="1488" spans="1:6" x14ac:dyDescent="0.3">
      <c r="A1488" s="3">
        <v>44158</v>
      </c>
      <c r="B1488">
        <v>8.3000000000000001E-3</v>
      </c>
      <c r="C1488">
        <v>1.4199999999999999E-2</v>
      </c>
      <c r="D1488">
        <v>1.5700000000000002E-2</v>
      </c>
      <c r="E1488">
        <v>3.0999999999999999E-3</v>
      </c>
      <c r="F1488">
        <v>5.0000000000000001E-4</v>
      </c>
    </row>
    <row r="1489" spans="1:6" x14ac:dyDescent="0.3">
      <c r="A1489" s="3">
        <v>44159</v>
      </c>
      <c r="B1489">
        <v>1.5600000000000001E-2</v>
      </c>
      <c r="C1489">
        <v>4.7999999999999996E-3</v>
      </c>
      <c r="D1489">
        <v>2.75E-2</v>
      </c>
      <c r="E1489">
        <v>5.3E-3</v>
      </c>
      <c r="F1489">
        <v>5.3E-3</v>
      </c>
    </row>
    <row r="1490" spans="1:6" x14ac:dyDescent="0.3">
      <c r="A1490" s="3">
        <v>44160</v>
      </c>
      <c r="B1490">
        <v>2.9999999999999997E-4</v>
      </c>
      <c r="C1490">
        <v>-2.5999999999999999E-3</v>
      </c>
      <c r="D1490">
        <v>-1.3000000000000001E-2</v>
      </c>
      <c r="E1490">
        <v>-3.7000000000000002E-3</v>
      </c>
      <c r="F1490">
        <v>-5.5000000000000005E-3</v>
      </c>
    </row>
    <row r="1491" spans="1:6" x14ac:dyDescent="0.3">
      <c r="A1491" s="3">
        <v>44162</v>
      </c>
      <c r="B1491">
        <v>4.3E-3</v>
      </c>
      <c r="C1491">
        <v>1.4000000000000002E-3</v>
      </c>
      <c r="D1491">
        <v>-1.6399999999999998E-2</v>
      </c>
      <c r="E1491">
        <v>-7.6E-3</v>
      </c>
      <c r="F1491">
        <v>-3.3E-3</v>
      </c>
    </row>
    <row r="1492" spans="1:6" x14ac:dyDescent="0.3">
      <c r="A1492" s="3">
        <v>44165</v>
      </c>
      <c r="B1492">
        <v>-5.3E-3</v>
      </c>
      <c r="C1492">
        <v>-1.54E-2</v>
      </c>
      <c r="D1492">
        <v>-2.0799999999999999E-2</v>
      </c>
      <c r="E1492">
        <v>-4.6999999999999993E-3</v>
      </c>
      <c r="F1492">
        <v>4.5999999999999999E-3</v>
      </c>
    </row>
    <row r="1493" spans="1:6" x14ac:dyDescent="0.3">
      <c r="A1493" s="3">
        <v>44166</v>
      </c>
      <c r="B1493">
        <v>9.7999999999999997E-3</v>
      </c>
      <c r="C1493">
        <v>-5.0000000000000001E-4</v>
      </c>
      <c r="D1493">
        <v>5.4000000000000003E-3</v>
      </c>
      <c r="E1493">
        <v>1.04E-2</v>
      </c>
      <c r="F1493">
        <v>4.7999999999999996E-3</v>
      </c>
    </row>
    <row r="1494" spans="1:6" x14ac:dyDescent="0.3">
      <c r="A1494" s="3">
        <v>44167</v>
      </c>
      <c r="B1494">
        <v>1.1000000000000001E-3</v>
      </c>
      <c r="C1494">
        <v>2.0999999999999999E-3</v>
      </c>
      <c r="D1494">
        <v>1.0700000000000001E-2</v>
      </c>
      <c r="E1494">
        <v>3.7000000000000002E-3</v>
      </c>
      <c r="F1494">
        <v>6.0999999999999995E-3</v>
      </c>
    </row>
    <row r="1495" spans="1:6" x14ac:dyDescent="0.3">
      <c r="A1495" s="3">
        <v>44168</v>
      </c>
      <c r="B1495">
        <v>1.8E-3</v>
      </c>
      <c r="C1495">
        <v>5.5000000000000005E-3</v>
      </c>
      <c r="D1495">
        <v>-5.9999999999999995E-4</v>
      </c>
      <c r="E1495">
        <v>-2.7000000000000001E-3</v>
      </c>
      <c r="F1495">
        <v>2E-3</v>
      </c>
    </row>
    <row r="1496" spans="1:6" x14ac:dyDescent="0.3">
      <c r="A1496" s="3">
        <v>44169</v>
      </c>
      <c r="B1496">
        <v>1.0200000000000001E-2</v>
      </c>
      <c r="C1496">
        <v>1.5600000000000001E-2</v>
      </c>
      <c r="D1496">
        <v>8.6E-3</v>
      </c>
      <c r="E1496">
        <v>-3.4000000000000002E-3</v>
      </c>
      <c r="F1496">
        <v>6.0000000000000001E-3</v>
      </c>
    </row>
    <row r="1497" spans="1:6" x14ac:dyDescent="0.3">
      <c r="A1497" s="3">
        <v>44172</v>
      </c>
      <c r="B1497">
        <v>2.9999999999999997E-4</v>
      </c>
      <c r="C1497">
        <v>-8.9999999999999998E-4</v>
      </c>
      <c r="D1497">
        <v>-1.0200000000000001E-2</v>
      </c>
      <c r="E1497">
        <v>-5.7999999999999996E-3</v>
      </c>
      <c r="F1497">
        <v>-5.0000000000000001E-3</v>
      </c>
    </row>
    <row r="1498" spans="1:6" x14ac:dyDescent="0.3">
      <c r="A1498" s="3">
        <v>44173</v>
      </c>
      <c r="B1498">
        <v>4.6999999999999993E-3</v>
      </c>
      <c r="C1498">
        <v>8.6999999999999994E-3</v>
      </c>
      <c r="D1498">
        <v>-7.4000000000000003E-3</v>
      </c>
      <c r="E1498">
        <v>-6.8999999999999999E-3</v>
      </c>
      <c r="F1498">
        <v>0</v>
      </c>
    </row>
    <row r="1499" spans="1:6" x14ac:dyDescent="0.3">
      <c r="A1499" s="3">
        <v>44174</v>
      </c>
      <c r="B1499">
        <v>-1.03E-2</v>
      </c>
      <c r="C1499">
        <v>2.8999999999999998E-3</v>
      </c>
      <c r="D1499">
        <v>1.32E-2</v>
      </c>
      <c r="E1499">
        <v>8.6999999999999994E-3</v>
      </c>
      <c r="F1499">
        <v>3.0999999999999999E-3</v>
      </c>
    </row>
    <row r="1500" spans="1:6" x14ac:dyDescent="0.3">
      <c r="A1500" s="3">
        <v>44175</v>
      </c>
      <c r="B1500">
        <v>2.3999999999999998E-3</v>
      </c>
      <c r="C1500">
        <v>9.1000000000000004E-3</v>
      </c>
      <c r="D1500">
        <v>-4.5000000000000005E-3</v>
      </c>
      <c r="E1500">
        <v>-1.4999999999999999E-2</v>
      </c>
      <c r="F1500">
        <v>-2.5999999999999999E-3</v>
      </c>
    </row>
    <row r="1501" spans="1:6" x14ac:dyDescent="0.3">
      <c r="A1501" s="3">
        <v>44176</v>
      </c>
      <c r="B1501">
        <v>-2E-3</v>
      </c>
      <c r="C1501">
        <v>-5.7999999999999996E-3</v>
      </c>
      <c r="D1501">
        <v>-7.4000000000000003E-3</v>
      </c>
      <c r="E1501">
        <v>-5.8999999999999999E-3</v>
      </c>
      <c r="F1501">
        <v>-5.7999999999999996E-3</v>
      </c>
    </row>
    <row r="1502" spans="1:6" x14ac:dyDescent="0.3">
      <c r="A1502" s="3">
        <v>44179</v>
      </c>
      <c r="B1502">
        <v>-2.8000000000000004E-3</v>
      </c>
      <c r="C1502">
        <v>2.3E-3</v>
      </c>
      <c r="D1502">
        <v>-1.5600000000000001E-2</v>
      </c>
      <c r="E1502">
        <v>-3.9000000000000003E-3</v>
      </c>
      <c r="F1502">
        <v>-8.199999999999999E-3</v>
      </c>
    </row>
    <row r="1503" spans="1:6" x14ac:dyDescent="0.3">
      <c r="A1503" s="3">
        <v>44180</v>
      </c>
      <c r="B1503">
        <v>1.2800000000000001E-2</v>
      </c>
      <c r="C1503">
        <v>1.1299999999999999E-2</v>
      </c>
      <c r="D1503">
        <v>4.0999999999999995E-3</v>
      </c>
      <c r="E1503">
        <v>4.5999999999999999E-3</v>
      </c>
      <c r="F1503">
        <v>6.0000000000000001E-3</v>
      </c>
    </row>
    <row r="1504" spans="1:6" x14ac:dyDescent="0.3">
      <c r="A1504" s="3">
        <v>44181</v>
      </c>
      <c r="B1504">
        <v>1.7000000000000001E-3</v>
      </c>
      <c r="C1504">
        <v>-5.7999999999999996E-3</v>
      </c>
      <c r="D1504">
        <v>-3.9000000000000003E-3</v>
      </c>
      <c r="E1504">
        <v>4.0000000000000002E-4</v>
      </c>
      <c r="F1504">
        <v>-2E-3</v>
      </c>
    </row>
    <row r="1505" spans="1:6" x14ac:dyDescent="0.3">
      <c r="A1505" s="3">
        <v>44182</v>
      </c>
      <c r="B1505">
        <v>7.9000000000000008E-3</v>
      </c>
      <c r="C1505">
        <v>5.1999999999999998E-3</v>
      </c>
      <c r="D1505">
        <v>-6.8999999999999999E-3</v>
      </c>
      <c r="E1505">
        <v>-6.0999999999999995E-3</v>
      </c>
      <c r="F1505">
        <v>-2E-3</v>
      </c>
    </row>
    <row r="1506" spans="1:6" x14ac:dyDescent="0.3">
      <c r="A1506" s="3">
        <v>44183</v>
      </c>
      <c r="B1506">
        <v>-1.1999999999999999E-3</v>
      </c>
      <c r="C1506">
        <v>-1.7000000000000001E-3</v>
      </c>
      <c r="D1506">
        <v>-1.1899999999999999E-2</v>
      </c>
      <c r="E1506">
        <v>-4.0999999999999995E-3</v>
      </c>
      <c r="F1506">
        <v>-7.6E-3</v>
      </c>
    </row>
    <row r="1507" spans="1:6" x14ac:dyDescent="0.3">
      <c r="A1507" s="3">
        <v>44186</v>
      </c>
      <c r="B1507">
        <v>-2.3E-3</v>
      </c>
      <c r="C1507">
        <v>2.3E-3</v>
      </c>
      <c r="D1507">
        <v>-4.0000000000000002E-4</v>
      </c>
      <c r="E1507">
        <v>-9.8999999999999991E-3</v>
      </c>
      <c r="F1507">
        <v>2.8999999999999998E-3</v>
      </c>
    </row>
    <row r="1508" spans="1:6" x14ac:dyDescent="0.3">
      <c r="A1508" s="3">
        <v>44187</v>
      </c>
      <c r="B1508">
        <v>5.9999999999999995E-4</v>
      </c>
      <c r="C1508">
        <v>8.6E-3</v>
      </c>
      <c r="D1508">
        <v>-1.6299999999999999E-2</v>
      </c>
      <c r="E1508">
        <v>-8.3000000000000001E-3</v>
      </c>
      <c r="F1508">
        <v>-1E-3</v>
      </c>
    </row>
    <row r="1509" spans="1:6" x14ac:dyDescent="0.3">
      <c r="A1509" s="3">
        <v>44188</v>
      </c>
      <c r="B1509">
        <v>1E-3</v>
      </c>
      <c r="C1509">
        <v>8.3000000000000001E-3</v>
      </c>
      <c r="D1509">
        <v>2.0299999999999999E-2</v>
      </c>
      <c r="E1509">
        <v>2.8999999999999998E-3</v>
      </c>
      <c r="F1509">
        <v>4.3E-3</v>
      </c>
    </row>
    <row r="1510" spans="1:6" x14ac:dyDescent="0.3">
      <c r="A1510" s="3">
        <v>44189</v>
      </c>
      <c r="B1510">
        <v>2.0999999999999999E-3</v>
      </c>
      <c r="C1510">
        <v>-4.3E-3</v>
      </c>
      <c r="D1510">
        <v>-1.8E-3</v>
      </c>
      <c r="E1510">
        <v>2.3E-3</v>
      </c>
      <c r="F1510">
        <v>-5.9999999999999995E-4</v>
      </c>
    </row>
    <row r="1511" spans="1:6" x14ac:dyDescent="0.3">
      <c r="A1511" s="3">
        <v>44193</v>
      </c>
      <c r="B1511">
        <v>4.5999999999999999E-3</v>
      </c>
      <c r="C1511">
        <v>-6.7000000000000002E-3</v>
      </c>
      <c r="D1511">
        <v>3.4000000000000002E-3</v>
      </c>
      <c r="E1511">
        <v>1.3899999999999999E-2</v>
      </c>
      <c r="F1511">
        <v>4.5999999999999999E-3</v>
      </c>
    </row>
    <row r="1512" spans="1:6" x14ac:dyDescent="0.3">
      <c r="A1512" s="3">
        <v>44194</v>
      </c>
      <c r="B1512">
        <v>-4.0000000000000001E-3</v>
      </c>
      <c r="C1512">
        <v>-1.4199999999999999E-2</v>
      </c>
      <c r="D1512">
        <v>2.3E-3</v>
      </c>
      <c r="E1512">
        <v>7.4999999999999997E-3</v>
      </c>
      <c r="F1512">
        <v>-3.0000000000000001E-3</v>
      </c>
    </row>
    <row r="1513" spans="1:6" x14ac:dyDescent="0.3">
      <c r="A1513" s="3">
        <v>44195</v>
      </c>
      <c r="B1513">
        <v>2.7000000000000001E-3</v>
      </c>
      <c r="C1513">
        <v>1.0500000000000001E-2</v>
      </c>
      <c r="D1513">
        <v>5.9999999999999995E-4</v>
      </c>
      <c r="E1513">
        <v>-6.5000000000000006E-3</v>
      </c>
      <c r="F1513">
        <v>-4.0000000000000002E-4</v>
      </c>
    </row>
    <row r="1514" spans="1:6" x14ac:dyDescent="0.3">
      <c r="A1514" s="3">
        <v>44196</v>
      </c>
      <c r="B1514">
        <v>3.9000000000000003E-3</v>
      </c>
      <c r="C1514">
        <v>-6.9999999999999993E-3</v>
      </c>
      <c r="D1514">
        <v>4.4000000000000003E-3</v>
      </c>
      <c r="E1514">
        <v>5.5000000000000005E-3</v>
      </c>
      <c r="F1514">
        <v>-2.3999999999999998E-3</v>
      </c>
    </row>
    <row r="1515" spans="1:6" x14ac:dyDescent="0.3">
      <c r="A1515" s="3">
        <v>44200</v>
      </c>
      <c r="B1515">
        <v>-1.41E-2</v>
      </c>
      <c r="C1515">
        <v>1.7000000000000001E-3</v>
      </c>
      <c r="D1515">
        <v>5.4000000000000003E-3</v>
      </c>
      <c r="E1515">
        <v>-6.6E-3</v>
      </c>
      <c r="F1515">
        <v>1E-3</v>
      </c>
    </row>
    <row r="1516" spans="1:6" x14ac:dyDescent="0.3">
      <c r="A1516" s="3">
        <v>44201</v>
      </c>
      <c r="B1516">
        <v>8.6E-3</v>
      </c>
      <c r="C1516">
        <v>1.3000000000000001E-2</v>
      </c>
      <c r="D1516">
        <v>5.1000000000000004E-3</v>
      </c>
      <c r="E1516">
        <v>3.7000000000000002E-3</v>
      </c>
      <c r="F1516">
        <v>5.7999999999999996E-3</v>
      </c>
    </row>
    <row r="1517" spans="1:6" x14ac:dyDescent="0.3">
      <c r="A1517" s="3">
        <v>44202</v>
      </c>
      <c r="B1517">
        <v>7.9000000000000008E-3</v>
      </c>
      <c r="C1517">
        <v>3.1200000000000002E-2</v>
      </c>
      <c r="D1517">
        <v>3.9399999999999998E-2</v>
      </c>
      <c r="E1517">
        <v>7.000000000000001E-4</v>
      </c>
      <c r="F1517">
        <v>5.8999999999999999E-3</v>
      </c>
    </row>
    <row r="1518" spans="1:6" x14ac:dyDescent="0.3">
      <c r="A1518" s="3">
        <v>44203</v>
      </c>
      <c r="B1518">
        <v>1.7600000000000001E-2</v>
      </c>
      <c r="C1518">
        <v>1E-4</v>
      </c>
      <c r="D1518">
        <v>-8.5000000000000006E-3</v>
      </c>
      <c r="E1518">
        <v>-1.4800000000000001E-2</v>
      </c>
      <c r="F1518">
        <v>-2.0999999999999999E-3</v>
      </c>
    </row>
    <row r="1519" spans="1:6" x14ac:dyDescent="0.3">
      <c r="A1519" s="3">
        <v>44204</v>
      </c>
      <c r="B1519">
        <v>5.1000000000000004E-3</v>
      </c>
      <c r="C1519">
        <v>-1.01E-2</v>
      </c>
      <c r="D1519">
        <v>-1.3600000000000001E-2</v>
      </c>
      <c r="E1519">
        <v>-4.1999999999999997E-3</v>
      </c>
      <c r="F1519">
        <v>-3.9000000000000003E-3</v>
      </c>
    </row>
    <row r="1520" spans="1:6" x14ac:dyDescent="0.3">
      <c r="A1520" s="3">
        <v>44207</v>
      </c>
      <c r="B1520">
        <v>-5.1000000000000004E-3</v>
      </c>
      <c r="C1520">
        <v>5.4000000000000003E-3</v>
      </c>
      <c r="D1520">
        <v>1.26E-2</v>
      </c>
      <c r="E1520">
        <v>-1.7000000000000001E-3</v>
      </c>
      <c r="F1520">
        <v>4.5000000000000005E-3</v>
      </c>
    </row>
    <row r="1521" spans="1:6" x14ac:dyDescent="0.3">
      <c r="A1521" s="3">
        <v>44208</v>
      </c>
      <c r="B1521">
        <v>3.8E-3</v>
      </c>
      <c r="C1521">
        <v>1.46E-2</v>
      </c>
      <c r="D1521">
        <v>1.23E-2</v>
      </c>
      <c r="E1521">
        <v>-4.4000000000000003E-3</v>
      </c>
      <c r="F1521">
        <v>4.5000000000000005E-3</v>
      </c>
    </row>
    <row r="1522" spans="1:6" x14ac:dyDescent="0.3">
      <c r="A1522" s="3">
        <v>44209</v>
      </c>
      <c r="B1522">
        <v>7.000000000000001E-4</v>
      </c>
      <c r="C1522">
        <v>-1.04E-2</v>
      </c>
      <c r="D1522">
        <v>-4.1999999999999997E-3</v>
      </c>
      <c r="E1522">
        <v>-2E-3</v>
      </c>
      <c r="F1522">
        <v>-4.0000000000000002E-4</v>
      </c>
    </row>
    <row r="1523" spans="1:6" x14ac:dyDescent="0.3">
      <c r="A1523" s="3">
        <v>44210</v>
      </c>
      <c r="B1523">
        <v>-1.1000000000000001E-3</v>
      </c>
      <c r="C1523">
        <v>2.3399999999999997E-2</v>
      </c>
      <c r="D1523">
        <v>1.1299999999999999E-2</v>
      </c>
      <c r="E1523">
        <v>-9.7000000000000003E-3</v>
      </c>
      <c r="F1523">
        <v>4.5000000000000005E-3</v>
      </c>
    </row>
    <row r="1524" spans="1:6" x14ac:dyDescent="0.3">
      <c r="A1524" s="3">
        <v>44211</v>
      </c>
      <c r="B1524">
        <v>-8.6E-3</v>
      </c>
      <c r="C1524">
        <v>-7.3000000000000001E-3</v>
      </c>
      <c r="D1524">
        <v>-7.4000000000000003E-3</v>
      </c>
      <c r="E1524">
        <v>2.7000000000000001E-3</v>
      </c>
      <c r="F1524">
        <v>-4.7999999999999996E-3</v>
      </c>
    </row>
    <row r="1525" spans="1:6" x14ac:dyDescent="0.3">
      <c r="A1525" s="3">
        <v>44215</v>
      </c>
      <c r="B1525">
        <v>9.1999999999999998E-3</v>
      </c>
      <c r="C1525">
        <v>7.6E-3</v>
      </c>
      <c r="D1525">
        <v>-8.0000000000000002E-3</v>
      </c>
      <c r="E1525">
        <v>-6.9999999999999993E-3</v>
      </c>
      <c r="F1525">
        <v>5.9999999999999995E-4</v>
      </c>
    </row>
    <row r="1526" spans="1:6" x14ac:dyDescent="0.3">
      <c r="A1526" s="3">
        <v>44216</v>
      </c>
      <c r="B1526">
        <v>1.26E-2</v>
      </c>
      <c r="C1526">
        <v>-7.4999999999999997E-3</v>
      </c>
      <c r="D1526">
        <v>-1.1200000000000002E-2</v>
      </c>
      <c r="E1526">
        <v>6.3E-3</v>
      </c>
      <c r="F1526">
        <v>-4.0000000000000001E-3</v>
      </c>
    </row>
    <row r="1527" spans="1:6" x14ac:dyDescent="0.3">
      <c r="A1527" s="3">
        <v>44217</v>
      </c>
      <c r="B1527">
        <v>-4.0000000000000002E-4</v>
      </c>
      <c r="C1527">
        <v>-7.7000000000000002E-3</v>
      </c>
      <c r="D1527">
        <v>-9.5999999999999992E-3</v>
      </c>
      <c r="E1527">
        <v>8.3000000000000001E-3</v>
      </c>
      <c r="F1527">
        <v>3.7000000000000002E-3</v>
      </c>
    </row>
    <row r="1528" spans="1:6" x14ac:dyDescent="0.3">
      <c r="A1528" s="3">
        <v>44218</v>
      </c>
      <c r="B1528">
        <v>-7.000000000000001E-4</v>
      </c>
      <c r="C1528">
        <v>1.6E-2</v>
      </c>
      <c r="D1528">
        <v>-1.5E-3</v>
      </c>
      <c r="E1528">
        <v>-6.6E-3</v>
      </c>
      <c r="F1528">
        <v>6.4000000000000003E-3</v>
      </c>
    </row>
    <row r="1529" spans="1:6" x14ac:dyDescent="0.3">
      <c r="A1529" s="3">
        <v>44221</v>
      </c>
      <c r="B1529">
        <v>2.8999999999999998E-3</v>
      </c>
      <c r="C1529">
        <v>-3.0000000000000001E-3</v>
      </c>
      <c r="D1529">
        <v>-4.1999999999999997E-3</v>
      </c>
      <c r="E1529">
        <v>2.3999999999999998E-3</v>
      </c>
      <c r="F1529">
        <v>9.7999999999999997E-3</v>
      </c>
    </row>
    <row r="1530" spans="1:6" x14ac:dyDescent="0.3">
      <c r="A1530" s="3">
        <v>44222</v>
      </c>
      <c r="B1530">
        <v>-3.2000000000000002E-3</v>
      </c>
      <c r="C1530">
        <v>-2.9999999999999997E-4</v>
      </c>
      <c r="D1530">
        <v>1E-4</v>
      </c>
      <c r="E1530">
        <v>1.0200000000000001E-2</v>
      </c>
      <c r="F1530">
        <v>1.0500000000000001E-2</v>
      </c>
    </row>
    <row r="1531" spans="1:6" x14ac:dyDescent="0.3">
      <c r="A1531" s="3">
        <v>44223</v>
      </c>
      <c r="B1531">
        <v>-2.53E-2</v>
      </c>
      <c r="C1531">
        <v>1.1699999999999999E-2</v>
      </c>
      <c r="D1531">
        <v>1.49E-2</v>
      </c>
      <c r="E1531">
        <v>5.8999999999999999E-3</v>
      </c>
      <c r="F1531">
        <v>2.46E-2</v>
      </c>
    </row>
    <row r="1532" spans="1:6" x14ac:dyDescent="0.3">
      <c r="A1532" s="3">
        <v>44224</v>
      </c>
      <c r="B1532">
        <v>9.1999999999999998E-3</v>
      </c>
      <c r="C1532">
        <v>-1.6299999999999999E-2</v>
      </c>
      <c r="D1532">
        <v>-8.199999999999999E-3</v>
      </c>
      <c r="E1532">
        <v>-1.0500000000000001E-2</v>
      </c>
      <c r="F1532">
        <v>-2.29E-2</v>
      </c>
    </row>
    <row r="1533" spans="1:6" x14ac:dyDescent="0.3">
      <c r="A1533" s="3">
        <v>44225</v>
      </c>
      <c r="B1533">
        <v>-1.84E-2</v>
      </c>
      <c r="C1533">
        <v>3.9000000000000003E-3</v>
      </c>
      <c r="D1533">
        <v>5.6999999999999993E-3</v>
      </c>
      <c r="E1533">
        <v>-7.4999999999999997E-3</v>
      </c>
      <c r="F1533">
        <v>3.8E-3</v>
      </c>
    </row>
    <row r="1534" spans="1:6" x14ac:dyDescent="0.3">
      <c r="A1534" s="3">
        <v>44228</v>
      </c>
      <c r="B1534">
        <v>1.7299999999999999E-2</v>
      </c>
      <c r="C1534">
        <v>7.4999999999999997E-3</v>
      </c>
      <c r="D1534">
        <v>-1.47E-2</v>
      </c>
      <c r="E1534">
        <v>-2.3E-3</v>
      </c>
      <c r="F1534">
        <v>-1.2199999999999999E-2</v>
      </c>
    </row>
    <row r="1535" spans="1:6" x14ac:dyDescent="0.3">
      <c r="A1535" s="3">
        <v>44229</v>
      </c>
      <c r="B1535">
        <v>1.4800000000000001E-2</v>
      </c>
      <c r="C1535">
        <v>-7.4999999999999997E-3</v>
      </c>
      <c r="D1535">
        <v>-9.7999999999999997E-3</v>
      </c>
      <c r="E1535">
        <v>-0.01</v>
      </c>
      <c r="F1535">
        <v>-2.1299999999999999E-2</v>
      </c>
    </row>
    <row r="1536" spans="1:6" x14ac:dyDescent="0.3">
      <c r="A1536" s="3">
        <v>44230</v>
      </c>
      <c r="B1536">
        <v>1.5E-3</v>
      </c>
      <c r="C1536">
        <v>6.5000000000000006E-3</v>
      </c>
      <c r="D1536">
        <v>7.6E-3</v>
      </c>
      <c r="E1536">
        <v>-5.9999999999999995E-4</v>
      </c>
      <c r="F1536">
        <v>2E-3</v>
      </c>
    </row>
    <row r="1537" spans="1:6" x14ac:dyDescent="0.3">
      <c r="A1537" s="3">
        <v>44231</v>
      </c>
      <c r="B1537">
        <v>1.23E-2</v>
      </c>
      <c r="C1537">
        <v>6.1999999999999998E-3</v>
      </c>
      <c r="D1537">
        <v>3.5999999999999999E-3</v>
      </c>
      <c r="E1537">
        <v>-8.9999999999999998E-4</v>
      </c>
      <c r="F1537">
        <v>-2.3999999999999998E-3</v>
      </c>
    </row>
    <row r="1538" spans="1:6" x14ac:dyDescent="0.3">
      <c r="A1538" s="3">
        <v>44232</v>
      </c>
      <c r="B1538">
        <v>5.7999999999999996E-3</v>
      </c>
      <c r="C1538">
        <v>9.3999999999999986E-3</v>
      </c>
      <c r="D1538">
        <v>-4.6999999999999993E-3</v>
      </c>
      <c r="E1538">
        <v>-7.3000000000000001E-3</v>
      </c>
      <c r="F1538">
        <v>3.9000000000000003E-3</v>
      </c>
    </row>
    <row r="1539" spans="1:6" x14ac:dyDescent="0.3">
      <c r="A1539" s="3">
        <v>44235</v>
      </c>
      <c r="B1539">
        <v>9.5999999999999992E-3</v>
      </c>
      <c r="C1539">
        <v>2.2099999999999998E-2</v>
      </c>
      <c r="D1539">
        <v>4.3E-3</v>
      </c>
      <c r="E1539">
        <v>-9.1000000000000004E-3</v>
      </c>
      <c r="F1539">
        <v>7.8000000000000005E-3</v>
      </c>
    </row>
    <row r="1540" spans="1:6" x14ac:dyDescent="0.3">
      <c r="A1540" s="3">
        <v>44236</v>
      </c>
      <c r="B1540">
        <v>5.0000000000000001E-4</v>
      </c>
      <c r="C1540">
        <v>6.4000000000000003E-3</v>
      </c>
      <c r="D1540">
        <v>-8.0000000000000004E-4</v>
      </c>
      <c r="E1540">
        <v>-6.5000000000000006E-3</v>
      </c>
      <c r="F1540">
        <v>-4.0999999999999995E-3</v>
      </c>
    </row>
    <row r="1541" spans="1:6" x14ac:dyDescent="0.3">
      <c r="A1541" s="3">
        <v>44237</v>
      </c>
      <c r="B1541">
        <v>-8.0000000000000004E-4</v>
      </c>
      <c r="C1541">
        <v>-5.3E-3</v>
      </c>
      <c r="D1541">
        <v>8.199999999999999E-3</v>
      </c>
      <c r="E1541">
        <v>3.0000000000000001E-3</v>
      </c>
      <c r="F1541">
        <v>1E-3</v>
      </c>
    </row>
    <row r="1542" spans="1:6" x14ac:dyDescent="0.3">
      <c r="A1542" s="3">
        <v>44238</v>
      </c>
      <c r="B1542">
        <v>1.9E-3</v>
      </c>
      <c r="C1542">
        <v>-2E-3</v>
      </c>
      <c r="D1542">
        <v>-6.8999999999999999E-3</v>
      </c>
      <c r="E1542">
        <v>-4.5000000000000005E-3</v>
      </c>
      <c r="F1542">
        <v>-2.5999999999999999E-3</v>
      </c>
    </row>
    <row r="1543" spans="1:6" x14ac:dyDescent="0.3">
      <c r="A1543" s="3">
        <v>44239</v>
      </c>
      <c r="B1543">
        <v>4.8999999999999998E-3</v>
      </c>
      <c r="C1543">
        <v>-1.1999999999999999E-3</v>
      </c>
      <c r="D1543">
        <v>4.5000000000000005E-3</v>
      </c>
      <c r="E1543">
        <v>-3.8E-3</v>
      </c>
      <c r="F1543">
        <v>-5.9999999999999995E-4</v>
      </c>
    </row>
    <row r="1544" spans="1:6" x14ac:dyDescent="0.3">
      <c r="A1544" s="3">
        <v>44243</v>
      </c>
      <c r="B1544">
        <v>-1.4000000000000002E-3</v>
      </c>
      <c r="C1544">
        <v>-2.5000000000000001E-3</v>
      </c>
      <c r="D1544">
        <v>1.95E-2</v>
      </c>
      <c r="E1544">
        <v>1.5E-3</v>
      </c>
      <c r="F1544">
        <v>2.9999999999999997E-4</v>
      </c>
    </row>
    <row r="1545" spans="1:6" x14ac:dyDescent="0.3">
      <c r="A1545" s="3">
        <v>44244</v>
      </c>
      <c r="B1545">
        <v>-2.0999999999999999E-3</v>
      </c>
      <c r="C1545">
        <v>-6.8000000000000005E-3</v>
      </c>
      <c r="D1545">
        <v>5.7999999999999996E-3</v>
      </c>
      <c r="E1545">
        <v>2.7000000000000001E-3</v>
      </c>
      <c r="F1545">
        <v>-1.5E-3</v>
      </c>
    </row>
    <row r="1546" spans="1:6" x14ac:dyDescent="0.3">
      <c r="A1546" s="3">
        <v>44245</v>
      </c>
      <c r="B1546">
        <v>-6.4000000000000003E-3</v>
      </c>
      <c r="C1546">
        <v>-1.44E-2</v>
      </c>
      <c r="D1546">
        <v>-2.5000000000000001E-3</v>
      </c>
      <c r="E1546">
        <v>8.6999999999999994E-3</v>
      </c>
      <c r="F1546">
        <v>-5.0000000000000001E-3</v>
      </c>
    </row>
    <row r="1547" spans="1:6" x14ac:dyDescent="0.3">
      <c r="A1547" s="3">
        <v>44246</v>
      </c>
      <c r="B1547">
        <v>1.6000000000000001E-3</v>
      </c>
      <c r="C1547">
        <v>0.02</v>
      </c>
      <c r="D1547">
        <v>7.1999999999999998E-3</v>
      </c>
      <c r="E1547">
        <v>-4.1999999999999997E-3</v>
      </c>
      <c r="F1547">
        <v>5.7999999999999996E-3</v>
      </c>
    </row>
    <row r="1548" spans="1:6" x14ac:dyDescent="0.3">
      <c r="A1548" s="3">
        <v>44249</v>
      </c>
      <c r="B1548">
        <v>-1.1299999999999999E-2</v>
      </c>
      <c r="C1548">
        <v>7.0999999999999995E-3</v>
      </c>
      <c r="D1548">
        <v>3.1600000000000003E-2</v>
      </c>
      <c r="E1548">
        <v>1.6899999999999998E-2</v>
      </c>
      <c r="F1548">
        <v>8.8999999999999999E-3</v>
      </c>
    </row>
    <row r="1549" spans="1:6" x14ac:dyDescent="0.3">
      <c r="A1549" s="3">
        <v>44250</v>
      </c>
      <c r="B1549">
        <v>-1.5E-3</v>
      </c>
      <c r="C1549">
        <v>-1.0500000000000001E-2</v>
      </c>
      <c r="D1549">
        <v>9.0000000000000011E-3</v>
      </c>
      <c r="E1549">
        <v>1.11E-2</v>
      </c>
      <c r="F1549">
        <v>-2.3E-3</v>
      </c>
    </row>
    <row r="1550" spans="1:6" x14ac:dyDescent="0.3">
      <c r="A1550" s="3">
        <v>44251</v>
      </c>
      <c r="B1550">
        <v>1.15E-2</v>
      </c>
      <c r="C1550">
        <v>1.4999999999999999E-2</v>
      </c>
      <c r="D1550">
        <v>1.37E-2</v>
      </c>
      <c r="E1550">
        <v>-2.7000000000000001E-3</v>
      </c>
      <c r="F1550">
        <v>3.5999999999999999E-3</v>
      </c>
    </row>
    <row r="1551" spans="1:6" x14ac:dyDescent="0.3">
      <c r="A1551" s="3">
        <v>44252</v>
      </c>
      <c r="B1551">
        <v>-2.7400000000000001E-2</v>
      </c>
      <c r="C1551">
        <v>-9.1000000000000004E-3</v>
      </c>
      <c r="D1551">
        <v>8.5000000000000006E-3</v>
      </c>
      <c r="E1551">
        <v>9.5999999999999992E-3</v>
      </c>
      <c r="F1551">
        <v>4.0999999999999995E-3</v>
      </c>
    </row>
    <row r="1552" spans="1:6" x14ac:dyDescent="0.3">
      <c r="A1552" s="3">
        <v>44253</v>
      </c>
      <c r="B1552">
        <v>-2.8000000000000004E-3</v>
      </c>
      <c r="C1552">
        <v>3.4999999999999996E-3</v>
      </c>
      <c r="D1552">
        <v>-1.5900000000000001E-2</v>
      </c>
      <c r="E1552">
        <v>-2.9999999999999997E-4</v>
      </c>
      <c r="F1552">
        <v>-3.9000000000000003E-3</v>
      </c>
    </row>
    <row r="1553" spans="1:6" x14ac:dyDescent="0.3">
      <c r="A1553" s="3">
        <v>44256</v>
      </c>
      <c r="B1553">
        <v>2.63E-2</v>
      </c>
      <c r="C1553">
        <v>1.09E-2</v>
      </c>
      <c r="D1553">
        <v>2.3E-3</v>
      </c>
      <c r="E1553">
        <v>-3.9000000000000003E-3</v>
      </c>
      <c r="F1553">
        <v>2.3999999999999998E-3</v>
      </c>
    </row>
    <row r="1554" spans="1:6" x14ac:dyDescent="0.3">
      <c r="A1554" s="3">
        <v>44257</v>
      </c>
      <c r="B1554">
        <v>-1.0500000000000001E-2</v>
      </c>
      <c r="C1554">
        <v>-7.7000000000000002E-3</v>
      </c>
      <c r="D1554">
        <v>1.26E-2</v>
      </c>
      <c r="E1554">
        <v>6.1999999999999998E-3</v>
      </c>
      <c r="F1554">
        <v>2.0999999999999999E-3</v>
      </c>
    </row>
    <row r="1555" spans="1:6" x14ac:dyDescent="0.3">
      <c r="A1555" s="3">
        <v>44258</v>
      </c>
      <c r="B1555">
        <v>-1.5700000000000002E-2</v>
      </c>
      <c r="C1555">
        <v>6.4000000000000003E-3</v>
      </c>
      <c r="D1555">
        <v>3.5299999999999998E-2</v>
      </c>
      <c r="E1555">
        <v>1.6500000000000001E-2</v>
      </c>
      <c r="F1555">
        <v>1.0800000000000001E-2</v>
      </c>
    </row>
    <row r="1556" spans="1:6" x14ac:dyDescent="0.3">
      <c r="A1556" s="3">
        <v>44259</v>
      </c>
      <c r="B1556">
        <v>-1.7000000000000001E-2</v>
      </c>
      <c r="C1556">
        <v>-1.09E-2</v>
      </c>
      <c r="D1556">
        <v>1.6899999999999998E-2</v>
      </c>
      <c r="E1556">
        <v>1.2500000000000001E-2</v>
      </c>
      <c r="F1556">
        <v>4.1999999999999997E-3</v>
      </c>
    </row>
    <row r="1557" spans="1:6" x14ac:dyDescent="0.3">
      <c r="A1557" s="3">
        <v>44260</v>
      </c>
      <c r="B1557">
        <v>1.8500000000000003E-2</v>
      </c>
      <c r="C1557">
        <v>3.4999999999999996E-3</v>
      </c>
      <c r="D1557">
        <v>6.1999999999999998E-3</v>
      </c>
      <c r="E1557">
        <v>9.4999999999999998E-3</v>
      </c>
      <c r="F1557">
        <v>5.1999999999999998E-3</v>
      </c>
    </row>
    <row r="1558" spans="1:6" x14ac:dyDescent="0.3">
      <c r="A1558" s="3">
        <v>44263</v>
      </c>
      <c r="B1558">
        <v>-6.7000000000000002E-3</v>
      </c>
      <c r="C1558">
        <v>1.44E-2</v>
      </c>
      <c r="D1558">
        <v>3.7100000000000001E-2</v>
      </c>
      <c r="E1558">
        <v>1.6299999999999999E-2</v>
      </c>
      <c r="F1558">
        <v>9.1000000000000004E-3</v>
      </c>
    </row>
    <row r="1559" spans="1:6" x14ac:dyDescent="0.3">
      <c r="A1559" s="3">
        <v>44264</v>
      </c>
      <c r="B1559">
        <v>1.7899999999999999E-2</v>
      </c>
      <c r="C1559">
        <v>4.0999999999999995E-3</v>
      </c>
      <c r="D1559">
        <v>-3.1899999999999998E-2</v>
      </c>
      <c r="E1559">
        <v>-1.8200000000000001E-2</v>
      </c>
      <c r="F1559">
        <v>-5.1000000000000004E-3</v>
      </c>
    </row>
    <row r="1560" spans="1:6" x14ac:dyDescent="0.3">
      <c r="A1560" s="3">
        <v>44265</v>
      </c>
      <c r="B1560">
        <v>6.8000000000000005E-3</v>
      </c>
      <c r="C1560">
        <v>1.1699999999999999E-2</v>
      </c>
      <c r="D1560">
        <v>1.8200000000000001E-2</v>
      </c>
      <c r="E1560">
        <v>-5.9999999999999995E-4</v>
      </c>
      <c r="F1560">
        <v>1.7000000000000001E-3</v>
      </c>
    </row>
    <row r="1561" spans="1:6" x14ac:dyDescent="0.3">
      <c r="A1561" s="3">
        <v>44266</v>
      </c>
      <c r="B1561">
        <v>1.44E-2</v>
      </c>
      <c r="C1561">
        <v>1.0800000000000001E-2</v>
      </c>
      <c r="D1561">
        <v>-1.9699999999999999E-2</v>
      </c>
      <c r="E1561">
        <v>-1.38E-2</v>
      </c>
      <c r="F1561">
        <v>-8.0000000000000002E-3</v>
      </c>
    </row>
    <row r="1562" spans="1:6" x14ac:dyDescent="0.3">
      <c r="A1562" s="3">
        <v>44267</v>
      </c>
      <c r="B1562">
        <v>1E-3</v>
      </c>
      <c r="C1562">
        <v>5.0000000000000001E-3</v>
      </c>
      <c r="D1562">
        <v>1.2800000000000001E-2</v>
      </c>
      <c r="E1562">
        <v>6.4000000000000003E-3</v>
      </c>
      <c r="F1562">
        <v>6.0999999999999995E-3</v>
      </c>
    </row>
    <row r="1563" spans="1:6" x14ac:dyDescent="0.3">
      <c r="A1563" s="3">
        <v>44270</v>
      </c>
      <c r="B1563">
        <v>6.9999999999999993E-3</v>
      </c>
      <c r="C1563">
        <v>-3.4000000000000002E-3</v>
      </c>
      <c r="D1563">
        <v>-1.2699999999999999E-2</v>
      </c>
      <c r="E1563">
        <v>2.3999999999999998E-3</v>
      </c>
      <c r="F1563">
        <v>8.9999999999999998E-4</v>
      </c>
    </row>
    <row r="1564" spans="1:6" x14ac:dyDescent="0.3">
      <c r="A1564" s="3">
        <v>44271</v>
      </c>
      <c r="B1564">
        <v>-4.3E-3</v>
      </c>
      <c r="C1564">
        <v>-1.3300000000000001E-2</v>
      </c>
      <c r="D1564">
        <v>-8.6999999999999994E-3</v>
      </c>
      <c r="E1564">
        <v>2.8999999999999998E-3</v>
      </c>
      <c r="F1564">
        <v>-5.9999999999999995E-4</v>
      </c>
    </row>
    <row r="1565" spans="1:6" x14ac:dyDescent="0.3">
      <c r="A1565" s="3">
        <v>44272</v>
      </c>
      <c r="B1565">
        <v>3.3E-3</v>
      </c>
      <c r="C1565">
        <v>6.5000000000000006E-3</v>
      </c>
      <c r="D1565">
        <v>3.4999999999999996E-3</v>
      </c>
      <c r="E1565">
        <v>-2.9999999999999997E-4</v>
      </c>
      <c r="F1565">
        <v>1.4000000000000002E-3</v>
      </c>
    </row>
    <row r="1566" spans="1:6" x14ac:dyDescent="0.3">
      <c r="A1566" s="3">
        <v>44273</v>
      </c>
      <c r="B1566">
        <v>-1.8799999999999997E-2</v>
      </c>
      <c r="C1566">
        <v>-1.21E-2</v>
      </c>
      <c r="D1566">
        <v>2.2000000000000002E-2</v>
      </c>
      <c r="E1566">
        <v>9.3999999999999986E-3</v>
      </c>
      <c r="F1566">
        <v>4.5000000000000005E-3</v>
      </c>
    </row>
    <row r="1567" spans="1:6" x14ac:dyDescent="0.3">
      <c r="A1567" s="3">
        <v>44274</v>
      </c>
      <c r="B1567">
        <v>2.5000000000000001E-3</v>
      </c>
      <c r="C1567">
        <v>9.300000000000001E-3</v>
      </c>
      <c r="D1567">
        <v>-0.01</v>
      </c>
      <c r="E1567">
        <v>-7.8000000000000005E-3</v>
      </c>
      <c r="F1567">
        <v>-5.5000000000000005E-3</v>
      </c>
    </row>
    <row r="1568" spans="1:6" x14ac:dyDescent="0.3">
      <c r="A1568" s="3">
        <v>44277</v>
      </c>
      <c r="B1568">
        <v>5.5000000000000005E-3</v>
      </c>
      <c r="C1568">
        <v>-1.67E-2</v>
      </c>
      <c r="D1568">
        <v>-2.23E-2</v>
      </c>
      <c r="E1568">
        <v>-2.5999999999999999E-3</v>
      </c>
      <c r="F1568">
        <v>-1.2999999999999999E-3</v>
      </c>
    </row>
    <row r="1569" spans="1:6" x14ac:dyDescent="0.3">
      <c r="A1569" s="3">
        <v>44278</v>
      </c>
      <c r="B1569">
        <v>-1.1699999999999999E-2</v>
      </c>
      <c r="C1569">
        <v>-2.9399999999999999E-2</v>
      </c>
      <c r="D1569">
        <v>-1.04E-2</v>
      </c>
      <c r="E1569">
        <v>5.5000000000000005E-3</v>
      </c>
      <c r="F1569">
        <v>-8.1000000000000013E-3</v>
      </c>
    </row>
    <row r="1570" spans="1:6" x14ac:dyDescent="0.3">
      <c r="A1570" s="3">
        <v>44279</v>
      </c>
      <c r="B1570">
        <v>-1.01E-2</v>
      </c>
      <c r="C1570">
        <v>-1.5900000000000001E-2</v>
      </c>
      <c r="D1570">
        <v>1.47E-2</v>
      </c>
      <c r="E1570">
        <v>1.3600000000000001E-2</v>
      </c>
      <c r="F1570">
        <v>1.1999999999999999E-3</v>
      </c>
    </row>
    <row r="1571" spans="1:6" x14ac:dyDescent="0.3">
      <c r="A1571" s="3">
        <v>44280</v>
      </c>
      <c r="B1571">
        <v>6.7000000000000002E-3</v>
      </c>
      <c r="C1571">
        <v>1.9900000000000001E-2</v>
      </c>
      <c r="D1571">
        <v>1.3899999999999999E-2</v>
      </c>
      <c r="E1571">
        <v>4.7999999999999996E-3</v>
      </c>
      <c r="F1571">
        <v>1.1299999999999999E-2</v>
      </c>
    </row>
    <row r="1572" spans="1:6" x14ac:dyDescent="0.3">
      <c r="A1572" s="3">
        <v>44281</v>
      </c>
      <c r="B1572">
        <v>1.55E-2</v>
      </c>
      <c r="C1572">
        <v>2.2000000000000001E-3</v>
      </c>
      <c r="D1572">
        <v>6.5000000000000006E-3</v>
      </c>
      <c r="E1572">
        <v>7.6E-3</v>
      </c>
      <c r="F1572">
        <v>5.5000000000000005E-3</v>
      </c>
    </row>
    <row r="1573" spans="1:6" x14ac:dyDescent="0.3">
      <c r="A1573" s="3">
        <v>44284</v>
      </c>
      <c r="B1573">
        <v>-4.8999999999999998E-3</v>
      </c>
      <c r="C1573">
        <v>-2.4700000000000003E-2</v>
      </c>
      <c r="D1573">
        <v>-2.3E-3</v>
      </c>
      <c r="E1573">
        <v>8.8999999999999999E-3</v>
      </c>
      <c r="F1573">
        <v>-1E-4</v>
      </c>
    </row>
    <row r="1574" spans="1:6" x14ac:dyDescent="0.3">
      <c r="A1574" s="3">
        <v>44285</v>
      </c>
      <c r="B1574">
        <v>-2.0000000000000001E-4</v>
      </c>
      <c r="C1574">
        <v>1.8100000000000002E-2</v>
      </c>
      <c r="D1574">
        <v>1.01E-2</v>
      </c>
      <c r="E1574">
        <v>-2.3999999999999998E-3</v>
      </c>
      <c r="F1574">
        <v>-2E-3</v>
      </c>
    </row>
    <row r="1575" spans="1:6" x14ac:dyDescent="0.3">
      <c r="A1575" s="3">
        <v>44286</v>
      </c>
      <c r="B1575">
        <v>6.3E-3</v>
      </c>
      <c r="C1575">
        <v>5.8999999999999999E-3</v>
      </c>
      <c r="D1575">
        <v>-2.3199999999999998E-2</v>
      </c>
      <c r="E1575">
        <v>-1.1699999999999999E-2</v>
      </c>
      <c r="F1575">
        <v>-2.5000000000000001E-3</v>
      </c>
    </row>
    <row r="1576" spans="1:6" x14ac:dyDescent="0.3">
      <c r="A1576" s="3">
        <v>44287</v>
      </c>
      <c r="B1576">
        <v>1.2699999999999999E-2</v>
      </c>
      <c r="C1576">
        <v>2.3999999999999998E-3</v>
      </c>
      <c r="D1576">
        <v>-2.0000000000000001E-4</v>
      </c>
      <c r="E1576">
        <v>-7.0999999999999995E-3</v>
      </c>
      <c r="F1576">
        <v>-5.3E-3</v>
      </c>
    </row>
    <row r="1577" spans="1:6" x14ac:dyDescent="0.3">
      <c r="A1577" s="3">
        <v>44291</v>
      </c>
      <c r="B1577">
        <v>1.2699999999999999E-2</v>
      </c>
      <c r="C1577">
        <v>-6.8000000000000005E-3</v>
      </c>
      <c r="D1577">
        <v>-7.0999999999999995E-3</v>
      </c>
      <c r="E1577">
        <v>9.8999999999999991E-3</v>
      </c>
      <c r="F1577">
        <v>8.0000000000000004E-4</v>
      </c>
    </row>
    <row r="1578" spans="1:6" x14ac:dyDescent="0.3">
      <c r="A1578" s="3">
        <v>44292</v>
      </c>
      <c r="B1578">
        <v>1E-4</v>
      </c>
      <c r="C1578">
        <v>-3.2000000000000002E-3</v>
      </c>
      <c r="D1578">
        <v>8.0000000000000004E-4</v>
      </c>
      <c r="E1578">
        <v>-1.1999999999999999E-3</v>
      </c>
      <c r="F1578">
        <v>-2.8000000000000004E-3</v>
      </c>
    </row>
    <row r="1579" spans="1:6" x14ac:dyDescent="0.3">
      <c r="A1579" s="3">
        <v>44293</v>
      </c>
      <c r="B1579">
        <v>-1.1999999999999999E-3</v>
      </c>
      <c r="C1579">
        <v>-1.52E-2</v>
      </c>
      <c r="D1579">
        <v>3.3E-3</v>
      </c>
      <c r="E1579">
        <v>6.8999999999999999E-3</v>
      </c>
      <c r="F1579">
        <v>-1.1999999999999999E-3</v>
      </c>
    </row>
    <row r="1580" spans="1:6" x14ac:dyDescent="0.3">
      <c r="A1580" s="3">
        <v>44294</v>
      </c>
      <c r="B1580">
        <v>6.1999999999999998E-3</v>
      </c>
      <c r="C1580">
        <v>2.5999999999999999E-3</v>
      </c>
      <c r="D1580">
        <v>-1.18E-2</v>
      </c>
      <c r="E1580">
        <v>-5.4000000000000003E-3</v>
      </c>
      <c r="F1580">
        <v>-3.9000000000000003E-3</v>
      </c>
    </row>
    <row r="1581" spans="1:6" x14ac:dyDescent="0.3">
      <c r="A1581" s="3">
        <v>44295</v>
      </c>
      <c r="B1581">
        <v>6.5000000000000006E-3</v>
      </c>
      <c r="C1581">
        <v>-6.1999999999999998E-3</v>
      </c>
      <c r="D1581">
        <v>1.2999999999999999E-3</v>
      </c>
      <c r="E1581">
        <v>7.7000000000000002E-3</v>
      </c>
      <c r="F1581">
        <v>1.1000000000000001E-3</v>
      </c>
    </row>
    <row r="1582" spans="1:6" x14ac:dyDescent="0.3">
      <c r="A1582" s="3">
        <v>44298</v>
      </c>
      <c r="B1582">
        <v>-5.0000000000000001E-4</v>
      </c>
      <c r="C1582">
        <v>-4.4000000000000003E-3</v>
      </c>
      <c r="D1582">
        <v>5.4000000000000003E-3</v>
      </c>
      <c r="E1582">
        <v>7.0999999999999995E-3</v>
      </c>
      <c r="F1582">
        <v>-3.7000000000000002E-3</v>
      </c>
    </row>
    <row r="1583" spans="1:6" x14ac:dyDescent="0.3">
      <c r="A1583" s="3">
        <v>44299</v>
      </c>
      <c r="B1583">
        <v>4.0999999999999995E-3</v>
      </c>
      <c r="C1583">
        <v>-7.7000000000000002E-3</v>
      </c>
      <c r="D1583">
        <v>-1.5800000000000002E-2</v>
      </c>
      <c r="E1583">
        <v>-1.0800000000000001E-2</v>
      </c>
      <c r="F1583">
        <v>-3.5999999999999999E-3</v>
      </c>
    </row>
    <row r="1584" spans="1:6" x14ac:dyDescent="0.3">
      <c r="A1584" s="3">
        <v>44300</v>
      </c>
      <c r="B1584">
        <v>-3.4999999999999996E-3</v>
      </c>
      <c r="C1584">
        <v>1.15E-2</v>
      </c>
      <c r="D1584">
        <v>1.4199999999999999E-2</v>
      </c>
      <c r="E1584">
        <v>1E-4</v>
      </c>
      <c r="F1584">
        <v>6.8999999999999999E-3</v>
      </c>
    </row>
    <row r="1585" spans="1:6" x14ac:dyDescent="0.3">
      <c r="A1585" s="3">
        <v>44301</v>
      </c>
      <c r="B1585">
        <v>1.04E-2</v>
      </c>
      <c r="C1585">
        <v>-7.8000000000000005E-3</v>
      </c>
      <c r="D1585">
        <v>-1.2E-2</v>
      </c>
      <c r="E1585">
        <v>7.000000000000001E-4</v>
      </c>
      <c r="F1585">
        <v>-5.4000000000000003E-3</v>
      </c>
    </row>
    <row r="1586" spans="1:6" x14ac:dyDescent="0.3">
      <c r="A1586" s="3">
        <v>44302</v>
      </c>
      <c r="B1586">
        <v>2.7000000000000001E-3</v>
      </c>
      <c r="C1586">
        <v>-1.8E-3</v>
      </c>
      <c r="D1586">
        <v>6.5000000000000006E-3</v>
      </c>
      <c r="E1586">
        <v>8.199999999999999E-3</v>
      </c>
      <c r="F1586">
        <v>1.5E-3</v>
      </c>
    </row>
    <row r="1587" spans="1:6" x14ac:dyDescent="0.3">
      <c r="A1587" s="3">
        <v>44305</v>
      </c>
      <c r="B1587">
        <v>-7.3000000000000001E-3</v>
      </c>
      <c r="C1587">
        <v>-6.4000000000000003E-3</v>
      </c>
      <c r="D1587">
        <v>7.8000000000000005E-3</v>
      </c>
      <c r="E1587">
        <v>7.0999999999999995E-3</v>
      </c>
      <c r="F1587">
        <v>4.0999999999999995E-3</v>
      </c>
    </row>
    <row r="1588" spans="1:6" x14ac:dyDescent="0.3">
      <c r="A1588" s="3">
        <v>44306</v>
      </c>
      <c r="B1588">
        <v>-9.3999999999999986E-3</v>
      </c>
      <c r="C1588">
        <v>-1.37E-2</v>
      </c>
      <c r="D1588">
        <v>-1.55E-2</v>
      </c>
      <c r="E1588">
        <v>3.7000000000000002E-3</v>
      </c>
      <c r="F1588">
        <v>-4.6999999999999993E-3</v>
      </c>
    </row>
    <row r="1589" spans="1:6" x14ac:dyDescent="0.3">
      <c r="A1589" s="3">
        <v>44307</v>
      </c>
      <c r="B1589">
        <v>1.11E-2</v>
      </c>
      <c r="C1589">
        <v>1.5300000000000001E-2</v>
      </c>
      <c r="D1589">
        <v>1.2999999999999999E-3</v>
      </c>
      <c r="E1589">
        <v>-4.4000000000000003E-3</v>
      </c>
      <c r="F1589">
        <v>1E-3</v>
      </c>
    </row>
    <row r="1590" spans="1:6" x14ac:dyDescent="0.3">
      <c r="A1590" s="3">
        <v>44308</v>
      </c>
      <c r="B1590">
        <v>-7.7000000000000002E-3</v>
      </c>
      <c r="C1590">
        <v>6.1999999999999998E-3</v>
      </c>
      <c r="D1590">
        <v>-7.9000000000000008E-3</v>
      </c>
      <c r="E1590">
        <v>-1.9E-3</v>
      </c>
      <c r="F1590">
        <v>-1.9E-3</v>
      </c>
    </row>
    <row r="1591" spans="1:6" x14ac:dyDescent="0.3">
      <c r="A1591" s="3">
        <v>44309</v>
      </c>
      <c r="B1591">
        <v>1.26E-2</v>
      </c>
      <c r="C1591">
        <v>7.6E-3</v>
      </c>
      <c r="D1591">
        <v>6.9999999999999993E-3</v>
      </c>
      <c r="E1591">
        <v>-3.4999999999999996E-3</v>
      </c>
      <c r="F1591">
        <v>4.0000000000000002E-4</v>
      </c>
    </row>
    <row r="1592" spans="1:6" x14ac:dyDescent="0.3">
      <c r="A1592" s="3">
        <v>44312</v>
      </c>
      <c r="B1592">
        <v>4.3E-3</v>
      </c>
      <c r="C1592">
        <v>7.8000000000000005E-3</v>
      </c>
      <c r="D1592">
        <v>-4.8999999999999998E-3</v>
      </c>
      <c r="E1592">
        <v>-1.1899999999999999E-2</v>
      </c>
      <c r="F1592">
        <v>-5.0000000000000001E-4</v>
      </c>
    </row>
    <row r="1593" spans="1:6" x14ac:dyDescent="0.3">
      <c r="A1593" s="3">
        <v>44313</v>
      </c>
      <c r="B1593">
        <v>-2.9999999999999997E-4</v>
      </c>
      <c r="C1593">
        <v>7.000000000000001E-4</v>
      </c>
      <c r="D1593">
        <v>8.6E-3</v>
      </c>
      <c r="E1593">
        <v>5.1000000000000004E-3</v>
      </c>
      <c r="F1593">
        <v>7.000000000000001E-4</v>
      </c>
    </row>
    <row r="1594" spans="1:6" x14ac:dyDescent="0.3">
      <c r="A1594" s="3">
        <v>44314</v>
      </c>
      <c r="B1594">
        <v>-5.9999999999999995E-4</v>
      </c>
      <c r="C1594">
        <v>2.7000000000000001E-3</v>
      </c>
      <c r="D1594">
        <v>2.3E-3</v>
      </c>
      <c r="E1594">
        <v>-3.0000000000000001E-3</v>
      </c>
      <c r="F1594">
        <v>-3.2000000000000002E-3</v>
      </c>
    </row>
    <row r="1595" spans="1:6" x14ac:dyDescent="0.3">
      <c r="A1595" s="3">
        <v>44315</v>
      </c>
      <c r="B1595">
        <v>3.9000000000000003E-3</v>
      </c>
      <c r="C1595">
        <v>-7.6E-3</v>
      </c>
      <c r="D1595">
        <v>1.1000000000000001E-2</v>
      </c>
      <c r="E1595">
        <v>1.34E-2</v>
      </c>
      <c r="F1595">
        <v>-2.3E-3</v>
      </c>
    </row>
    <row r="1596" spans="1:6" x14ac:dyDescent="0.3">
      <c r="A1596" s="3">
        <v>44316</v>
      </c>
      <c r="B1596">
        <v>-8.3000000000000001E-3</v>
      </c>
      <c r="C1596">
        <v>-5.1000000000000004E-3</v>
      </c>
      <c r="D1596">
        <v>-3.2000000000000002E-3</v>
      </c>
      <c r="E1596">
        <v>1.2999999999999999E-3</v>
      </c>
      <c r="F1596">
        <v>-4.4000000000000003E-3</v>
      </c>
    </row>
    <row r="1597" spans="1:6" x14ac:dyDescent="0.3">
      <c r="A1597" s="3">
        <v>44319</v>
      </c>
      <c r="B1597">
        <v>1.7000000000000001E-3</v>
      </c>
      <c r="C1597">
        <v>6.8999999999999999E-3</v>
      </c>
      <c r="D1597">
        <v>1.6899999999999998E-2</v>
      </c>
      <c r="E1597">
        <v>1.0700000000000001E-2</v>
      </c>
      <c r="F1597">
        <v>1.0800000000000001E-2</v>
      </c>
    </row>
    <row r="1598" spans="1:6" x14ac:dyDescent="0.3">
      <c r="A1598" s="3">
        <v>44320</v>
      </c>
      <c r="B1598">
        <v>-8.8999999999999999E-3</v>
      </c>
      <c r="C1598">
        <v>-2.7000000000000001E-3</v>
      </c>
      <c r="D1598">
        <v>2.0199999999999999E-2</v>
      </c>
      <c r="E1598">
        <v>1.0800000000000001E-2</v>
      </c>
      <c r="F1598">
        <v>5.8999999999999999E-3</v>
      </c>
    </row>
    <row r="1599" spans="1:6" x14ac:dyDescent="0.3">
      <c r="A1599" s="3">
        <v>44321</v>
      </c>
      <c r="B1599">
        <v>-5.9999999999999995E-4</v>
      </c>
      <c r="C1599">
        <v>-1.8E-3</v>
      </c>
      <c r="D1599">
        <v>1.38E-2</v>
      </c>
      <c r="E1599">
        <v>6.6E-3</v>
      </c>
      <c r="F1599">
        <v>6.5000000000000006E-3</v>
      </c>
    </row>
    <row r="1600" spans="1:6" x14ac:dyDescent="0.3">
      <c r="A1600" s="3">
        <v>44322</v>
      </c>
      <c r="B1600">
        <v>4.7999999999999996E-3</v>
      </c>
      <c r="C1600">
        <v>-5.0000000000000001E-3</v>
      </c>
      <c r="D1600">
        <v>1.1899999999999999E-2</v>
      </c>
      <c r="E1600">
        <v>1.2E-2</v>
      </c>
      <c r="F1600">
        <v>5.8999999999999999E-3</v>
      </c>
    </row>
    <row r="1601" spans="1:6" x14ac:dyDescent="0.3">
      <c r="A1601" s="3">
        <v>44323</v>
      </c>
      <c r="B1601">
        <v>8.3999999999999995E-3</v>
      </c>
      <c r="C1601">
        <v>4.4000000000000003E-3</v>
      </c>
      <c r="D1601">
        <v>-8.9999999999999998E-4</v>
      </c>
      <c r="E1601">
        <v>-2.0999999999999999E-3</v>
      </c>
      <c r="F1601">
        <v>1.7000000000000001E-3</v>
      </c>
    </row>
    <row r="1602" spans="1:6" x14ac:dyDescent="0.3">
      <c r="A1602" s="3">
        <v>44326</v>
      </c>
      <c r="B1602">
        <v>-1.3600000000000001E-2</v>
      </c>
      <c r="C1602">
        <v>-1.2800000000000001E-2</v>
      </c>
      <c r="D1602">
        <v>1.6899999999999998E-2</v>
      </c>
      <c r="E1602">
        <v>1.1200000000000002E-2</v>
      </c>
      <c r="F1602">
        <v>7.3000000000000001E-3</v>
      </c>
    </row>
    <row r="1603" spans="1:6" x14ac:dyDescent="0.3">
      <c r="A1603" s="3">
        <v>44327</v>
      </c>
      <c r="B1603">
        <v>-6.3E-3</v>
      </c>
      <c r="C1603">
        <v>6.8999999999999999E-3</v>
      </c>
      <c r="D1603">
        <v>-9.0000000000000011E-3</v>
      </c>
      <c r="E1603">
        <v>-8.3999999999999995E-3</v>
      </c>
      <c r="F1603">
        <v>-7.000000000000001E-4</v>
      </c>
    </row>
    <row r="1604" spans="1:6" x14ac:dyDescent="0.3">
      <c r="A1604" s="3">
        <v>44328</v>
      </c>
      <c r="B1604">
        <v>-2.3399999999999997E-2</v>
      </c>
      <c r="C1604">
        <v>-1.1299999999999999E-2</v>
      </c>
      <c r="D1604">
        <v>6.8999999999999999E-3</v>
      </c>
      <c r="E1604">
        <v>-3.2000000000000002E-3</v>
      </c>
      <c r="F1604">
        <v>1.1000000000000001E-3</v>
      </c>
    </row>
    <row r="1605" spans="1:6" x14ac:dyDescent="0.3">
      <c r="A1605" s="3">
        <v>44329</v>
      </c>
      <c r="B1605">
        <v>1.0200000000000001E-2</v>
      </c>
      <c r="C1605">
        <v>4.6999999999999993E-3</v>
      </c>
      <c r="D1605">
        <v>1.11E-2</v>
      </c>
      <c r="E1605">
        <v>1.37E-2</v>
      </c>
      <c r="F1605">
        <v>3.5999999999999999E-3</v>
      </c>
    </row>
    <row r="1606" spans="1:6" x14ac:dyDescent="0.3">
      <c r="A1606" s="3">
        <v>44330</v>
      </c>
      <c r="B1606">
        <v>1.8100000000000002E-2</v>
      </c>
      <c r="C1606">
        <v>9.7000000000000003E-3</v>
      </c>
      <c r="D1606">
        <v>-1.8E-3</v>
      </c>
      <c r="E1606">
        <v>-2.3E-3</v>
      </c>
      <c r="F1606">
        <v>-1E-4</v>
      </c>
    </row>
    <row r="1607" spans="1:6" x14ac:dyDescent="0.3">
      <c r="A1607" s="3">
        <v>44333</v>
      </c>
      <c r="B1607">
        <v>-2.3999999999999998E-3</v>
      </c>
      <c r="C1607">
        <v>7.0999999999999995E-3</v>
      </c>
      <c r="D1607">
        <v>8.5000000000000006E-3</v>
      </c>
      <c r="E1607">
        <v>4.0000000000000002E-4</v>
      </c>
      <c r="F1607">
        <v>5.8999999999999999E-3</v>
      </c>
    </row>
    <row r="1608" spans="1:6" x14ac:dyDescent="0.3">
      <c r="A1608" s="3">
        <v>44334</v>
      </c>
      <c r="B1608">
        <v>-6.8999999999999999E-3</v>
      </c>
      <c r="C1608">
        <v>5.9999999999999995E-4</v>
      </c>
      <c r="D1608">
        <v>-9.300000000000001E-3</v>
      </c>
      <c r="E1608">
        <v>-1.01E-2</v>
      </c>
      <c r="F1608">
        <v>-4.1999999999999997E-3</v>
      </c>
    </row>
    <row r="1609" spans="1:6" x14ac:dyDescent="0.3">
      <c r="A1609" s="3">
        <v>44335</v>
      </c>
      <c r="B1609">
        <v>-3.4000000000000002E-3</v>
      </c>
      <c r="C1609">
        <v>-4.8999999999999998E-3</v>
      </c>
      <c r="D1609">
        <v>-4.5999999999999999E-3</v>
      </c>
      <c r="E1609">
        <v>-1.8E-3</v>
      </c>
      <c r="F1609">
        <v>-3.4000000000000002E-3</v>
      </c>
    </row>
    <row r="1610" spans="1:6" x14ac:dyDescent="0.3">
      <c r="A1610" s="3">
        <v>44336</v>
      </c>
      <c r="B1610">
        <v>1.15E-2</v>
      </c>
      <c r="C1610">
        <v>-4.6999999999999993E-3</v>
      </c>
      <c r="D1610">
        <v>-1.43E-2</v>
      </c>
      <c r="E1610">
        <v>-8.3999999999999995E-3</v>
      </c>
      <c r="F1610">
        <v>-4.8999999999999998E-3</v>
      </c>
    </row>
    <row r="1611" spans="1:6" x14ac:dyDescent="0.3">
      <c r="A1611" s="3">
        <v>44337</v>
      </c>
      <c r="B1611">
        <v>-4.0000000000000002E-4</v>
      </c>
      <c r="C1611">
        <v>4.4000000000000003E-3</v>
      </c>
      <c r="D1611">
        <v>9.7999999999999997E-3</v>
      </c>
      <c r="E1611">
        <v>-1.1999999999999999E-3</v>
      </c>
      <c r="F1611">
        <v>-5.9999999999999995E-4</v>
      </c>
    </row>
    <row r="1612" spans="1:6" x14ac:dyDescent="0.3">
      <c r="A1612" s="3">
        <v>44340</v>
      </c>
      <c r="B1612">
        <v>9.8999999999999991E-3</v>
      </c>
      <c r="C1612">
        <v>-4.7999999999999996E-3</v>
      </c>
      <c r="D1612">
        <v>-6.8999999999999999E-3</v>
      </c>
      <c r="E1612">
        <v>2.5000000000000001E-3</v>
      </c>
      <c r="F1612">
        <v>-3.0000000000000001E-3</v>
      </c>
    </row>
    <row r="1613" spans="1:6" x14ac:dyDescent="0.3">
      <c r="A1613" s="3">
        <v>44341</v>
      </c>
      <c r="B1613">
        <v>-3.0000000000000001E-3</v>
      </c>
      <c r="C1613">
        <v>-8.3999999999999995E-3</v>
      </c>
      <c r="D1613">
        <v>-1.24E-2</v>
      </c>
      <c r="E1613">
        <v>2.0999999999999999E-3</v>
      </c>
      <c r="F1613">
        <v>-1.7000000000000001E-3</v>
      </c>
    </row>
    <row r="1614" spans="1:6" x14ac:dyDescent="0.3">
      <c r="A1614" s="3">
        <v>44342</v>
      </c>
      <c r="B1614">
        <v>4.6999999999999993E-3</v>
      </c>
      <c r="C1614">
        <v>1.7600000000000001E-2</v>
      </c>
      <c r="D1614">
        <v>5.6000000000000008E-3</v>
      </c>
      <c r="E1614">
        <v>-5.1999999999999998E-3</v>
      </c>
      <c r="F1614">
        <v>1.4000000000000002E-3</v>
      </c>
    </row>
    <row r="1615" spans="1:6" x14ac:dyDescent="0.3">
      <c r="A1615" s="3">
        <v>44343</v>
      </c>
      <c r="B1615">
        <v>2.8000000000000004E-3</v>
      </c>
      <c r="C1615">
        <v>1.0800000000000001E-2</v>
      </c>
      <c r="D1615">
        <v>9.5999999999999992E-3</v>
      </c>
      <c r="E1615">
        <v>-2.5999999999999999E-3</v>
      </c>
      <c r="F1615">
        <v>2.8000000000000004E-3</v>
      </c>
    </row>
    <row r="1616" spans="1:6" x14ac:dyDescent="0.3">
      <c r="A1616" s="3">
        <v>44344</v>
      </c>
      <c r="B1616">
        <v>4.0000000000000002E-4</v>
      </c>
      <c r="C1616">
        <v>-3.7000000000000002E-3</v>
      </c>
      <c r="D1616">
        <v>-2.8000000000000004E-3</v>
      </c>
      <c r="E1616">
        <v>-2E-3</v>
      </c>
      <c r="F1616">
        <v>-4.1999999999999997E-3</v>
      </c>
    </row>
    <row r="1617" spans="1:6" x14ac:dyDescent="0.3">
      <c r="A1617" s="3">
        <v>44348</v>
      </c>
      <c r="B1617">
        <v>2.9999999999999997E-4</v>
      </c>
      <c r="C1617">
        <v>1.38E-2</v>
      </c>
      <c r="D1617">
        <v>1.44E-2</v>
      </c>
      <c r="E1617">
        <v>2.8999999999999998E-3</v>
      </c>
      <c r="F1617">
        <v>4.0999999999999995E-3</v>
      </c>
    </row>
    <row r="1618" spans="1:6" x14ac:dyDescent="0.3">
      <c r="A1618" s="3">
        <v>44349</v>
      </c>
      <c r="B1618">
        <v>1.1999999999999999E-3</v>
      </c>
      <c r="C1618">
        <v>-2.0999999999999999E-3</v>
      </c>
      <c r="D1618">
        <v>3.2000000000000002E-3</v>
      </c>
      <c r="E1618">
        <v>-7.000000000000001E-4</v>
      </c>
      <c r="F1618">
        <v>6.9999999999999993E-3</v>
      </c>
    </row>
    <row r="1619" spans="1:6" x14ac:dyDescent="0.3">
      <c r="A1619" s="3">
        <v>44350</v>
      </c>
      <c r="B1619">
        <v>-5.3E-3</v>
      </c>
      <c r="C1619">
        <v>-2.5000000000000001E-3</v>
      </c>
      <c r="D1619">
        <v>7.9000000000000008E-3</v>
      </c>
      <c r="E1619">
        <v>4.0999999999999995E-3</v>
      </c>
      <c r="F1619">
        <v>3.5999999999999999E-3</v>
      </c>
    </row>
    <row r="1620" spans="1:6" x14ac:dyDescent="0.3">
      <c r="A1620" s="3">
        <v>44351</v>
      </c>
      <c r="B1620">
        <v>8.8999999999999999E-3</v>
      </c>
      <c r="C1620">
        <v>-5.7999999999999996E-3</v>
      </c>
      <c r="D1620">
        <v>-9.1999999999999998E-3</v>
      </c>
      <c r="E1620">
        <v>-1.4000000000000002E-3</v>
      </c>
      <c r="F1620">
        <v>-2.3E-3</v>
      </c>
    </row>
    <row r="1621" spans="1:6" x14ac:dyDescent="0.3">
      <c r="A1621" s="3">
        <v>44354</v>
      </c>
      <c r="B1621">
        <v>1.5E-3</v>
      </c>
      <c r="C1621">
        <v>1.2699999999999999E-2</v>
      </c>
      <c r="D1621">
        <v>-9.300000000000001E-3</v>
      </c>
      <c r="E1621">
        <v>-9.7999999999999997E-3</v>
      </c>
      <c r="F1621">
        <v>-1.5E-3</v>
      </c>
    </row>
    <row r="1622" spans="1:6" x14ac:dyDescent="0.3">
      <c r="A1622" s="3">
        <v>44355</v>
      </c>
      <c r="B1622">
        <v>1.9E-3</v>
      </c>
      <c r="C1622">
        <v>1.0800000000000001E-2</v>
      </c>
      <c r="D1622">
        <v>-3.2000000000000002E-3</v>
      </c>
      <c r="E1622">
        <v>8.0000000000000004E-4</v>
      </c>
      <c r="F1622">
        <v>-7.000000000000001E-4</v>
      </c>
    </row>
    <row r="1623" spans="1:6" x14ac:dyDescent="0.3">
      <c r="A1623" s="3">
        <v>44356</v>
      </c>
      <c r="B1623">
        <v>-3.0000000000000001E-3</v>
      </c>
      <c r="C1623">
        <v>-4.6999999999999993E-3</v>
      </c>
      <c r="D1623">
        <v>-8.199999999999999E-3</v>
      </c>
      <c r="E1623">
        <v>1.6000000000000001E-3</v>
      </c>
      <c r="F1623">
        <v>1.7000000000000001E-3</v>
      </c>
    </row>
    <row r="1624" spans="1:6" x14ac:dyDescent="0.3">
      <c r="A1624" s="3">
        <v>44357</v>
      </c>
      <c r="B1624">
        <v>4.0000000000000001E-3</v>
      </c>
      <c r="C1624">
        <v>-1.29E-2</v>
      </c>
      <c r="D1624">
        <v>-2.0299999999999999E-2</v>
      </c>
      <c r="E1624">
        <v>-5.7999999999999996E-3</v>
      </c>
      <c r="F1624">
        <v>-1.0700000000000001E-2</v>
      </c>
    </row>
    <row r="1625" spans="1:6" x14ac:dyDescent="0.3">
      <c r="A1625" s="3">
        <v>44358</v>
      </c>
      <c r="B1625">
        <v>3.7000000000000002E-3</v>
      </c>
      <c r="C1625">
        <v>7.1999999999999998E-3</v>
      </c>
      <c r="D1625">
        <v>1.8E-3</v>
      </c>
      <c r="E1625">
        <v>2.9999999999999997E-4</v>
      </c>
      <c r="F1625">
        <v>-2.9999999999999997E-4</v>
      </c>
    </row>
    <row r="1626" spans="1:6" x14ac:dyDescent="0.3">
      <c r="A1626" s="3">
        <v>44361</v>
      </c>
      <c r="B1626">
        <v>1.5E-3</v>
      </c>
      <c r="C1626">
        <v>-7.4000000000000003E-3</v>
      </c>
      <c r="D1626">
        <v>-1.6200000000000003E-2</v>
      </c>
      <c r="E1626">
        <v>-5.7999999999999996E-3</v>
      </c>
      <c r="F1626">
        <v>-4.6999999999999993E-3</v>
      </c>
    </row>
    <row r="1627" spans="1:6" x14ac:dyDescent="0.3">
      <c r="A1627" s="3">
        <v>44362</v>
      </c>
      <c r="B1627">
        <v>-3.0000000000000001E-3</v>
      </c>
      <c r="C1627">
        <v>2.2000000000000001E-3</v>
      </c>
      <c r="D1627">
        <v>1.3100000000000001E-2</v>
      </c>
      <c r="E1627">
        <v>6.6E-3</v>
      </c>
      <c r="F1627">
        <v>1.1999999999999999E-3</v>
      </c>
    </row>
    <row r="1628" spans="1:6" x14ac:dyDescent="0.3">
      <c r="A1628" s="3">
        <v>44363</v>
      </c>
      <c r="B1628">
        <v>-4.5000000000000005E-3</v>
      </c>
      <c r="C1628">
        <v>4.5000000000000005E-3</v>
      </c>
      <c r="D1628">
        <v>1.9E-3</v>
      </c>
      <c r="E1628">
        <v>-3.4000000000000002E-3</v>
      </c>
      <c r="F1628">
        <v>-2.5999999999999999E-3</v>
      </c>
    </row>
    <row r="1629" spans="1:6" x14ac:dyDescent="0.3">
      <c r="A1629" s="3">
        <v>44364</v>
      </c>
      <c r="B1629">
        <v>1E-4</v>
      </c>
      <c r="C1629">
        <v>-1.3300000000000001E-2</v>
      </c>
      <c r="D1629">
        <v>-3.5699999999999996E-2</v>
      </c>
      <c r="E1629">
        <v>-6.9999999999999993E-3</v>
      </c>
      <c r="F1629">
        <v>-1.1299999999999999E-2</v>
      </c>
    </row>
    <row r="1630" spans="1:6" x14ac:dyDescent="0.3">
      <c r="A1630" s="3">
        <v>44365</v>
      </c>
      <c r="B1630">
        <v>-1.2199999999999999E-2</v>
      </c>
      <c r="C1630">
        <v>-8.0000000000000002E-3</v>
      </c>
      <c r="D1630">
        <v>-1.4499999999999999E-2</v>
      </c>
      <c r="E1630">
        <v>-4.4000000000000003E-3</v>
      </c>
      <c r="F1630">
        <v>-7.0999999999999995E-3</v>
      </c>
    </row>
    <row r="1631" spans="1:6" x14ac:dyDescent="0.3">
      <c r="A1631" s="3">
        <v>44368</v>
      </c>
      <c r="B1631">
        <v>1.34E-2</v>
      </c>
      <c r="C1631">
        <v>8.3000000000000001E-3</v>
      </c>
      <c r="D1631">
        <v>1.0700000000000001E-2</v>
      </c>
      <c r="E1631">
        <v>4.0000000000000001E-3</v>
      </c>
      <c r="F1631">
        <v>3.3E-3</v>
      </c>
    </row>
    <row r="1632" spans="1:6" x14ac:dyDescent="0.3">
      <c r="A1632" s="3">
        <v>44369</v>
      </c>
      <c r="B1632">
        <v>5.7999999999999996E-3</v>
      </c>
      <c r="C1632">
        <v>-1E-3</v>
      </c>
      <c r="D1632">
        <v>-4.6999999999999993E-3</v>
      </c>
      <c r="E1632">
        <v>1.8E-3</v>
      </c>
      <c r="F1632">
        <v>2E-3</v>
      </c>
    </row>
    <row r="1633" spans="1:6" x14ac:dyDescent="0.3">
      <c r="A1633" s="3">
        <v>44370</v>
      </c>
      <c r="B1633">
        <v>1E-4</v>
      </c>
      <c r="C1633">
        <v>5.0000000000000001E-3</v>
      </c>
      <c r="D1633">
        <v>-2.8999999999999998E-3</v>
      </c>
      <c r="E1633">
        <v>-4.6999999999999993E-3</v>
      </c>
      <c r="F1633">
        <v>-2.3E-3</v>
      </c>
    </row>
    <row r="1634" spans="1:6" x14ac:dyDescent="0.3">
      <c r="A1634" s="3">
        <v>44371</v>
      </c>
      <c r="B1634">
        <v>6.8999999999999999E-3</v>
      </c>
      <c r="C1634">
        <v>7.3000000000000001E-3</v>
      </c>
      <c r="D1634">
        <v>2.3999999999999998E-3</v>
      </c>
      <c r="E1634">
        <v>-3.7000000000000002E-3</v>
      </c>
      <c r="F1634">
        <v>2.5999999999999999E-3</v>
      </c>
    </row>
    <row r="1635" spans="1:6" x14ac:dyDescent="0.3">
      <c r="A1635" s="3">
        <v>44372</v>
      </c>
      <c r="B1635">
        <v>3.0999999999999999E-3</v>
      </c>
      <c r="C1635">
        <v>-4.7999999999999996E-3</v>
      </c>
      <c r="D1635">
        <v>4.5000000000000005E-3</v>
      </c>
      <c r="E1635">
        <v>-1.6000000000000001E-3</v>
      </c>
      <c r="F1635">
        <v>2.9999999999999997E-4</v>
      </c>
    </row>
    <row r="1636" spans="1:6" x14ac:dyDescent="0.3">
      <c r="A1636" s="3">
        <v>44375</v>
      </c>
      <c r="B1636">
        <v>2.2000000000000001E-3</v>
      </c>
      <c r="C1636">
        <v>-8.3999999999999995E-3</v>
      </c>
      <c r="D1636">
        <v>-1.6E-2</v>
      </c>
      <c r="E1636">
        <v>-4.7999999999999996E-3</v>
      </c>
      <c r="F1636">
        <v>-1.2999999999999999E-3</v>
      </c>
    </row>
    <row r="1637" spans="1:6" x14ac:dyDescent="0.3">
      <c r="A1637" s="3">
        <v>44376</v>
      </c>
      <c r="B1637">
        <v>0</v>
      </c>
      <c r="C1637">
        <v>-3.9000000000000003E-3</v>
      </c>
      <c r="D1637">
        <v>-2.8999999999999998E-3</v>
      </c>
      <c r="E1637">
        <v>3.0000000000000001E-3</v>
      </c>
      <c r="F1637">
        <v>3.9000000000000003E-3</v>
      </c>
    </row>
    <row r="1638" spans="1:6" x14ac:dyDescent="0.3">
      <c r="A1638" s="3">
        <v>44377</v>
      </c>
      <c r="B1638">
        <v>7.000000000000001E-4</v>
      </c>
      <c r="C1638">
        <v>1.4000000000000002E-3</v>
      </c>
      <c r="D1638">
        <v>7.7000000000000002E-3</v>
      </c>
      <c r="E1638">
        <v>7.3000000000000001E-3</v>
      </c>
      <c r="F1638">
        <v>6.3E-3</v>
      </c>
    </row>
    <row r="1639" spans="1:6" x14ac:dyDescent="0.3">
      <c r="A1639" s="3">
        <v>44378</v>
      </c>
      <c r="B1639">
        <v>4.3E-3</v>
      </c>
      <c r="C1639">
        <v>4.4000000000000003E-3</v>
      </c>
      <c r="D1639">
        <v>4.3E-3</v>
      </c>
      <c r="E1639">
        <v>-2.0000000000000001E-4</v>
      </c>
      <c r="F1639">
        <v>3.3E-3</v>
      </c>
    </row>
    <row r="1640" spans="1:6" x14ac:dyDescent="0.3">
      <c r="A1640" s="3">
        <v>44379</v>
      </c>
      <c r="B1640">
        <v>5.6000000000000008E-3</v>
      </c>
      <c r="C1640">
        <v>-1.52E-2</v>
      </c>
      <c r="D1640">
        <v>-7.3000000000000001E-3</v>
      </c>
      <c r="E1640">
        <v>6.5000000000000006E-3</v>
      </c>
      <c r="F1640">
        <v>-1.1000000000000001E-3</v>
      </c>
    </row>
    <row r="1641" spans="1:6" x14ac:dyDescent="0.3">
      <c r="A1641" s="3">
        <v>44383</v>
      </c>
      <c r="B1641">
        <v>-2.8000000000000004E-3</v>
      </c>
      <c r="C1641">
        <v>-1.04E-2</v>
      </c>
      <c r="D1641">
        <v>-1.9799999999999998E-2</v>
      </c>
      <c r="E1641">
        <v>5.6999999999999993E-3</v>
      </c>
      <c r="F1641">
        <v>-7.0999999999999995E-3</v>
      </c>
    </row>
    <row r="1642" spans="1:6" x14ac:dyDescent="0.3">
      <c r="A1642" s="3">
        <v>44384</v>
      </c>
      <c r="B1642">
        <v>8.9999999999999998E-4</v>
      </c>
      <c r="C1642">
        <v>-8.5000000000000006E-3</v>
      </c>
      <c r="D1642">
        <v>8.0000000000000004E-4</v>
      </c>
      <c r="E1642">
        <v>1.6899999999999998E-2</v>
      </c>
      <c r="F1642">
        <v>3.3E-3</v>
      </c>
    </row>
    <row r="1643" spans="1:6" x14ac:dyDescent="0.3">
      <c r="A1643" s="3">
        <v>44385</v>
      </c>
      <c r="B1643">
        <v>-8.6E-3</v>
      </c>
      <c r="C1643">
        <v>-1E-4</v>
      </c>
      <c r="D1643">
        <v>-7.8000000000000005E-3</v>
      </c>
      <c r="E1643">
        <v>-2.0999999999999999E-3</v>
      </c>
      <c r="F1643">
        <v>-2.9999999999999997E-4</v>
      </c>
    </row>
    <row r="1644" spans="1:6" x14ac:dyDescent="0.3">
      <c r="A1644" s="3">
        <v>44386</v>
      </c>
      <c r="B1644">
        <v>1.2500000000000001E-2</v>
      </c>
      <c r="C1644">
        <v>8.6999999999999994E-3</v>
      </c>
      <c r="D1644">
        <v>1.5600000000000001E-2</v>
      </c>
      <c r="E1644">
        <v>-2E-3</v>
      </c>
      <c r="F1644">
        <v>3.9000000000000003E-3</v>
      </c>
    </row>
    <row r="1645" spans="1:6" x14ac:dyDescent="0.3">
      <c r="A1645" s="3">
        <v>44389</v>
      </c>
      <c r="B1645">
        <v>2.3E-3</v>
      </c>
      <c r="C1645">
        <v>-2.0000000000000001E-4</v>
      </c>
      <c r="D1645">
        <v>5.7999999999999996E-3</v>
      </c>
      <c r="E1645">
        <v>3.0999999999999999E-3</v>
      </c>
      <c r="F1645">
        <v>-2.8000000000000004E-3</v>
      </c>
    </row>
    <row r="1646" spans="1:6" x14ac:dyDescent="0.3">
      <c r="A1646" s="3">
        <v>44390</v>
      </c>
      <c r="B1646">
        <v>-5.6000000000000008E-3</v>
      </c>
      <c r="C1646">
        <v>-1.23E-2</v>
      </c>
      <c r="D1646">
        <v>-4.1999999999999997E-3</v>
      </c>
      <c r="E1646">
        <v>7.0999999999999995E-3</v>
      </c>
      <c r="F1646">
        <v>1.5E-3</v>
      </c>
    </row>
    <row r="1647" spans="1:6" x14ac:dyDescent="0.3">
      <c r="A1647" s="3">
        <v>44391</v>
      </c>
      <c r="B1647">
        <v>-2.5999999999999999E-3</v>
      </c>
      <c r="C1647">
        <v>-1.1699999999999999E-2</v>
      </c>
      <c r="D1647">
        <v>3.3E-3</v>
      </c>
      <c r="E1647">
        <v>1.9199999999999998E-2</v>
      </c>
      <c r="F1647">
        <v>6.0000000000000001E-3</v>
      </c>
    </row>
    <row r="1648" spans="1:6" x14ac:dyDescent="0.3">
      <c r="A1648" s="3">
        <v>44392</v>
      </c>
      <c r="B1648">
        <v>-3.8E-3</v>
      </c>
      <c r="C1648">
        <v>-2.5999999999999999E-3</v>
      </c>
      <c r="D1648">
        <v>7.9000000000000008E-3</v>
      </c>
      <c r="E1648">
        <v>3.5999999999999999E-3</v>
      </c>
      <c r="F1648">
        <v>-7.000000000000001E-4</v>
      </c>
    </row>
    <row r="1649" spans="1:6" x14ac:dyDescent="0.3">
      <c r="A1649" s="3">
        <v>44393</v>
      </c>
      <c r="B1649">
        <v>-7.7000000000000002E-3</v>
      </c>
      <c r="C1649">
        <v>-4.0999999999999995E-3</v>
      </c>
      <c r="D1649">
        <v>-1.2500000000000001E-2</v>
      </c>
      <c r="E1649">
        <v>1.1999999999999999E-3</v>
      </c>
      <c r="F1649">
        <v>-8.199999999999999E-3</v>
      </c>
    </row>
    <row r="1650" spans="1:6" x14ac:dyDescent="0.3">
      <c r="A1650" s="3">
        <v>44396</v>
      </c>
      <c r="B1650">
        <v>-1.41E-2</v>
      </c>
      <c r="C1650">
        <v>4.0000000000000002E-4</v>
      </c>
      <c r="D1650">
        <v>-1.7500000000000002E-2</v>
      </c>
      <c r="E1650">
        <v>-3.9000000000000003E-3</v>
      </c>
      <c r="F1650">
        <v>-1.1200000000000002E-2</v>
      </c>
    </row>
    <row r="1651" spans="1:6" x14ac:dyDescent="0.3">
      <c r="A1651" s="3">
        <v>44397</v>
      </c>
      <c r="B1651">
        <v>1.6899999999999998E-2</v>
      </c>
      <c r="C1651">
        <v>8.6E-3</v>
      </c>
      <c r="D1651">
        <v>1.6000000000000001E-3</v>
      </c>
      <c r="E1651">
        <v>-5.5000000000000005E-3</v>
      </c>
      <c r="F1651">
        <v>3.4999999999999996E-3</v>
      </c>
    </row>
    <row r="1652" spans="1:6" x14ac:dyDescent="0.3">
      <c r="A1652" s="3">
        <v>44398</v>
      </c>
      <c r="B1652">
        <v>9.4999999999999998E-3</v>
      </c>
      <c r="C1652">
        <v>7.1999999999999998E-3</v>
      </c>
      <c r="D1652">
        <v>8.1000000000000013E-3</v>
      </c>
      <c r="E1652">
        <v>-9.7999999999999997E-3</v>
      </c>
      <c r="F1652">
        <v>4.0000000000000002E-4</v>
      </c>
    </row>
    <row r="1653" spans="1:6" x14ac:dyDescent="0.3">
      <c r="A1653" s="3">
        <v>44399</v>
      </c>
      <c r="B1653">
        <v>8.9999999999999998E-4</v>
      </c>
      <c r="C1653">
        <v>-1.5800000000000002E-2</v>
      </c>
      <c r="D1653">
        <v>-0.01</v>
      </c>
      <c r="E1653">
        <v>5.0000000000000001E-3</v>
      </c>
      <c r="F1653">
        <v>-3.7000000000000002E-3</v>
      </c>
    </row>
    <row r="1654" spans="1:6" x14ac:dyDescent="0.3">
      <c r="A1654" s="3">
        <v>44400</v>
      </c>
      <c r="B1654">
        <v>9.7999999999999997E-3</v>
      </c>
      <c r="C1654">
        <v>-3.2000000000000002E-3</v>
      </c>
      <c r="D1654">
        <v>-4.5999999999999999E-3</v>
      </c>
      <c r="E1654">
        <v>4.5999999999999999E-3</v>
      </c>
      <c r="F1654">
        <v>-3.4999999999999996E-3</v>
      </c>
    </row>
    <row r="1655" spans="1:6" x14ac:dyDescent="0.3">
      <c r="A1655" s="3">
        <v>44403</v>
      </c>
      <c r="B1655">
        <v>1.8E-3</v>
      </c>
      <c r="C1655">
        <v>1.1000000000000001E-3</v>
      </c>
      <c r="D1655">
        <v>1.3300000000000001E-2</v>
      </c>
      <c r="E1655">
        <v>2.3999999999999998E-3</v>
      </c>
      <c r="F1655">
        <v>8.6999999999999994E-3</v>
      </c>
    </row>
    <row r="1656" spans="1:6" x14ac:dyDescent="0.3">
      <c r="A1656" s="3">
        <v>44404</v>
      </c>
      <c r="B1656">
        <v>-6.6E-3</v>
      </c>
      <c r="C1656">
        <v>-4.5999999999999999E-3</v>
      </c>
      <c r="D1656">
        <v>6.0000000000000001E-3</v>
      </c>
      <c r="E1656">
        <v>4.5999999999999999E-3</v>
      </c>
      <c r="F1656">
        <v>1E-3</v>
      </c>
    </row>
    <row r="1657" spans="1:6" x14ac:dyDescent="0.3">
      <c r="A1657" s="3">
        <v>44405</v>
      </c>
      <c r="B1657">
        <v>2.7000000000000001E-3</v>
      </c>
      <c r="C1657">
        <v>1.21E-2</v>
      </c>
      <c r="D1657">
        <v>-6.5000000000000006E-3</v>
      </c>
      <c r="E1657">
        <v>-1.5700000000000002E-2</v>
      </c>
      <c r="F1657">
        <v>-7.1999999999999998E-3</v>
      </c>
    </row>
    <row r="1658" spans="1:6" x14ac:dyDescent="0.3">
      <c r="A1658" s="3">
        <v>44406</v>
      </c>
      <c r="B1658">
        <v>4.0999999999999995E-3</v>
      </c>
      <c r="C1658">
        <v>2.2000000000000001E-3</v>
      </c>
      <c r="D1658">
        <v>9.4999999999999998E-3</v>
      </c>
      <c r="E1658">
        <v>8.0000000000000002E-3</v>
      </c>
      <c r="F1658">
        <v>5.4000000000000003E-3</v>
      </c>
    </row>
    <row r="1659" spans="1:6" x14ac:dyDescent="0.3">
      <c r="A1659" s="3">
        <v>44407</v>
      </c>
      <c r="B1659">
        <v>-6.5000000000000006E-3</v>
      </c>
      <c r="C1659">
        <v>-1E-3</v>
      </c>
      <c r="D1659">
        <v>-1.7000000000000001E-3</v>
      </c>
      <c r="E1659">
        <v>5.6000000000000008E-3</v>
      </c>
      <c r="F1659">
        <v>4.0000000000000001E-3</v>
      </c>
    </row>
    <row r="1660" spans="1:6" x14ac:dyDescent="0.3">
      <c r="A1660" s="3">
        <v>44410</v>
      </c>
      <c r="B1660">
        <v>-1.1999999999999999E-3</v>
      </c>
      <c r="C1660">
        <v>-1.5E-3</v>
      </c>
      <c r="D1660">
        <v>-4.0999999999999995E-3</v>
      </c>
      <c r="E1660">
        <v>-4.0000000000000002E-4</v>
      </c>
      <c r="F1660">
        <v>-3.8E-3</v>
      </c>
    </row>
    <row r="1661" spans="1:6" x14ac:dyDescent="0.3">
      <c r="A1661" s="3">
        <v>44411</v>
      </c>
      <c r="B1661">
        <v>7.3000000000000001E-3</v>
      </c>
      <c r="C1661">
        <v>-3.8E-3</v>
      </c>
      <c r="D1661">
        <v>9.0000000000000011E-3</v>
      </c>
      <c r="E1661">
        <v>6.3E-3</v>
      </c>
      <c r="F1661">
        <v>2.5999999999999999E-3</v>
      </c>
    </row>
    <row r="1662" spans="1:6" x14ac:dyDescent="0.3">
      <c r="A1662" s="3">
        <v>44412</v>
      </c>
      <c r="B1662">
        <v>-3.9000000000000003E-3</v>
      </c>
      <c r="C1662">
        <v>-9.8999999999999991E-3</v>
      </c>
      <c r="D1662">
        <v>-1.55E-2</v>
      </c>
      <c r="E1662">
        <v>-3.5999999999999999E-3</v>
      </c>
      <c r="F1662">
        <v>-1.1200000000000002E-2</v>
      </c>
    </row>
    <row r="1663" spans="1:6" x14ac:dyDescent="0.3">
      <c r="A1663" s="3">
        <v>44413</v>
      </c>
      <c r="B1663">
        <v>7.4000000000000003E-3</v>
      </c>
      <c r="C1663">
        <v>1.0700000000000001E-2</v>
      </c>
      <c r="D1663">
        <v>-1E-3</v>
      </c>
      <c r="E1663">
        <v>-1.3300000000000001E-2</v>
      </c>
      <c r="F1663">
        <v>-4.0000000000000001E-3</v>
      </c>
    </row>
    <row r="1664" spans="1:6" x14ac:dyDescent="0.3">
      <c r="A1664" s="3">
        <v>44414</v>
      </c>
      <c r="B1664">
        <v>8.9999999999999998E-4</v>
      </c>
      <c r="C1664">
        <v>4.7999999999999996E-3</v>
      </c>
      <c r="D1664">
        <v>1.8700000000000001E-2</v>
      </c>
      <c r="E1664">
        <v>5.7999999999999996E-3</v>
      </c>
      <c r="F1664">
        <v>3.0000000000000001E-3</v>
      </c>
    </row>
    <row r="1665" spans="1:6" x14ac:dyDescent="0.3">
      <c r="A1665" s="3">
        <v>44417</v>
      </c>
      <c r="B1665">
        <v>1E-4</v>
      </c>
      <c r="C1665">
        <v>-4.7999999999999996E-3</v>
      </c>
      <c r="D1665">
        <v>-2.3999999999999998E-3</v>
      </c>
      <c r="E1665">
        <v>-6.0999999999999995E-3</v>
      </c>
      <c r="F1665">
        <v>-5.3E-3</v>
      </c>
    </row>
    <row r="1666" spans="1:6" x14ac:dyDescent="0.3">
      <c r="A1666" s="3">
        <v>44418</v>
      </c>
      <c r="B1666">
        <v>5.9999999999999995E-4</v>
      </c>
      <c r="C1666">
        <v>3.8E-3</v>
      </c>
      <c r="D1666">
        <v>1.8100000000000002E-2</v>
      </c>
      <c r="E1666">
        <v>7.4000000000000003E-3</v>
      </c>
      <c r="F1666">
        <v>9.3999999999999986E-3</v>
      </c>
    </row>
    <row r="1667" spans="1:6" x14ac:dyDescent="0.3">
      <c r="A1667" s="3">
        <v>44419</v>
      </c>
      <c r="B1667">
        <v>1.9E-3</v>
      </c>
      <c r="C1667">
        <v>2.8000000000000004E-3</v>
      </c>
      <c r="D1667">
        <v>1.44E-2</v>
      </c>
      <c r="E1667">
        <v>8.5000000000000006E-3</v>
      </c>
      <c r="F1667">
        <v>5.1000000000000004E-3</v>
      </c>
    </row>
    <row r="1668" spans="1:6" x14ac:dyDescent="0.3">
      <c r="A1668" s="3">
        <v>44420</v>
      </c>
      <c r="B1668">
        <v>2.3999999999999998E-3</v>
      </c>
      <c r="C1668">
        <v>-6.8000000000000005E-3</v>
      </c>
      <c r="D1668">
        <v>-4.0000000000000001E-3</v>
      </c>
      <c r="E1668">
        <v>-2.0000000000000001E-4</v>
      </c>
      <c r="F1668">
        <v>1.6000000000000001E-3</v>
      </c>
    </row>
    <row r="1669" spans="1:6" x14ac:dyDescent="0.3">
      <c r="A1669" s="3">
        <v>44421</v>
      </c>
      <c r="B1669">
        <v>0</v>
      </c>
      <c r="C1669">
        <v>-9.5999999999999992E-3</v>
      </c>
      <c r="D1669">
        <v>-2.3999999999999998E-3</v>
      </c>
      <c r="E1669">
        <v>7.4000000000000003E-3</v>
      </c>
      <c r="F1669">
        <v>-2.9999999999999997E-4</v>
      </c>
    </row>
    <row r="1670" spans="1:6" x14ac:dyDescent="0.3">
      <c r="A1670" s="3">
        <v>44424</v>
      </c>
      <c r="B1670">
        <v>-5.0000000000000001E-4</v>
      </c>
      <c r="C1670">
        <v>-8.6E-3</v>
      </c>
      <c r="D1670">
        <v>5.0000000000000001E-4</v>
      </c>
      <c r="E1670">
        <v>1.6299999999999999E-2</v>
      </c>
      <c r="F1670">
        <v>1.7000000000000001E-3</v>
      </c>
    </row>
    <row r="1671" spans="1:6" x14ac:dyDescent="0.3">
      <c r="A1671" s="3">
        <v>44425</v>
      </c>
      <c r="B1671">
        <v>-8.0000000000000002E-3</v>
      </c>
      <c r="C1671">
        <v>-4.8999999999999998E-3</v>
      </c>
      <c r="D1671">
        <v>-1.5E-3</v>
      </c>
      <c r="E1671">
        <v>-3.0999999999999999E-3</v>
      </c>
      <c r="F1671">
        <v>1.1000000000000001E-3</v>
      </c>
    </row>
    <row r="1672" spans="1:6" x14ac:dyDescent="0.3">
      <c r="A1672" s="3">
        <v>44426</v>
      </c>
      <c r="B1672">
        <v>-9.4999999999999998E-3</v>
      </c>
      <c r="C1672">
        <v>8.0000000000000004E-4</v>
      </c>
      <c r="D1672">
        <v>-1.8E-3</v>
      </c>
      <c r="E1672">
        <v>-3.0000000000000001E-3</v>
      </c>
      <c r="F1672">
        <v>-6.6E-3</v>
      </c>
    </row>
    <row r="1673" spans="1:6" x14ac:dyDescent="0.3">
      <c r="A1673" s="3">
        <v>44427</v>
      </c>
      <c r="B1673">
        <v>-1.5E-3</v>
      </c>
      <c r="C1673">
        <v>-9.5999999999999992E-3</v>
      </c>
      <c r="D1673">
        <v>-8.0000000000000002E-3</v>
      </c>
      <c r="E1673">
        <v>1.38E-2</v>
      </c>
      <c r="F1673">
        <v>-4.7999999999999996E-3</v>
      </c>
    </row>
    <row r="1674" spans="1:6" x14ac:dyDescent="0.3">
      <c r="A1674" s="3">
        <v>44428</v>
      </c>
      <c r="B1674">
        <v>9.1999999999999998E-3</v>
      </c>
      <c r="C1674">
        <v>8.6E-3</v>
      </c>
      <c r="D1674">
        <v>-4.8999999999999998E-3</v>
      </c>
      <c r="E1674">
        <v>-3.8E-3</v>
      </c>
      <c r="F1674">
        <v>-2.8999999999999998E-3</v>
      </c>
    </row>
    <row r="1675" spans="1:6" x14ac:dyDescent="0.3">
      <c r="A1675" s="3">
        <v>44431</v>
      </c>
      <c r="B1675">
        <v>1.0800000000000001E-2</v>
      </c>
      <c r="C1675">
        <v>7.4000000000000003E-3</v>
      </c>
      <c r="D1675">
        <v>-8.3000000000000001E-3</v>
      </c>
      <c r="E1675">
        <v>-1.8200000000000001E-2</v>
      </c>
      <c r="F1675">
        <v>-5.9999999999999995E-4</v>
      </c>
    </row>
    <row r="1676" spans="1:6" x14ac:dyDescent="0.3">
      <c r="A1676" s="3">
        <v>44432</v>
      </c>
      <c r="B1676">
        <v>4.0999999999999995E-3</v>
      </c>
      <c r="C1676">
        <v>4.0000000000000001E-3</v>
      </c>
      <c r="D1676">
        <v>3.8E-3</v>
      </c>
      <c r="E1676">
        <v>-6.8999999999999999E-3</v>
      </c>
      <c r="F1676">
        <v>5.9999999999999995E-4</v>
      </c>
    </row>
    <row r="1677" spans="1:6" x14ac:dyDescent="0.3">
      <c r="A1677" s="3">
        <v>44433</v>
      </c>
      <c r="B1677">
        <v>2.5999999999999999E-3</v>
      </c>
      <c r="C1677">
        <v>7.000000000000001E-4</v>
      </c>
      <c r="D1677">
        <v>3.4000000000000002E-3</v>
      </c>
      <c r="E1677">
        <v>-4.1999999999999997E-3</v>
      </c>
      <c r="F1677">
        <v>-2.0000000000000001E-4</v>
      </c>
    </row>
    <row r="1678" spans="1:6" x14ac:dyDescent="0.3">
      <c r="A1678" s="3">
        <v>44434</v>
      </c>
      <c r="B1678">
        <v>-6.5000000000000006E-3</v>
      </c>
      <c r="C1678">
        <v>-4.5000000000000005E-3</v>
      </c>
      <c r="D1678">
        <v>-3.0999999999999999E-3</v>
      </c>
      <c r="E1678">
        <v>-2.0000000000000001E-4</v>
      </c>
      <c r="F1678">
        <v>-1.4000000000000002E-3</v>
      </c>
    </row>
    <row r="1679" spans="1:6" x14ac:dyDescent="0.3">
      <c r="A1679" s="3">
        <v>44435</v>
      </c>
      <c r="B1679">
        <v>1.0700000000000001E-2</v>
      </c>
      <c r="C1679">
        <v>1.6500000000000001E-2</v>
      </c>
      <c r="D1679">
        <v>3.0000000000000001E-3</v>
      </c>
      <c r="E1679">
        <v>-7.1999999999999998E-3</v>
      </c>
      <c r="F1679">
        <v>1.7000000000000001E-3</v>
      </c>
    </row>
    <row r="1680" spans="1:6" x14ac:dyDescent="0.3">
      <c r="A1680" s="3">
        <v>44438</v>
      </c>
      <c r="B1680">
        <v>3.4999999999999996E-3</v>
      </c>
      <c r="C1680">
        <v>-6.9999999999999993E-3</v>
      </c>
      <c r="D1680">
        <v>-1.38E-2</v>
      </c>
      <c r="E1680">
        <v>6.6E-3</v>
      </c>
      <c r="F1680">
        <v>1.2999999999999999E-3</v>
      </c>
    </row>
    <row r="1681" spans="1:6" x14ac:dyDescent="0.3">
      <c r="A1681" s="3">
        <v>44439</v>
      </c>
      <c r="B1681">
        <v>-1.2999999999999999E-3</v>
      </c>
      <c r="C1681">
        <v>4.4000000000000003E-3</v>
      </c>
      <c r="D1681">
        <v>-5.0000000000000001E-4</v>
      </c>
      <c r="E1681">
        <v>-4.6999999999999993E-3</v>
      </c>
      <c r="F1681">
        <v>-2.0999999999999999E-3</v>
      </c>
    </row>
    <row r="1682" spans="1:6" x14ac:dyDescent="0.3">
      <c r="A1682" s="3">
        <v>44440</v>
      </c>
      <c r="B1682">
        <v>1.1000000000000001E-3</v>
      </c>
      <c r="C1682">
        <v>3.9000000000000003E-3</v>
      </c>
      <c r="D1682">
        <v>-9.300000000000001E-3</v>
      </c>
      <c r="E1682">
        <v>-4.0000000000000001E-3</v>
      </c>
      <c r="F1682">
        <v>-3.5999999999999999E-3</v>
      </c>
    </row>
    <row r="1683" spans="1:6" x14ac:dyDescent="0.3">
      <c r="A1683" s="3">
        <v>44441</v>
      </c>
      <c r="B1683">
        <v>3.5999999999999999E-3</v>
      </c>
      <c r="C1683">
        <v>1.9E-3</v>
      </c>
      <c r="D1683">
        <v>-2.0000000000000001E-4</v>
      </c>
      <c r="E1683">
        <v>-4.3E-3</v>
      </c>
      <c r="F1683">
        <v>6.0999999999999995E-3</v>
      </c>
    </row>
    <row r="1684" spans="1:6" x14ac:dyDescent="0.3">
      <c r="A1684" s="3">
        <v>44442</v>
      </c>
      <c r="B1684">
        <v>-1E-4</v>
      </c>
      <c r="C1684">
        <v>-5.5000000000000005E-3</v>
      </c>
      <c r="D1684">
        <v>-2.8000000000000004E-3</v>
      </c>
      <c r="E1684">
        <v>0</v>
      </c>
      <c r="F1684">
        <v>-2.7000000000000001E-3</v>
      </c>
    </row>
    <row r="1685" spans="1:6" x14ac:dyDescent="0.3">
      <c r="A1685" s="3">
        <v>44446</v>
      </c>
      <c r="B1685">
        <v>-3.5999999999999999E-3</v>
      </c>
      <c r="C1685">
        <v>-3.7000000000000002E-3</v>
      </c>
      <c r="D1685">
        <v>-7.000000000000001E-4</v>
      </c>
      <c r="E1685">
        <v>-6.0000000000000001E-3</v>
      </c>
      <c r="F1685">
        <v>1.5E-3</v>
      </c>
    </row>
    <row r="1686" spans="1:6" x14ac:dyDescent="0.3">
      <c r="A1686" s="3">
        <v>44447</v>
      </c>
      <c r="B1686">
        <v>-3.4000000000000002E-3</v>
      </c>
      <c r="C1686">
        <v>-7.1999999999999998E-3</v>
      </c>
      <c r="D1686">
        <v>5.0000000000000001E-4</v>
      </c>
      <c r="E1686">
        <v>7.8000000000000005E-3</v>
      </c>
      <c r="F1686">
        <v>1.6000000000000001E-3</v>
      </c>
    </row>
    <row r="1687" spans="1:6" x14ac:dyDescent="0.3">
      <c r="A1687" s="3">
        <v>44448</v>
      </c>
      <c r="B1687">
        <v>-2.7000000000000001E-3</v>
      </c>
      <c r="C1687">
        <v>2.3999999999999998E-3</v>
      </c>
      <c r="D1687">
        <v>1E-3</v>
      </c>
      <c r="E1687">
        <v>-7.8000000000000005E-3</v>
      </c>
      <c r="F1687">
        <v>-2.5999999999999999E-3</v>
      </c>
    </row>
    <row r="1688" spans="1:6" x14ac:dyDescent="0.3">
      <c r="A1688" s="3">
        <v>44449</v>
      </c>
      <c r="B1688">
        <v>-7.6E-3</v>
      </c>
      <c r="C1688">
        <v>-2.9999999999999997E-4</v>
      </c>
      <c r="D1688">
        <v>5.0000000000000001E-4</v>
      </c>
      <c r="E1688">
        <v>2.0999999999999999E-3</v>
      </c>
      <c r="F1688">
        <v>-4.0999999999999995E-3</v>
      </c>
    </row>
    <row r="1689" spans="1:6" x14ac:dyDescent="0.3">
      <c r="A1689" s="3">
        <v>44452</v>
      </c>
      <c r="B1689">
        <v>1.4000000000000002E-3</v>
      </c>
      <c r="C1689">
        <v>2.8000000000000004E-3</v>
      </c>
      <c r="D1689">
        <v>1.32E-2</v>
      </c>
      <c r="E1689">
        <v>1.8E-3</v>
      </c>
      <c r="F1689">
        <v>9.1000000000000004E-3</v>
      </c>
    </row>
    <row r="1690" spans="1:6" x14ac:dyDescent="0.3">
      <c r="A1690" s="3">
        <v>44453</v>
      </c>
      <c r="B1690">
        <v>-6.6E-3</v>
      </c>
      <c r="C1690">
        <v>-6.8999999999999999E-3</v>
      </c>
      <c r="D1690">
        <v>-9.5999999999999992E-3</v>
      </c>
      <c r="E1690">
        <v>3.7000000000000002E-3</v>
      </c>
      <c r="F1690">
        <v>-4.5999999999999999E-3</v>
      </c>
    </row>
    <row r="1691" spans="1:6" x14ac:dyDescent="0.3">
      <c r="A1691" s="3">
        <v>44454</v>
      </c>
      <c r="B1691">
        <v>8.8000000000000005E-3</v>
      </c>
      <c r="C1691">
        <v>1.5E-3</v>
      </c>
      <c r="D1691">
        <v>6.5000000000000006E-3</v>
      </c>
      <c r="E1691">
        <v>-2.2000000000000001E-3</v>
      </c>
      <c r="F1691">
        <v>4.5000000000000005E-3</v>
      </c>
    </row>
    <row r="1692" spans="1:6" x14ac:dyDescent="0.3">
      <c r="A1692" s="3">
        <v>44455</v>
      </c>
      <c r="B1692">
        <v>-2.9999999999999997E-4</v>
      </c>
      <c r="C1692">
        <v>-1.1000000000000001E-3</v>
      </c>
      <c r="D1692">
        <v>-5.5000000000000005E-3</v>
      </c>
      <c r="E1692">
        <v>-4.0000000000000001E-3</v>
      </c>
      <c r="F1692">
        <v>-5.0000000000000001E-3</v>
      </c>
    </row>
    <row r="1693" spans="1:6" x14ac:dyDescent="0.3">
      <c r="A1693" s="3">
        <v>44456</v>
      </c>
      <c r="B1693">
        <v>-7.1999999999999998E-3</v>
      </c>
      <c r="C1693">
        <v>9.8999999999999991E-3</v>
      </c>
      <c r="D1693">
        <v>-2.9999999999999997E-4</v>
      </c>
      <c r="E1693">
        <v>-6.3E-3</v>
      </c>
      <c r="F1693">
        <v>-5.1000000000000004E-3</v>
      </c>
    </row>
    <row r="1694" spans="1:6" x14ac:dyDescent="0.3">
      <c r="A1694" s="3">
        <v>44459</v>
      </c>
      <c r="B1694">
        <v>-1.8700000000000001E-2</v>
      </c>
      <c r="C1694">
        <v>-5.6000000000000008E-3</v>
      </c>
      <c r="D1694">
        <v>2.2000000000000001E-3</v>
      </c>
      <c r="E1694">
        <v>8.1000000000000013E-3</v>
      </c>
      <c r="F1694">
        <v>2.2000000000000001E-3</v>
      </c>
    </row>
    <row r="1695" spans="1:6" x14ac:dyDescent="0.3">
      <c r="A1695" s="3">
        <v>44460</v>
      </c>
      <c r="B1695">
        <v>5.0000000000000001E-4</v>
      </c>
      <c r="C1695">
        <v>2.7000000000000001E-3</v>
      </c>
      <c r="D1695">
        <v>-6.6E-3</v>
      </c>
      <c r="E1695">
        <v>-4.5999999999999999E-3</v>
      </c>
      <c r="F1695">
        <v>-3.0999999999999999E-3</v>
      </c>
    </row>
    <row r="1696" spans="1:6" x14ac:dyDescent="0.3">
      <c r="A1696" s="3">
        <v>44461</v>
      </c>
      <c r="B1696">
        <v>0.01</v>
      </c>
      <c r="C1696">
        <v>1.9E-3</v>
      </c>
      <c r="D1696">
        <v>5.4000000000000003E-3</v>
      </c>
      <c r="E1696">
        <v>-5.6999999999999993E-3</v>
      </c>
      <c r="F1696">
        <v>4.5999999999999999E-3</v>
      </c>
    </row>
    <row r="1697" spans="1:6" x14ac:dyDescent="0.3">
      <c r="A1697" s="3">
        <v>44462</v>
      </c>
      <c r="B1697">
        <v>1.2800000000000001E-2</v>
      </c>
      <c r="C1697">
        <v>4.5999999999999999E-3</v>
      </c>
      <c r="D1697">
        <v>9.1000000000000004E-3</v>
      </c>
      <c r="E1697">
        <v>-9.7999999999999997E-3</v>
      </c>
      <c r="F1697">
        <v>2.2000000000000001E-3</v>
      </c>
    </row>
    <row r="1698" spans="1:6" x14ac:dyDescent="0.3">
      <c r="A1698" s="3">
        <v>44463</v>
      </c>
      <c r="B1698">
        <v>8.0000000000000004E-4</v>
      </c>
      <c r="C1698">
        <v>-3.9000000000000003E-3</v>
      </c>
      <c r="D1698">
        <v>6.9999999999999993E-3</v>
      </c>
      <c r="E1698">
        <v>6.1999999999999998E-3</v>
      </c>
      <c r="F1698">
        <v>2.3E-3</v>
      </c>
    </row>
    <row r="1699" spans="1:6" x14ac:dyDescent="0.3">
      <c r="A1699" s="3">
        <v>44466</v>
      </c>
      <c r="B1699">
        <v>-1E-3</v>
      </c>
      <c r="C1699">
        <v>1.7299999999999999E-2</v>
      </c>
      <c r="D1699">
        <v>2.3900000000000001E-2</v>
      </c>
      <c r="E1699">
        <v>-2.7000000000000001E-3</v>
      </c>
      <c r="F1699">
        <v>7.6E-3</v>
      </c>
    </row>
    <row r="1700" spans="1:6" x14ac:dyDescent="0.3">
      <c r="A1700" s="3">
        <v>44467</v>
      </c>
      <c r="B1700">
        <v>-2.18E-2</v>
      </c>
      <c r="C1700">
        <v>1E-4</v>
      </c>
      <c r="D1700">
        <v>1.7500000000000002E-2</v>
      </c>
      <c r="E1700">
        <v>8.3999999999999995E-3</v>
      </c>
      <c r="F1700">
        <v>1.0700000000000001E-2</v>
      </c>
    </row>
    <row r="1701" spans="1:6" x14ac:dyDescent="0.3">
      <c r="A1701" s="3">
        <v>44468</v>
      </c>
      <c r="B1701">
        <v>2.9999999999999997E-4</v>
      </c>
      <c r="C1701">
        <v>-1.8E-3</v>
      </c>
      <c r="D1701">
        <v>8.0000000000000002E-3</v>
      </c>
      <c r="E1701">
        <v>1.15E-2</v>
      </c>
      <c r="F1701">
        <v>3.4999999999999996E-3</v>
      </c>
    </row>
    <row r="1702" spans="1:6" x14ac:dyDescent="0.3">
      <c r="A1702" s="3">
        <v>44469</v>
      </c>
      <c r="B1702">
        <v>-1.0200000000000001E-2</v>
      </c>
      <c r="C1702">
        <v>5.9999999999999995E-4</v>
      </c>
      <c r="D1702">
        <v>-7.6E-3</v>
      </c>
      <c r="E1702">
        <v>-1.24E-2</v>
      </c>
      <c r="F1702">
        <v>-3.4000000000000002E-3</v>
      </c>
    </row>
    <row r="1703" spans="1:6" x14ac:dyDescent="0.3">
      <c r="A1703" s="3">
        <v>44470</v>
      </c>
      <c r="B1703">
        <v>1.1000000000000001E-2</v>
      </c>
      <c r="C1703">
        <v>4.7999999999999996E-3</v>
      </c>
      <c r="D1703">
        <v>5.1000000000000004E-3</v>
      </c>
      <c r="E1703">
        <v>-1.1000000000000001E-3</v>
      </c>
      <c r="F1703">
        <v>6.0000000000000001E-3</v>
      </c>
    </row>
    <row r="1704" spans="1:6" x14ac:dyDescent="0.3">
      <c r="A1704" s="3">
        <v>44473</v>
      </c>
      <c r="B1704">
        <v>-1.43E-2</v>
      </c>
      <c r="C1704">
        <v>4.3E-3</v>
      </c>
      <c r="D1704">
        <v>2.3300000000000001E-2</v>
      </c>
      <c r="E1704">
        <v>7.0999999999999995E-3</v>
      </c>
      <c r="F1704">
        <v>1.0800000000000001E-2</v>
      </c>
    </row>
    <row r="1705" spans="1:6" x14ac:dyDescent="0.3">
      <c r="A1705" s="3">
        <v>44474</v>
      </c>
      <c r="B1705">
        <v>1.0500000000000001E-2</v>
      </c>
      <c r="C1705">
        <v>-5.8999999999999999E-3</v>
      </c>
      <c r="D1705">
        <v>-8.0000000000000004E-4</v>
      </c>
      <c r="E1705">
        <v>-8.9999999999999998E-4</v>
      </c>
      <c r="F1705">
        <v>-3.5999999999999999E-3</v>
      </c>
    </row>
    <row r="1706" spans="1:6" x14ac:dyDescent="0.3">
      <c r="A1706" s="3">
        <v>44475</v>
      </c>
      <c r="B1706">
        <v>3.3E-3</v>
      </c>
      <c r="C1706">
        <v>-1.01E-2</v>
      </c>
      <c r="D1706">
        <v>-4.8999999999999998E-3</v>
      </c>
      <c r="E1706">
        <v>3.3E-3</v>
      </c>
      <c r="F1706">
        <v>-6.8999999999999999E-3</v>
      </c>
    </row>
    <row r="1707" spans="1:6" x14ac:dyDescent="0.3">
      <c r="A1707" s="3">
        <v>44476</v>
      </c>
      <c r="B1707">
        <v>1.01E-2</v>
      </c>
      <c r="C1707">
        <v>4.5999999999999999E-3</v>
      </c>
      <c r="D1707">
        <v>-1.6000000000000001E-3</v>
      </c>
      <c r="E1707">
        <v>-8.9999999999999998E-4</v>
      </c>
      <c r="F1707">
        <v>5.9999999999999995E-4</v>
      </c>
    </row>
    <row r="1708" spans="1:6" x14ac:dyDescent="0.3">
      <c r="A1708" s="3">
        <v>44477</v>
      </c>
      <c r="B1708">
        <v>-2.7000000000000001E-3</v>
      </c>
      <c r="C1708">
        <v>-4.4000000000000003E-3</v>
      </c>
      <c r="D1708">
        <v>1.1299999999999999E-2</v>
      </c>
      <c r="E1708">
        <v>1E-3</v>
      </c>
      <c r="F1708">
        <v>6.1999999999999998E-3</v>
      </c>
    </row>
    <row r="1709" spans="1:6" x14ac:dyDescent="0.3">
      <c r="A1709" s="3">
        <v>44480</v>
      </c>
      <c r="B1709">
        <v>-7.1999999999999998E-3</v>
      </c>
      <c r="C1709">
        <v>2.3999999999999998E-3</v>
      </c>
      <c r="D1709">
        <v>-2.5999999999999999E-3</v>
      </c>
      <c r="E1709">
        <v>-2.0000000000000001E-4</v>
      </c>
      <c r="F1709">
        <v>3.0000000000000001E-3</v>
      </c>
    </row>
    <row r="1710" spans="1:6" x14ac:dyDescent="0.3">
      <c r="A1710" s="3">
        <v>44481</v>
      </c>
      <c r="B1710">
        <v>-5.9999999999999995E-4</v>
      </c>
      <c r="C1710">
        <v>5.6000000000000008E-3</v>
      </c>
      <c r="D1710">
        <v>-4.4000000000000003E-3</v>
      </c>
      <c r="E1710">
        <v>-9.0000000000000011E-3</v>
      </c>
      <c r="F1710">
        <v>-2.5000000000000001E-3</v>
      </c>
    </row>
    <row r="1711" spans="1:6" x14ac:dyDescent="0.3">
      <c r="A1711" s="3">
        <v>44482</v>
      </c>
      <c r="B1711">
        <v>4.1999999999999997E-3</v>
      </c>
      <c r="C1711">
        <v>-1E-3</v>
      </c>
      <c r="D1711">
        <v>-1.04E-2</v>
      </c>
      <c r="E1711">
        <v>-4.5999999999999999E-3</v>
      </c>
      <c r="F1711">
        <v>-7.3000000000000001E-3</v>
      </c>
    </row>
    <row r="1712" spans="1:6" x14ac:dyDescent="0.3">
      <c r="A1712" s="3">
        <v>44483</v>
      </c>
      <c r="B1712">
        <v>1.6500000000000001E-2</v>
      </c>
      <c r="C1712">
        <v>-3.8E-3</v>
      </c>
      <c r="D1712">
        <v>-2.8000000000000004E-3</v>
      </c>
      <c r="E1712">
        <v>2.0000000000000001E-4</v>
      </c>
      <c r="F1712">
        <v>-1.1999999999999999E-3</v>
      </c>
    </row>
    <row r="1713" spans="1:6" x14ac:dyDescent="0.3">
      <c r="A1713" s="3">
        <v>44484</v>
      </c>
      <c r="B1713">
        <v>6.3E-3</v>
      </c>
      <c r="C1713">
        <v>-1.1200000000000002E-2</v>
      </c>
      <c r="D1713">
        <v>2.8000000000000004E-3</v>
      </c>
      <c r="E1713">
        <v>4.0000000000000001E-3</v>
      </c>
      <c r="F1713">
        <v>-8.9999999999999998E-4</v>
      </c>
    </row>
    <row r="1714" spans="1:6" x14ac:dyDescent="0.3">
      <c r="A1714" s="3">
        <v>44487</v>
      </c>
      <c r="B1714">
        <v>4.0999999999999995E-3</v>
      </c>
      <c r="C1714">
        <v>-4.0000000000000001E-3</v>
      </c>
      <c r="D1714">
        <v>2.0000000000000001E-4</v>
      </c>
      <c r="E1714">
        <v>5.7999999999999996E-3</v>
      </c>
      <c r="F1714">
        <v>-5.9999999999999995E-4</v>
      </c>
    </row>
    <row r="1715" spans="1:6" x14ac:dyDescent="0.3">
      <c r="A1715" s="3">
        <v>44488</v>
      </c>
      <c r="B1715">
        <v>7.0999999999999995E-3</v>
      </c>
      <c r="C1715">
        <v>-4.7999999999999996E-3</v>
      </c>
      <c r="D1715">
        <v>-2.2000000000000001E-3</v>
      </c>
      <c r="E1715">
        <v>-2.0999999999999999E-3</v>
      </c>
      <c r="F1715">
        <v>1.1999999999999999E-3</v>
      </c>
    </row>
    <row r="1716" spans="1:6" x14ac:dyDescent="0.3">
      <c r="A1716" s="3">
        <v>44489</v>
      </c>
      <c r="B1716">
        <v>3.4000000000000002E-3</v>
      </c>
      <c r="C1716">
        <v>2.2000000000000001E-3</v>
      </c>
      <c r="D1716">
        <v>1.18E-2</v>
      </c>
      <c r="E1716">
        <v>2.8000000000000004E-3</v>
      </c>
      <c r="F1716">
        <v>5.3E-3</v>
      </c>
    </row>
    <row r="1717" spans="1:6" x14ac:dyDescent="0.3">
      <c r="A1717" s="3">
        <v>44490</v>
      </c>
      <c r="B1717">
        <v>3.7000000000000002E-3</v>
      </c>
      <c r="C1717">
        <v>2.0000000000000001E-4</v>
      </c>
      <c r="D1717">
        <v>-9.7999999999999997E-3</v>
      </c>
      <c r="E1717">
        <v>3.4000000000000002E-3</v>
      </c>
      <c r="F1717">
        <v>-6.4000000000000003E-3</v>
      </c>
    </row>
    <row r="1718" spans="1:6" x14ac:dyDescent="0.3">
      <c r="A1718" s="3">
        <v>44491</v>
      </c>
      <c r="B1718">
        <v>-2.5000000000000001E-3</v>
      </c>
      <c r="C1718">
        <v>2.0000000000000001E-4</v>
      </c>
      <c r="D1718">
        <v>1.0200000000000001E-2</v>
      </c>
      <c r="E1718">
        <v>4.4000000000000003E-3</v>
      </c>
      <c r="F1718">
        <v>5.1000000000000004E-3</v>
      </c>
    </row>
    <row r="1719" spans="1:6" x14ac:dyDescent="0.3">
      <c r="A1719" s="3">
        <v>44494</v>
      </c>
      <c r="B1719">
        <v>5.7999999999999996E-3</v>
      </c>
      <c r="C1719">
        <v>3.7000000000000002E-3</v>
      </c>
      <c r="D1719">
        <v>-1.6000000000000001E-3</v>
      </c>
      <c r="E1719">
        <v>-3.9000000000000003E-3</v>
      </c>
      <c r="F1719">
        <v>-3.4999999999999996E-3</v>
      </c>
    </row>
    <row r="1720" spans="1:6" x14ac:dyDescent="0.3">
      <c r="A1720" s="3">
        <v>44495</v>
      </c>
      <c r="B1720">
        <v>4.0000000000000002E-4</v>
      </c>
      <c r="C1720">
        <v>-8.1000000000000013E-3</v>
      </c>
      <c r="D1720">
        <v>-3.2000000000000002E-3</v>
      </c>
      <c r="E1720">
        <v>-3.8E-3</v>
      </c>
      <c r="F1720">
        <v>-1.1999999999999999E-3</v>
      </c>
    </row>
    <row r="1721" spans="1:6" x14ac:dyDescent="0.3">
      <c r="A1721" s="3">
        <v>44496</v>
      </c>
      <c r="B1721">
        <v>-7.6E-3</v>
      </c>
      <c r="C1721">
        <v>-9.4999999999999998E-3</v>
      </c>
      <c r="D1721">
        <v>-1.1899999999999999E-2</v>
      </c>
      <c r="E1721">
        <v>8.6E-3</v>
      </c>
      <c r="F1721">
        <v>-6.0000000000000001E-3</v>
      </c>
    </row>
    <row r="1722" spans="1:6" x14ac:dyDescent="0.3">
      <c r="A1722" s="3">
        <v>44497</v>
      </c>
      <c r="B1722">
        <v>1.1399999999999999E-2</v>
      </c>
      <c r="C1722">
        <v>8.1000000000000013E-3</v>
      </c>
      <c r="D1722">
        <v>-4.6999999999999993E-3</v>
      </c>
      <c r="E1722">
        <v>-3.0000000000000001E-3</v>
      </c>
      <c r="F1722">
        <v>-1.8E-3</v>
      </c>
    </row>
    <row r="1723" spans="1:6" x14ac:dyDescent="0.3">
      <c r="A1723" s="3">
        <v>44498</v>
      </c>
      <c r="B1723">
        <v>2.2000000000000001E-3</v>
      </c>
      <c r="C1723">
        <v>1.2999999999999999E-3</v>
      </c>
      <c r="D1723">
        <v>-8.199999999999999E-3</v>
      </c>
      <c r="E1723">
        <v>5.6999999999999993E-3</v>
      </c>
      <c r="F1723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Equity Data</vt:lpstr>
      <vt:lpstr>Factors Data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Royer Julien (BFT)</dc:creator>
  <cp:lastModifiedBy>Arnaud</cp:lastModifiedBy>
  <dcterms:created xsi:type="dcterms:W3CDTF">2022-01-12T12:55:39Z</dcterms:created>
  <dcterms:modified xsi:type="dcterms:W3CDTF">2026-01-17T09:51:33Z</dcterms:modified>
</cp:coreProperties>
</file>